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C8FB48BF-5E0B-465F-AAAD-F3C96860373F}" xr6:coauthVersionLast="47" xr6:coauthVersionMax="47" xr10:uidLastSave="{00000000-0000-0000-0000-000000000000}"/>
  <bookViews>
    <workbookView xWindow="-108" yWindow="-108" windowWidth="23256" windowHeight="12456" tabRatio="708" activeTab="5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0" l="1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<sst xmlns="http://schemas.openxmlformats.org/spreadsheetml/2006/main" count="67" uniqueCount="59">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</sst>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1.953125E-2</c:v>
                </c:pt>
                <c:pt idx="5">
                  <c:v>0</c:v>
                </c:pt>
                <c:pt idx="6">
                  <c:v>2.734375E-2</c:v>
                </c:pt>
                <c:pt idx="7">
                  <c:v>1.953125E-2</c:v>
                </c:pt>
                <c:pt idx="8">
                  <c:v>2.734375E-2</c:v>
                </c:pt>
                <c:pt idx="9">
                  <c:v>5.078125E-2</c:v>
                </c:pt>
                <c:pt idx="10">
                  <c:v>6.25E-2</c:v>
                </c:pt>
                <c:pt idx="11">
                  <c:v>6.25E-2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0.125</c:v>
                </c:pt>
                <c:pt idx="15">
                  <c:v>0.140625</c:v>
                </c:pt>
                <c:pt idx="16">
                  <c:v>0.15625</c:v>
                </c:pt>
                <c:pt idx="17">
                  <c:v>0.1875</c:v>
                </c:pt>
                <c:pt idx="18">
                  <c:v>0.203125</c:v>
                </c:pt>
                <c:pt idx="19">
                  <c:v>0.21875</c:v>
                </c:pt>
                <c:pt idx="20">
                  <c:v>0.25</c:v>
                </c:pt>
                <c:pt idx="21">
                  <c:v>0.25</c:v>
                </c:pt>
                <c:pt idx="22">
                  <c:v>0.28125</c:v>
                </c:pt>
                <c:pt idx="23">
                  <c:v>0.296875</c:v>
                </c:pt>
                <c:pt idx="24">
                  <c:v>0.328125</c:v>
                </c:pt>
                <c:pt idx="25">
                  <c:v>0.375</c:v>
                </c:pt>
                <c:pt idx="26">
                  <c:v>0.4375</c:v>
                </c:pt>
                <c:pt idx="27">
                  <c:v>0.484375</c:v>
                </c:pt>
                <c:pt idx="28">
                  <c:v>0.546875</c:v>
                </c:pt>
                <c:pt idx="29">
                  <c:v>0.59765625</c:v>
                </c:pt>
                <c:pt idx="30">
                  <c:v>0.671875</c:v>
                </c:pt>
                <c:pt idx="31">
                  <c:v>0.71875</c:v>
                </c:pt>
                <c:pt idx="32">
                  <c:v>0.78125</c:v>
                </c:pt>
                <c:pt idx="33">
                  <c:v>0.84375</c:v>
                </c:pt>
                <c:pt idx="34">
                  <c:v>0.91015625</c:v>
                </c:pt>
                <c:pt idx="35">
                  <c:v>1.046875</c:v>
                </c:pt>
                <c:pt idx="36">
                  <c:v>1.1875</c:v>
                </c:pt>
                <c:pt idx="37">
                  <c:v>1.33203125</c:v>
                </c:pt>
                <c:pt idx="38">
                  <c:v>1.56640625</c:v>
                </c:pt>
                <c:pt idx="39">
                  <c:v>1.640625</c:v>
                </c:pt>
                <c:pt idx="40">
                  <c:v>1.796875</c:v>
                </c:pt>
                <c:pt idx="41">
                  <c:v>1.984375</c:v>
                </c:pt>
                <c:pt idx="42">
                  <c:v>2.12890625</c:v>
                </c:pt>
                <c:pt idx="43">
                  <c:v>2.328125</c:v>
                </c:pt>
                <c:pt idx="44">
                  <c:v>2.5</c:v>
                </c:pt>
                <c:pt idx="45">
                  <c:v>2.69140625</c:v>
                </c:pt>
                <c:pt idx="46">
                  <c:v>2.859375</c:v>
                </c:pt>
                <c:pt idx="47">
                  <c:v>3.08203125</c:v>
                </c:pt>
                <c:pt idx="48">
                  <c:v>3.28125</c:v>
                </c:pt>
                <c:pt idx="49">
                  <c:v>3.4375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55418</xdr:colOff>
          <xdr:row>25</xdr:row>
          <xdr:rowOff>13856</xdr:rowOff>
        </xdr:from>
        <xdr:to>
          <xdr:col>7</xdr:col>
          <xdr:colOff>558339</xdr:colOff>
          <xdr:row>29</xdr:row>
          <xdr:rowOff>6928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544286</xdr:colOff>
      <xdr:row>33</xdr:row>
      <xdr:rowOff>173426</xdr:rowOff>
    </xdr:from>
    <xdr:to>
      <xdr:col>14</xdr:col>
      <xdr:colOff>209813</xdr:colOff>
      <xdr:row>46</xdr:row>
      <xdr:rowOff>100870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7400" y="6280312"/>
          <a:ext cx="4629413" cy="2333187"/>
        </a:xfrm>
        <a:prstGeom prst="rect">
          <a:avLst/>
        </a:prstGeom>
      </xdr:spPr>
    </xdr:pic>
    <xdr:clientData/>
  </xdr:twoCellAnchor>
  <xdr:twoCellAnchor editAs="oneCell">
    <xdr:from>
      <xdr:col>14</xdr:col>
      <xdr:colOff>298298</xdr:colOff>
      <xdr:row>34</xdr:row>
      <xdr:rowOff>132364</xdr:rowOff>
    </xdr:from>
    <xdr:to>
      <xdr:col>21</xdr:col>
      <xdr:colOff>569416</xdr:colOff>
      <xdr:row>47</xdr:row>
      <xdr:rowOff>24096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85298" y="6424307"/>
          <a:ext cx="4614518" cy="2297475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105996</xdr:rowOff>
    </xdr:from>
    <xdr:to>
      <xdr:col>14</xdr:col>
      <xdr:colOff>308749</xdr:colOff>
      <xdr:row>59</xdr:row>
      <xdr:rowOff>77934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86323" y="8618625"/>
          <a:ext cx="4609426" cy="2377680"/>
        </a:xfrm>
        <a:prstGeom prst="rect">
          <a:avLst/>
        </a:prstGeom>
      </xdr:spPr>
    </xdr:pic>
    <xdr:clientData/>
  </xdr:twoCellAnchor>
  <xdr:twoCellAnchor editAs="oneCell">
    <xdr:from>
      <xdr:col>14</xdr:col>
      <xdr:colOff>283028</xdr:colOff>
      <xdr:row>46</xdr:row>
      <xdr:rowOff>67366</xdr:rowOff>
    </xdr:from>
    <xdr:to>
      <xdr:col>21</xdr:col>
      <xdr:colOff>549122</xdr:colOff>
      <xdr:row>59</xdr:row>
      <xdr:rowOff>53291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70028" y="8579995"/>
          <a:ext cx="4609494" cy="2391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11" name="ConvPlot">
          <a:extLst>
            <a:ext uri="{FF2B5EF4-FFF2-40B4-BE49-F238E27FC236}">
              <a16:creationId xmlns:a16="http://schemas.microsoft.com/office/drawing/2014/main" id="{DFC9EA43-BFBB-420A-5B41-AE044DB47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13" name="TimePlot">
          <a:extLst>
            <a:ext uri="{FF2B5EF4-FFF2-40B4-BE49-F238E27FC236}">
              <a16:creationId xmlns:a16="http://schemas.microsoft.com/office/drawing/2014/main" id="{68662639-4592-DC05-6DFF-91AD21C66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15" name="GapPlot">
          <a:extLst>
            <a:ext uri="{FF2B5EF4-FFF2-40B4-BE49-F238E27FC236}">
              <a16:creationId xmlns:a16="http://schemas.microsoft.com/office/drawing/2014/main" id="{BDBFEAC0-B353-B089-A760-D1F5C7BAB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17" name="GapStepPlot">
          <a:extLst>
            <a:ext uri="{FF2B5EF4-FFF2-40B4-BE49-F238E27FC236}">
              <a16:creationId xmlns:a16="http://schemas.microsoft.com/office/drawing/2014/main" id="{2E8F287E-C327-1A98-2FB0-0F19CA57D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opLeftCell="A21" zoomScale="110" zoomScaleNormal="110" workbookViewId="0">
      <selection activeCell="D44" sqref="D44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37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6" t="s">
        <v>0</v>
      </c>
      <c r="C6" s="52" t="s">
        <v>11</v>
      </c>
      <c r="D6" s="11" t="s">
        <v>13</v>
      </c>
      <c r="E6" s="1">
        <v>100</v>
      </c>
      <c r="J6" s="48" t="s">
        <v>17</v>
      </c>
      <c r="K6" s="48"/>
      <c r="L6" s="48"/>
      <c r="M6" s="47" t="s">
        <v>49</v>
      </c>
      <c r="N6" s="47"/>
      <c r="O6" s="47"/>
    </row>
    <row r="7" spans="2:15" x14ac:dyDescent="0.3">
      <c r="B7" s="46"/>
      <c r="C7" s="52"/>
      <c r="D7" s="11" t="s">
        <v>23</v>
      </c>
      <c r="E7" s="2">
        <v>0.21</v>
      </c>
      <c r="J7" s="48"/>
      <c r="K7" s="48"/>
      <c r="L7" s="48"/>
      <c r="M7" s="47"/>
      <c r="N7" s="47"/>
      <c r="O7" s="47"/>
    </row>
    <row r="8" spans="2:15" x14ac:dyDescent="0.3">
      <c r="B8" s="46"/>
      <c r="C8" s="52"/>
      <c r="D8" s="11" t="s">
        <v>24</v>
      </c>
      <c r="E8" s="2">
        <v>0.03</v>
      </c>
      <c r="J8" s="48" t="s">
        <v>16</v>
      </c>
      <c r="K8" s="48"/>
      <c r="L8" s="48"/>
      <c r="M8" s="47" t="s">
        <v>48</v>
      </c>
      <c r="N8" s="47"/>
      <c r="O8" s="47"/>
    </row>
    <row r="9" spans="2:15" x14ac:dyDescent="0.3">
      <c r="B9" s="46"/>
      <c r="C9" s="52"/>
      <c r="D9" s="11" t="s">
        <v>14</v>
      </c>
      <c r="E9" s="1">
        <v>0</v>
      </c>
      <c r="J9" s="48"/>
      <c r="K9" s="48"/>
      <c r="L9" s="48"/>
      <c r="M9" s="47"/>
      <c r="N9" s="47"/>
      <c r="O9" s="47"/>
    </row>
    <row r="10" spans="2:15" x14ac:dyDescent="0.3">
      <c r="B10" s="46"/>
      <c r="C10" s="52"/>
      <c r="D10" s="11" t="s">
        <v>3</v>
      </c>
      <c r="E10" s="3">
        <v>45458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3">
      <c r="B11" s="46"/>
      <c r="C11" s="53" t="s">
        <v>12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3">
      <c r="B12" s="46"/>
      <c r="C12" s="54"/>
      <c r="D12" s="11" t="s">
        <v>47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3">
      <c r="B13" s="46"/>
      <c r="C13" s="54"/>
      <c r="D13" s="11" t="s">
        <v>25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" customHeight="1" x14ac:dyDescent="0.3">
      <c r="B14" s="46"/>
      <c r="C14" s="54"/>
      <c r="D14" s="11" t="s">
        <v>15</v>
      </c>
      <c r="E14" s="1">
        <v>101</v>
      </c>
      <c r="J14" s="49"/>
      <c r="K14" s="49"/>
      <c r="L14" s="49"/>
      <c r="M14" s="49"/>
      <c r="N14" s="49"/>
      <c r="O14" s="49"/>
    </row>
    <row r="15" spans="2:15" ht="14.4" customHeight="1" x14ac:dyDescent="0.3">
      <c r="B15" s="46"/>
      <c r="C15" s="54"/>
      <c r="D15" s="11" t="s">
        <v>1</v>
      </c>
      <c r="E15" s="1" t="s">
        <v>5</v>
      </c>
    </row>
    <row r="16" spans="2:15" ht="14.4" customHeight="1" x14ac:dyDescent="0.3">
      <c r="B16" s="46"/>
      <c r="C16" s="55"/>
      <c r="D16" s="11" t="s">
        <v>26</v>
      </c>
      <c r="E16" s="1" t="s">
        <v>6</v>
      </c>
      <c r="J16" s="40" t="s">
        <v>53</v>
      </c>
      <c r="K16" s="41"/>
      <c r="L16" s="42"/>
      <c r="M16" s="34">
        <v>0.57221801267610672</v>
      </c>
      <c r="N16" s="35"/>
      <c r="O16" s="36"/>
    </row>
    <row r="17" spans="2:15" ht="16.649999999999999" customHeight="1" x14ac:dyDescent="0.3">
      <c r="B17" s="46"/>
      <c r="C17" s="51" t="s">
        <v>27</v>
      </c>
      <c r="D17" s="11" t="s">
        <v>28</v>
      </c>
      <c r="E17" s="1">
        <v>50</v>
      </c>
      <c r="J17" s="43"/>
      <c r="K17" s="44"/>
      <c r="L17" s="45"/>
      <c r="M17" s="37"/>
      <c r="N17" s="38"/>
      <c r="O17" s="39"/>
    </row>
    <row r="18" spans="2:15" x14ac:dyDescent="0.3">
      <c r="B18" s="46"/>
      <c r="C18" s="51"/>
      <c r="D18" s="11" t="s">
        <v>29</v>
      </c>
      <c r="E18" s="4">
        <v>1E-8</v>
      </c>
      <c r="J18" s="40" t="s">
        <v>54</v>
      </c>
      <c r="K18" s="41"/>
      <c r="L18" s="42"/>
      <c r="M18" s="34">
        <v>2.0334739473427947E-2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18</v>
      </c>
      <c r="C20" s="28" t="s">
        <v>8</v>
      </c>
      <c r="D20" s="12" t="s">
        <v>31</v>
      </c>
      <c r="E20" s="13">
        <v>8.2917339057349562</v>
      </c>
      <c r="J20" s="40" t="s">
        <v>57</v>
      </c>
      <c r="K20" s="41"/>
      <c r="L20" s="42"/>
      <c r="M20" s="34">
        <v>35.650595721039522</v>
      </c>
      <c r="N20" s="35"/>
      <c r="O20" s="36"/>
    </row>
    <row r="21" spans="2:15" ht="18" customHeight="1" x14ac:dyDescent="0.3">
      <c r="B21" s="32"/>
      <c r="C21" s="29"/>
      <c r="D21" s="12" t="s">
        <v>32</v>
      </c>
      <c r="E21" s="13">
        <v>8.2808229683262251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42</v>
      </c>
      <c r="E22" s="16">
        <f>(3*IVol^2)/(INbSteps*8*SQRT(2*PI())*SQRT(EXP(IVol^2)-1))</f>
        <v>6.214195774394191E-4</v>
      </c>
      <c r="J22" s="40" t="s">
        <v>55</v>
      </c>
      <c r="K22" s="41"/>
      <c r="L22" s="42"/>
      <c r="M22" s="34">
        <v>6.0224071636030274</v>
      </c>
      <c r="N22" s="35"/>
      <c r="O22" s="36"/>
    </row>
    <row r="23" spans="2:15" ht="18" customHeight="1" x14ac:dyDescent="0.3">
      <c r="B23" s="32"/>
      <c r="C23" s="28" t="s">
        <v>30</v>
      </c>
      <c r="D23" s="12" t="s">
        <v>33</v>
      </c>
      <c r="E23" s="14">
        <v>1.953125E-2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34</v>
      </c>
      <c r="E24" s="14">
        <v>3.90625E-3</v>
      </c>
      <c r="J24" s="40" t="s">
        <v>56</v>
      </c>
      <c r="K24" s="41"/>
      <c r="L24" s="42"/>
      <c r="M24" s="34">
        <v>40.218502947625808</v>
      </c>
      <c r="N24" s="35"/>
      <c r="O24" s="36"/>
    </row>
    <row r="25" spans="2:15" ht="16.350000000000001" customHeight="1" x14ac:dyDescent="0.3">
      <c r="B25" s="32"/>
      <c r="C25" s="30"/>
      <c r="D25" s="12" t="s">
        <v>35</v>
      </c>
      <c r="E25" s="15">
        <f>ITimeTree+IPriceTime</f>
        <v>2.34375E-2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50</v>
      </c>
      <c r="D26" s="12" t="s">
        <v>31</v>
      </c>
      <c r="E26" s="13">
        <v>8.2917339057350894</v>
      </c>
    </row>
    <row r="27" spans="2:15" x14ac:dyDescent="0.3">
      <c r="B27" s="32"/>
      <c r="C27" s="29"/>
      <c r="D27" s="12" t="s">
        <v>33</v>
      </c>
      <c r="E27" s="14">
        <v>1.0089874267578125E-2</v>
      </c>
    </row>
    <row r="28" spans="2:15" x14ac:dyDescent="0.3">
      <c r="B28" s="32"/>
      <c r="C28" s="29"/>
      <c r="D28" s="12" t="s">
        <v>34</v>
      </c>
      <c r="E28" s="14">
        <v>1.9996166229248047E-3</v>
      </c>
    </row>
    <row r="29" spans="2:15" ht="15.6" x14ac:dyDescent="0.3">
      <c r="B29" s="33"/>
      <c r="C29" s="30"/>
      <c r="D29" s="12" t="s">
        <v>51</v>
      </c>
      <c r="E29" s="15">
        <f>IPythonTimeTree+IPythonPriceTime</f>
        <v>1.208949089050293E-2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58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20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22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43" zoomScale="70" zoomScaleNormal="70" workbookViewId="0">
      <selection activeCell="AB45" sqref="AB4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36</v>
      </c>
      <c r="B1" s="57"/>
      <c r="C1" s="57"/>
      <c r="H1" s="57" t="s">
        <v>39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38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21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0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1.953125E-2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0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2.734375E-2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1.953125E-2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2.734375E-2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6.25E-2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9.375E-2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0.140625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0.21875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0.28125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0.296875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7" t="s">
        <v>40</v>
      </c>
      <c r="I32" s="57"/>
      <c r="J32" s="57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0.4375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7"/>
      <c r="I33" s="57"/>
      <c r="J33" s="57"/>
      <c r="K33" s="59" t="s">
        <v>41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8.2799429743084811</v>
      </c>
      <c r="C34" s="6">
        <v>0.484375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7"/>
      <c r="I34" s="57"/>
      <c r="J34" s="57"/>
    </row>
    <row r="35" spans="1:15" x14ac:dyDescent="0.3">
      <c r="A35" s="6">
        <f t="shared" si="3"/>
        <v>700</v>
      </c>
      <c r="B35" s="8">
        <v>8.2804673406733436</v>
      </c>
      <c r="C35" s="6">
        <v>0.546875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  <c r="H35" s="7" t="s">
        <v>52</v>
      </c>
    </row>
    <row r="36" spans="1:15" x14ac:dyDescent="0.3">
      <c r="A36" s="6">
        <f t="shared" si="3"/>
        <v>750</v>
      </c>
      <c r="B36" s="8">
        <v>8.2808544721972464</v>
      </c>
      <c r="C36" s="6">
        <v>0.59765625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0.671875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0.71875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0.78125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0.84375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0.91015625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1.046875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1.1875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1.33203125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1.56640625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1.640625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1.796875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1.984375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2.12890625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2.328125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2.69140625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2.859375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3.08203125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3.28125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3.4375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abSelected="1"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43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38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31</v>
      </c>
      <c r="C6" s="19" t="s">
        <v>32</v>
      </c>
      <c r="D6" s="19" t="s">
        <v>44</v>
      </c>
      <c r="E6" s="19" t="s">
        <v>45</v>
      </c>
      <c r="F6" s="19" t="s">
        <v>46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2024-10-14T11:49:14Z</dcterms:modified>
</cp:coreProperties>
</file>