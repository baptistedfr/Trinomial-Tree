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44698231-4503-451C-8623-825F8E7EB9A1}" xr6:coauthVersionLast="47" xr6:coauthVersionMax="47" xr10:uidLastSave="{00000000-0000-0000-0000-000000000000}"/>
  <bookViews>
    <workbookView xWindow="22932" yWindow="-108" windowWidth="23256" windowHeight="13176" xr2:uid="{50F7F52E-ED77-47DB-83CE-AA249E62083E}"/>
  </bookViews>
  <sheets>
    <sheet name="Pricer" sheetId="1" r:id="rId1"/>
    <sheet name="Graphs" sheetId="2" r:id="rId2"/>
    <sheet name="Graphique" sheetId="3" r:id="rId3"/>
  </sheets>
  <functionGroups builtInGroupCount="19">
    <functionGroup name="GPT for Excel Word"/>
  </functionGroups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pot">Graphique!$B$5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1" i="3" l="1"/>
  <c r="G51" i="3"/>
  <c r="D51" i="3"/>
  <c r="H50" i="3"/>
  <c r="G50" i="3"/>
  <c r="D50" i="3"/>
  <c r="H49" i="3"/>
  <c r="G49" i="3"/>
  <c r="D49" i="3"/>
  <c r="H48" i="3"/>
  <c r="G48" i="3"/>
  <c r="D48" i="3"/>
  <c r="H47" i="3"/>
  <c r="G47" i="3"/>
  <c r="D47" i="3"/>
  <c r="H46" i="3"/>
  <c r="G46" i="3"/>
  <c r="D46" i="3"/>
  <c r="H45" i="3"/>
  <c r="G45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3" i="3"/>
  <c r="E44" i="3" a="1"/>
  <c r="E32" i="3" a="1"/>
  <c r="E20" i="3" a="1"/>
  <c r="E15" i="3" a="1"/>
  <c r="E34" i="3" a="1"/>
  <c r="E22" i="3" a="1"/>
  <c r="E7" i="3" a="1"/>
  <c r="E41" i="3" a="1"/>
  <c r="E29" i="3" a="1"/>
  <c r="E17" i="3" a="1"/>
  <c r="E10" i="3" a="1"/>
  <c r="E36" i="3" a="1"/>
  <c r="E24" i="3" a="1"/>
  <c r="E12" i="3" a="1"/>
  <c r="E27" i="3" a="1"/>
  <c r="E43" i="3" a="1"/>
  <c r="E31" i="3" a="1"/>
  <c r="E19" i="3" a="1"/>
  <c r="E9" i="3" a="1"/>
  <c r="E6" i="3" a="1"/>
  <c r="E3" i="3" a="1"/>
  <c r="E38" i="3" a="1"/>
  <c r="E26" i="3" a="1"/>
  <c r="E14" i="3" a="1"/>
  <c r="E33" i="3" a="1"/>
  <c r="E21" i="3" a="1"/>
  <c r="E4" i="3" a="1"/>
  <c r="E40" i="3" a="1"/>
  <c r="E28" i="3" a="1"/>
  <c r="E16" i="3" a="1"/>
  <c r="E35" i="3" a="1"/>
  <c r="E23" i="3" a="1"/>
  <c r="E11" i="3" a="1"/>
  <c r="E8" i="3" a="1"/>
  <c r="E5" i="3" a="1"/>
  <c r="E42" i="3" a="1"/>
  <c r="E30" i="3" a="1"/>
  <c r="E18" i="3" a="1"/>
  <c r="E39" i="3" a="1"/>
  <c r="E37" i="3" a="1"/>
  <c r="E25" i="3" a="1"/>
  <c r="E13" i="3" a="1"/>
  <c r="E13" i="3" l="1"/>
  <c r="G13" i="3" s="1"/>
  <c r="H13" i="3" s="1"/>
  <c r="E25" i="3"/>
  <c r="G25" i="3" s="1"/>
  <c r="H25" i="3" s="1"/>
  <c r="E37" i="3"/>
  <c r="G37" i="3" s="1"/>
  <c r="H37" i="3" s="1"/>
  <c r="E39" i="3"/>
  <c r="G39" i="3" s="1"/>
  <c r="H39" i="3" s="1"/>
  <c r="E18" i="3"/>
  <c r="G18" i="3" s="1"/>
  <c r="H18" i="3" s="1"/>
  <c r="E30" i="3"/>
  <c r="G30" i="3" s="1"/>
  <c r="H30" i="3" s="1"/>
  <c r="E42" i="3"/>
  <c r="G42" i="3" s="1"/>
  <c r="H42" i="3" s="1"/>
  <c r="E5" i="3"/>
  <c r="G5" i="3" s="1"/>
  <c r="H5" i="3" s="1"/>
  <c r="E8" i="3"/>
  <c r="G8" i="3" s="1"/>
  <c r="H8" i="3" s="1"/>
  <c r="E11" i="3"/>
  <c r="G11" i="3" s="1"/>
  <c r="H11" i="3" s="1"/>
  <c r="E23" i="3"/>
  <c r="G23" i="3" s="1"/>
  <c r="H23" i="3" s="1"/>
  <c r="E35" i="3"/>
  <c r="G35" i="3" s="1"/>
  <c r="H35" i="3" s="1"/>
  <c r="E16" i="3"/>
  <c r="G16" i="3" s="1"/>
  <c r="H16" i="3" s="1"/>
  <c r="E28" i="3"/>
  <c r="G28" i="3" s="1"/>
  <c r="H28" i="3" s="1"/>
  <c r="E40" i="3"/>
  <c r="G40" i="3" s="1"/>
  <c r="H40" i="3" s="1"/>
  <c r="E4" i="3"/>
  <c r="G4" i="3" s="1"/>
  <c r="H4" i="3" s="1"/>
  <c r="E21" i="3"/>
  <c r="G21" i="3" s="1"/>
  <c r="H21" i="3" s="1"/>
  <c r="E33" i="3"/>
  <c r="G33" i="3" s="1"/>
  <c r="H33" i="3" s="1"/>
  <c r="E14" i="3"/>
  <c r="G14" i="3" s="1"/>
  <c r="H14" i="3" s="1"/>
  <c r="E26" i="3"/>
  <c r="G26" i="3" s="1"/>
  <c r="H26" i="3" s="1"/>
  <c r="E38" i="3"/>
  <c r="G38" i="3" s="1"/>
  <c r="H38" i="3" s="1"/>
  <c r="E3" i="3"/>
  <c r="G3" i="3" s="1"/>
  <c r="H3" i="3" s="1"/>
  <c r="E6" i="3"/>
  <c r="G6" i="3" s="1"/>
  <c r="H6" i="3" s="1"/>
  <c r="E9" i="3"/>
  <c r="G9" i="3" s="1"/>
  <c r="H9" i="3" s="1"/>
  <c r="E19" i="3"/>
  <c r="G19" i="3" s="1"/>
  <c r="H19" i="3" s="1"/>
  <c r="E31" i="3"/>
  <c r="G31" i="3" s="1"/>
  <c r="H31" i="3" s="1"/>
  <c r="E43" i="3"/>
  <c r="G43" i="3" s="1"/>
  <c r="H43" i="3" s="1"/>
  <c r="E27" i="3"/>
  <c r="G27" i="3" s="1"/>
  <c r="H27" i="3" s="1"/>
  <c r="E12" i="3"/>
  <c r="G12" i="3" s="1"/>
  <c r="H12" i="3" s="1"/>
  <c r="E24" i="3"/>
  <c r="G24" i="3" s="1"/>
  <c r="H24" i="3" s="1"/>
  <c r="E36" i="3"/>
  <c r="G36" i="3" s="1"/>
  <c r="H36" i="3" s="1"/>
  <c r="E10" i="3"/>
  <c r="G10" i="3" s="1"/>
  <c r="H10" i="3" s="1"/>
  <c r="E17" i="3"/>
  <c r="G17" i="3" s="1"/>
  <c r="H17" i="3" s="1"/>
  <c r="E29" i="3"/>
  <c r="G29" i="3" s="1"/>
  <c r="H29" i="3" s="1"/>
  <c r="E41" i="3"/>
  <c r="G41" i="3" s="1"/>
  <c r="H41" i="3" s="1"/>
  <c r="E7" i="3"/>
  <c r="G7" i="3" s="1"/>
  <c r="H7" i="3" s="1"/>
  <c r="E22" i="3"/>
  <c r="G22" i="3" s="1"/>
  <c r="H22" i="3" s="1"/>
  <c r="E34" i="3"/>
  <c r="G34" i="3" s="1"/>
  <c r="H34" i="3" s="1"/>
  <c r="E15" i="3"/>
  <c r="G15" i="3" s="1"/>
  <c r="H15" i="3" s="1"/>
  <c r="E20" i="3"/>
  <c r="G20" i="3" s="1"/>
  <c r="H20" i="3" s="1"/>
  <c r="E32" i="3"/>
  <c r="G32" i="3" s="1"/>
  <c r="H32" i="3" s="1"/>
  <c r="E44" i="3"/>
  <c r="G44" i="3" s="1"/>
  <c r="H4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<sst xmlns="http://schemas.openxmlformats.org/spreadsheetml/2006/main" count="54" uniqueCount="30">
  <si>
    <t>Option Pricer</t>
  </si>
  <si>
    <t>Inputs</t>
  </si>
  <si>
    <t>Type</t>
  </si>
  <si>
    <t>Exercice Type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</si>
  <si>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</si>
  <si>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</si>
  <si>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</si>
  <si>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</si>
  <si>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</si>
  <si>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</si>
  <si>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</si>
  <si>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</si>
  <si>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</si>
  <si>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</si>
  <si>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</si>
  <si>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</si>
  <si>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</si>
  <si>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</si>
  <si>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</si>
  <si>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</si>
  <si>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</si>
  <si>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Call</t>
  </si>
  <si>
    <t>European</t>
  </si>
  <si>
    <t xml:space="preserve">   </t>
  </si>
  <si>
    <t>Step</t>
  </si>
  <si>
    <t>Price</t>
  </si>
  <si>
    <t>Input</t>
  </si>
  <si>
    <t>&amp;</t>
  </si>
  <si>
    <t>Gap</t>
  </si>
  <si>
    <t>Gap *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</si>
</sst>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9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Normal" xfId="0" builtinId="0"/>
    <cellStyle name="Per cent" xfId="1" builtinId="5"/>
  </cellStyles>
  <dxfs count="2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topLeftCell="B5" zoomScale="85" zoomScaleNormal="85" workbookViewId="0">
      <selection activeCell="I15" sqref="I15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12" t="s">
        <v>0</v>
      </c>
      <c r="D2" s="12"/>
      <c r="E2" s="12"/>
    </row>
    <row r="3" spans="3:21" x14ac:dyDescent="0.3">
      <c r="C3" s="12"/>
      <c r="D3" s="12"/>
      <c r="E3" s="12"/>
    </row>
    <row r="5" spans="3:21" ht="22.5" customHeight="1" x14ac:dyDescent="0.3">
      <c r="C5" s="13" t="s">
        <v>1</v>
      </c>
      <c r="D5" s="1" t="s">
        <v>2</v>
      </c>
      <c r="E5" s="1" t="s">
        <v>21</v>
      </c>
      <c r="U5" s="3"/>
    </row>
    <row r="6" spans="3:21" ht="22.5" customHeight="1" x14ac:dyDescent="0.3">
      <c r="C6" s="13"/>
      <c r="D6" s="1" t="s">
        <v>3</v>
      </c>
      <c r="E6" s="1" t="s">
        <v>22</v>
      </c>
    </row>
    <row r="7" spans="3:21" ht="22.5" customHeight="1" x14ac:dyDescent="0.3">
      <c r="C7" s="13"/>
      <c r="D7" s="1" t="s">
        <v>18</v>
      </c>
      <c r="E7" s="1">
        <v>100</v>
      </c>
    </row>
    <row r="8" spans="3:21" ht="22.5" customHeight="1" x14ac:dyDescent="0.3">
      <c r="C8" s="13"/>
      <c r="D8" s="1" t="s">
        <v>19</v>
      </c>
      <c r="E8" s="1">
        <v>100</v>
      </c>
    </row>
    <row r="9" spans="3:21" ht="22.5" customHeight="1" x14ac:dyDescent="0.3">
      <c r="C9" s="13"/>
      <c r="D9" s="1" t="s">
        <v>4</v>
      </c>
      <c r="E9" s="6">
        <v>0.2</v>
      </c>
      <c r="S9" s="4"/>
    </row>
    <row r="10" spans="3:21" ht="22.5" customHeight="1" x14ac:dyDescent="0.3">
      <c r="C10" s="13"/>
      <c r="D10" s="1" t="s">
        <v>6</v>
      </c>
      <c r="E10" s="1">
        <v>1</v>
      </c>
      <c r="S10" s="4"/>
    </row>
    <row r="11" spans="3:21" ht="22.5" customHeight="1" x14ac:dyDescent="0.3">
      <c r="C11" s="13"/>
      <c r="D11" s="1" t="s">
        <v>5</v>
      </c>
      <c r="E11" s="6">
        <v>0.05</v>
      </c>
    </row>
    <row r="12" spans="3:21" ht="22.5" customHeight="1" x14ac:dyDescent="0.3">
      <c r="C12" s="13"/>
      <c r="D12" s="1" t="s">
        <v>17</v>
      </c>
      <c r="E12" s="1">
        <v>0</v>
      </c>
    </row>
    <row r="13" spans="3:21" ht="22.5" customHeight="1" x14ac:dyDescent="0.3">
      <c r="C13" s="13"/>
      <c r="D13" s="1" t="s">
        <v>16</v>
      </c>
      <c r="E13" s="5">
        <v>45292</v>
      </c>
    </row>
    <row r="14" spans="3:21" ht="22.5" customHeight="1" x14ac:dyDescent="0.3">
      <c r="C14" s="13"/>
      <c r="D14" s="1" t="s">
        <v>15</v>
      </c>
      <c r="E14" s="5"/>
    </row>
    <row r="16" spans="3:21" ht="18.75" customHeight="1" x14ac:dyDescent="0.3">
      <c r="C16" s="14" t="s">
        <v>11</v>
      </c>
      <c r="D16" s="1" t="s">
        <v>2</v>
      </c>
      <c r="E16" s="1" t="s">
        <v>10</v>
      </c>
      <c r="S16" s="11"/>
      <c r="T16" s="11"/>
    </row>
    <row r="17" spans="3:15" ht="18" customHeight="1" x14ac:dyDescent="0.3">
      <c r="C17" s="14"/>
      <c r="D17" s="1" t="s">
        <v>8</v>
      </c>
      <c r="E17" s="1">
        <v>1000</v>
      </c>
    </row>
    <row r="18" spans="3:15" ht="17.25" customHeight="1" x14ac:dyDescent="0.3">
      <c r="C18" s="14"/>
      <c r="D18" s="15"/>
      <c r="E18" s="16"/>
    </row>
    <row r="19" spans="3:15" ht="18" customHeight="1" x14ac:dyDescent="0.3">
      <c r="C19" s="14"/>
      <c r="D19" s="17"/>
      <c r="E19" s="18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13" t="s">
        <v>7</v>
      </c>
      <c r="D21" s="1" t="s">
        <v>12</v>
      </c>
      <c r="E21" s="1">
        <v>10.445067518354326</v>
      </c>
      <c r="G21" s="13" t="s">
        <v>20</v>
      </c>
      <c r="H21" s="1" t="s">
        <v>12</v>
      </c>
      <c r="I21" s="1">
        <v>13.32167873120787</v>
      </c>
      <c r="J21" s="3"/>
      <c r="K21" s="3"/>
      <c r="L21" s="3"/>
      <c r="M21" s="3"/>
      <c r="N21" s="3"/>
      <c r="O21" s="3"/>
    </row>
    <row r="22" spans="3:15" ht="27.75" customHeight="1" x14ac:dyDescent="0.3">
      <c r="C22" s="13"/>
      <c r="D22" s="1" t="s">
        <v>9</v>
      </c>
      <c r="E22" s="1">
        <v>1.26171875</v>
      </c>
      <c r="G22" s="13"/>
      <c r="H22" s="1" t="s">
        <v>9</v>
      </c>
      <c r="I22" s="1">
        <v>0.6466071605682373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13" t="s">
        <v>10</v>
      </c>
      <c r="D24" s="1" t="s">
        <v>12</v>
      </c>
      <c r="E24" s="1">
        <v>10.45058357218557</v>
      </c>
      <c r="G24" s="13" t="s">
        <v>27</v>
      </c>
      <c r="H24" s="1" t="s">
        <v>12</v>
      </c>
      <c r="I24" s="1">
        <v>13.346464945879582</v>
      </c>
    </row>
    <row r="25" spans="3:15" ht="27.75" customHeight="1" x14ac:dyDescent="0.3">
      <c r="C25" s="13"/>
      <c r="D25" s="1" t="s">
        <v>9</v>
      </c>
      <c r="E25" s="1">
        <v>7.8125E-3</v>
      </c>
      <c r="G25" s="13"/>
      <c r="H25" s="1" t="s">
        <v>9</v>
      </c>
      <c r="I25" s="1">
        <v>0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1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Main.PriceTre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zoomScale="115" zoomScaleNormal="115" workbookViewId="0">
      <selection activeCell="J4" sqref="J3:J4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9" t="s">
        <v>13</v>
      </c>
      <c r="C2" s="19"/>
      <c r="D2" s="19"/>
      <c r="E2" s="19"/>
      <c r="F2" s="19"/>
      <c r="G2" s="19"/>
      <c r="H2" s="19"/>
      <c r="L2" s="19" t="s">
        <v>14</v>
      </c>
      <c r="M2" s="19"/>
      <c r="N2" s="19"/>
      <c r="O2" s="19"/>
      <c r="P2" s="19"/>
      <c r="Q2" s="19"/>
      <c r="R2" s="19"/>
    </row>
    <row r="3" spans="2:18" x14ac:dyDescent="0.3">
      <c r="B3" s="20"/>
      <c r="C3" s="20"/>
      <c r="D3" s="20"/>
      <c r="E3" s="20"/>
      <c r="F3" s="20"/>
      <c r="G3" s="20"/>
      <c r="H3" s="20"/>
      <c r="L3" s="20"/>
      <c r="M3" s="20"/>
      <c r="N3" s="20"/>
      <c r="O3" s="20"/>
      <c r="P3" s="20"/>
      <c r="Q3" s="20"/>
      <c r="R3" s="20"/>
    </row>
    <row r="4" spans="2:18" x14ac:dyDescent="0.3">
      <c r="B4" s="20"/>
      <c r="C4" s="20"/>
      <c r="D4" s="20"/>
      <c r="E4" s="20"/>
      <c r="F4" s="20"/>
      <c r="G4" s="20"/>
      <c r="H4" s="20"/>
      <c r="L4" s="20"/>
      <c r="M4" s="20"/>
      <c r="N4" s="20"/>
      <c r="O4" s="20"/>
      <c r="P4" s="20"/>
      <c r="Q4" s="20"/>
      <c r="R4" s="20"/>
    </row>
    <row r="5" spans="2:18" x14ac:dyDescent="0.3">
      <c r="B5" s="20"/>
      <c r="C5" s="20"/>
      <c r="D5" s="20"/>
      <c r="E5" s="20"/>
      <c r="F5" s="20"/>
      <c r="G5" s="20"/>
      <c r="H5" s="20"/>
      <c r="L5" s="20"/>
      <c r="M5" s="20"/>
      <c r="N5" s="20"/>
      <c r="O5" s="20"/>
      <c r="P5" s="20"/>
      <c r="Q5" s="20"/>
      <c r="R5" s="20"/>
    </row>
    <row r="6" spans="2:18" x14ac:dyDescent="0.3">
      <c r="B6" s="20"/>
      <c r="C6" s="20"/>
      <c r="D6" s="20"/>
      <c r="E6" s="20"/>
      <c r="F6" s="20"/>
      <c r="G6" s="20"/>
      <c r="H6" s="20"/>
      <c r="L6" s="20"/>
      <c r="M6" s="20"/>
      <c r="N6" s="20"/>
      <c r="O6" s="20"/>
      <c r="P6" s="20"/>
      <c r="Q6" s="20"/>
      <c r="R6" s="20"/>
    </row>
    <row r="7" spans="2:18" x14ac:dyDescent="0.3">
      <c r="B7" s="20"/>
      <c r="C7" s="20"/>
      <c r="D7" s="20"/>
      <c r="E7" s="20"/>
      <c r="F7" s="20"/>
      <c r="G7" s="20"/>
      <c r="H7" s="20"/>
      <c r="L7" s="20"/>
      <c r="M7" s="20"/>
      <c r="N7" s="20"/>
      <c r="O7" s="20"/>
      <c r="P7" s="20"/>
      <c r="Q7" s="20"/>
      <c r="R7" s="20"/>
    </row>
    <row r="8" spans="2:18" x14ac:dyDescent="0.3">
      <c r="B8" s="20"/>
      <c r="C8" s="20"/>
      <c r="D8" s="20"/>
      <c r="E8" s="20"/>
      <c r="F8" s="20"/>
      <c r="G8" s="20"/>
      <c r="H8" s="20"/>
      <c r="L8" s="20"/>
      <c r="M8" s="20"/>
      <c r="N8" s="20"/>
      <c r="O8" s="20"/>
      <c r="P8" s="20"/>
      <c r="Q8" s="20"/>
      <c r="R8" s="20"/>
    </row>
    <row r="9" spans="2:18" x14ac:dyDescent="0.3">
      <c r="B9" s="20"/>
      <c r="C9" s="20"/>
      <c r="D9" s="20"/>
      <c r="E9" s="20"/>
      <c r="F9" s="20"/>
      <c r="G9" s="20"/>
      <c r="H9" s="20"/>
      <c r="L9" s="20"/>
      <c r="M9" s="20"/>
      <c r="N9" s="20"/>
      <c r="O9" s="20"/>
      <c r="P9" s="20"/>
      <c r="Q9" s="20"/>
      <c r="R9" s="20"/>
    </row>
    <row r="10" spans="2:18" x14ac:dyDescent="0.3">
      <c r="B10" s="20"/>
      <c r="C10" s="20"/>
      <c r="D10" s="20"/>
      <c r="E10" s="20"/>
      <c r="F10" s="20"/>
      <c r="G10" s="20"/>
      <c r="H10" s="20"/>
      <c r="L10" s="20"/>
      <c r="M10" s="20"/>
      <c r="N10" s="20"/>
      <c r="O10" s="20"/>
      <c r="P10" s="20"/>
      <c r="Q10" s="20"/>
      <c r="R10" s="20"/>
    </row>
    <row r="11" spans="2:18" x14ac:dyDescent="0.3">
      <c r="B11" s="20"/>
      <c r="C11" s="20"/>
      <c r="D11" s="20"/>
      <c r="E11" s="20"/>
      <c r="F11" s="20"/>
      <c r="G11" s="20"/>
      <c r="H11" s="20"/>
      <c r="L11" s="20"/>
      <c r="M11" s="20"/>
      <c r="N11" s="20"/>
      <c r="O11" s="20"/>
      <c r="P11" s="20"/>
      <c r="Q11" s="20"/>
      <c r="R11" s="20"/>
    </row>
    <row r="12" spans="2:18" x14ac:dyDescent="0.3">
      <c r="B12" s="20"/>
      <c r="C12" s="20"/>
      <c r="D12" s="20"/>
      <c r="E12" s="20"/>
      <c r="F12" s="20"/>
      <c r="G12" s="20"/>
      <c r="H12" s="20"/>
      <c r="L12" s="20"/>
      <c r="M12" s="20"/>
      <c r="N12" s="20"/>
      <c r="O12" s="20"/>
      <c r="P12" s="20"/>
      <c r="Q12" s="20"/>
      <c r="R12" s="20"/>
    </row>
    <row r="13" spans="2:18" x14ac:dyDescent="0.3">
      <c r="B13" s="20"/>
      <c r="C13" s="20"/>
      <c r="D13" s="20"/>
      <c r="E13" s="20"/>
      <c r="F13" s="20"/>
      <c r="G13" s="20"/>
      <c r="H13" s="20"/>
      <c r="L13" s="20"/>
      <c r="M13" s="20"/>
      <c r="N13" s="20"/>
      <c r="O13" s="20"/>
      <c r="P13" s="20"/>
      <c r="Q13" s="20"/>
      <c r="R13" s="20"/>
    </row>
    <row r="14" spans="2:18" x14ac:dyDescent="0.3">
      <c r="B14" s="20"/>
      <c r="C14" s="20"/>
      <c r="D14" s="20"/>
      <c r="E14" s="20"/>
      <c r="F14" s="20"/>
      <c r="G14" s="20"/>
      <c r="H14" s="20"/>
      <c r="L14" s="20"/>
      <c r="M14" s="20"/>
      <c r="N14" s="20"/>
      <c r="O14" s="20"/>
      <c r="P14" s="20"/>
      <c r="Q14" s="20"/>
      <c r="R14" s="20"/>
    </row>
    <row r="15" spans="2:18" x14ac:dyDescent="0.3">
      <c r="B15" s="20"/>
      <c r="C15" s="20"/>
      <c r="D15" s="20"/>
      <c r="E15" s="20"/>
      <c r="F15" s="20"/>
      <c r="G15" s="20"/>
      <c r="H15" s="20"/>
      <c r="L15" s="20"/>
      <c r="M15" s="20"/>
      <c r="N15" s="20"/>
      <c r="O15" s="20"/>
      <c r="P15" s="20"/>
      <c r="Q15" s="20"/>
      <c r="R15" s="20"/>
    </row>
    <row r="16" spans="2:18" x14ac:dyDescent="0.3">
      <c r="B16" s="20"/>
      <c r="C16" s="20"/>
      <c r="D16" s="20"/>
      <c r="E16" s="20"/>
      <c r="F16" s="20"/>
      <c r="G16" s="20"/>
      <c r="H16" s="20"/>
      <c r="L16" s="20"/>
      <c r="M16" s="20"/>
      <c r="N16" s="20"/>
      <c r="O16" s="20"/>
      <c r="P16" s="20"/>
      <c r="Q16" s="20"/>
      <c r="R16" s="20"/>
    </row>
    <row r="17" spans="2:18" x14ac:dyDescent="0.3">
      <c r="B17" s="20"/>
      <c r="C17" s="20"/>
      <c r="D17" s="20"/>
      <c r="E17" s="20"/>
      <c r="F17" s="20"/>
      <c r="G17" s="20"/>
      <c r="H17" s="20"/>
      <c r="L17" s="20"/>
      <c r="M17" s="20"/>
      <c r="N17" s="20"/>
      <c r="O17" s="20"/>
      <c r="P17" s="20"/>
      <c r="Q17" s="20"/>
      <c r="R17" s="20"/>
    </row>
    <row r="18" spans="2:18" x14ac:dyDescent="0.3">
      <c r="B18" s="20"/>
      <c r="C18" s="20"/>
      <c r="D18" s="20"/>
      <c r="E18" s="20"/>
      <c r="F18" s="20"/>
      <c r="G18" s="20"/>
      <c r="H18" s="20"/>
      <c r="L18" s="20"/>
      <c r="M18" s="20"/>
      <c r="N18" s="20"/>
      <c r="O18" s="20"/>
      <c r="P18" s="20"/>
      <c r="Q18" s="20"/>
      <c r="R18" s="20"/>
    </row>
    <row r="19" spans="2:18" x14ac:dyDescent="0.3">
      <c r="B19" s="20"/>
      <c r="C19" s="20"/>
      <c r="D19" s="20"/>
      <c r="E19" s="20"/>
      <c r="F19" s="20"/>
      <c r="G19" s="20"/>
      <c r="H19" s="20"/>
      <c r="L19" s="20"/>
      <c r="M19" s="20"/>
      <c r="N19" s="20"/>
      <c r="O19" s="20"/>
      <c r="P19" s="20"/>
      <c r="Q19" s="20"/>
      <c r="R19" s="20"/>
    </row>
    <row r="20" spans="2:18" x14ac:dyDescent="0.3">
      <c r="B20" s="20"/>
      <c r="C20" s="20"/>
      <c r="D20" s="20"/>
      <c r="E20" s="20"/>
      <c r="F20" s="20"/>
      <c r="G20" s="20"/>
      <c r="H20" s="20"/>
      <c r="L20" s="20"/>
      <c r="M20" s="20"/>
      <c r="N20" s="20"/>
      <c r="O20" s="20"/>
      <c r="P20" s="20"/>
      <c r="Q20" s="20"/>
      <c r="R20" s="20"/>
    </row>
    <row r="21" spans="2:18" x14ac:dyDescent="0.3">
      <c r="B21" s="20"/>
      <c r="C21" s="20"/>
      <c r="D21" s="20"/>
      <c r="E21" s="20"/>
      <c r="F21" s="20"/>
      <c r="G21" s="20"/>
      <c r="H21" s="20"/>
      <c r="L21" s="20"/>
      <c r="M21" s="20"/>
      <c r="N21" s="20"/>
      <c r="O21" s="20"/>
      <c r="P21" s="20"/>
      <c r="Q21" s="20"/>
      <c r="R21" s="20"/>
    </row>
    <row r="22" spans="2:18" x14ac:dyDescent="0.3">
      <c r="B22" s="20"/>
      <c r="C22" s="20"/>
      <c r="D22" s="20"/>
      <c r="E22" s="20"/>
      <c r="F22" s="20"/>
      <c r="G22" s="20"/>
      <c r="H22" s="20"/>
      <c r="L22" s="20"/>
      <c r="M22" s="20"/>
      <c r="N22" s="20"/>
      <c r="O22" s="20"/>
      <c r="P22" s="20"/>
      <c r="Q22" s="20"/>
      <c r="R22" s="20"/>
    </row>
    <row r="23" spans="2:18" x14ac:dyDescent="0.3">
      <c r="B23" s="20"/>
      <c r="C23" s="20"/>
      <c r="D23" s="20"/>
      <c r="E23" s="20"/>
      <c r="F23" s="20"/>
      <c r="G23" s="20"/>
      <c r="H23" s="20"/>
      <c r="L23" s="20"/>
      <c r="M23" s="20"/>
      <c r="N23" s="20"/>
      <c r="O23" s="20"/>
      <c r="P23" s="20"/>
      <c r="Q23" s="20"/>
      <c r="R23" s="20"/>
    </row>
    <row r="24" spans="2:18" x14ac:dyDescent="0.3">
      <c r="B24" s="20"/>
      <c r="C24" s="20"/>
      <c r="D24" s="20"/>
      <c r="E24" s="20"/>
      <c r="F24" s="20"/>
      <c r="G24" s="20"/>
      <c r="H24" s="20"/>
      <c r="J24" t="s">
        <v>23</v>
      </c>
      <c r="L24" s="20"/>
      <c r="M24" s="20"/>
      <c r="N24" s="20"/>
      <c r="O24" s="20"/>
      <c r="P24" s="20"/>
      <c r="Q24" s="20"/>
      <c r="R24" s="20"/>
    </row>
    <row r="25" spans="2:18" x14ac:dyDescent="0.3">
      <c r="B25" s="20"/>
      <c r="C25" s="20"/>
      <c r="D25" s="20"/>
      <c r="E25" s="20"/>
      <c r="F25" s="20"/>
      <c r="G25" s="20"/>
      <c r="H25" s="20"/>
      <c r="L25" s="20"/>
      <c r="M25" s="20"/>
      <c r="N25" s="20"/>
      <c r="O25" s="20"/>
      <c r="P25" s="20"/>
      <c r="Q25" s="20"/>
      <c r="R25" s="20"/>
    </row>
    <row r="26" spans="2:18" x14ac:dyDescent="0.3">
      <c r="B26" s="20"/>
      <c r="C26" s="20"/>
      <c r="D26" s="20"/>
      <c r="E26" s="20"/>
      <c r="F26" s="20"/>
      <c r="G26" s="20"/>
      <c r="H26" s="20"/>
      <c r="L26" s="20"/>
      <c r="M26" s="20"/>
      <c r="N26" s="20"/>
      <c r="O26" s="20"/>
      <c r="P26" s="20"/>
      <c r="Q26" s="20"/>
      <c r="R26" s="20"/>
    </row>
    <row r="27" spans="2:18" x14ac:dyDescent="0.3">
      <c r="B27" s="20"/>
      <c r="C27" s="20"/>
      <c r="D27" s="20"/>
      <c r="E27" s="20"/>
      <c r="F27" s="20"/>
      <c r="G27" s="20"/>
      <c r="H27" s="20"/>
      <c r="L27" s="20"/>
      <c r="M27" s="20"/>
      <c r="N27" s="20"/>
      <c r="O27" s="20"/>
      <c r="P27" s="20"/>
      <c r="Q27" s="20"/>
      <c r="R27" s="20"/>
    </row>
    <row r="28" spans="2:18" x14ac:dyDescent="0.3">
      <c r="B28" s="20"/>
      <c r="C28" s="20"/>
      <c r="D28" s="20"/>
      <c r="E28" s="20"/>
      <c r="F28" s="20"/>
      <c r="G28" s="20"/>
      <c r="H28" s="20"/>
      <c r="L28" s="20"/>
      <c r="M28" s="20"/>
      <c r="N28" s="20"/>
      <c r="O28" s="20"/>
      <c r="P28" s="20"/>
      <c r="Q28" s="20"/>
      <c r="R28" s="20"/>
    </row>
    <row r="29" spans="2:18" x14ac:dyDescent="0.3">
      <c r="B29" s="20"/>
      <c r="C29" s="20"/>
      <c r="D29" s="20"/>
      <c r="E29" s="20"/>
      <c r="F29" s="20"/>
      <c r="G29" s="20"/>
      <c r="H29" s="20"/>
      <c r="L29" s="20"/>
      <c r="M29" s="20"/>
      <c r="N29" s="20"/>
      <c r="O29" s="20"/>
      <c r="P29" s="20"/>
      <c r="Q29" s="20"/>
      <c r="R29" s="20"/>
    </row>
    <row r="30" spans="2:18" x14ac:dyDescent="0.3">
      <c r="B30" s="20"/>
      <c r="C30" s="20"/>
      <c r="D30" s="20"/>
      <c r="E30" s="20"/>
      <c r="F30" s="20"/>
      <c r="G30" s="20"/>
      <c r="H30" s="20"/>
      <c r="L30" s="20"/>
      <c r="M30" s="20"/>
      <c r="N30" s="20"/>
      <c r="O30" s="20"/>
      <c r="P30" s="20"/>
      <c r="Q30" s="20"/>
      <c r="R30" s="20"/>
    </row>
    <row r="31" spans="2:18" x14ac:dyDescent="0.3">
      <c r="B31" s="20"/>
      <c r="C31" s="20"/>
      <c r="D31" s="20"/>
      <c r="E31" s="20"/>
      <c r="F31" s="20"/>
      <c r="G31" s="20"/>
      <c r="H31" s="20"/>
      <c r="L31" s="20"/>
      <c r="M31" s="20"/>
      <c r="N31" s="20"/>
      <c r="O31" s="20"/>
      <c r="P31" s="20"/>
      <c r="Q31" s="20"/>
      <c r="R31" s="20"/>
    </row>
    <row r="32" spans="2:18" x14ac:dyDescent="0.3">
      <c r="B32" s="20"/>
      <c r="C32" s="20"/>
      <c r="D32" s="20"/>
      <c r="E32" s="20"/>
      <c r="F32" s="20"/>
      <c r="G32" s="20"/>
      <c r="H32" s="20"/>
      <c r="L32" s="20"/>
      <c r="M32" s="20"/>
      <c r="N32" s="20"/>
      <c r="O32" s="20"/>
      <c r="P32" s="20"/>
      <c r="Q32" s="20"/>
      <c r="R32" s="20"/>
    </row>
    <row r="33" spans="2:18" x14ac:dyDescent="0.3">
      <c r="B33" s="20"/>
      <c r="C33" s="20"/>
      <c r="D33" s="20"/>
      <c r="E33" s="20"/>
      <c r="F33" s="20"/>
      <c r="G33" s="20"/>
      <c r="H33" s="20"/>
      <c r="L33" s="20"/>
      <c r="M33" s="20"/>
      <c r="N33" s="20"/>
      <c r="O33" s="20"/>
      <c r="P33" s="20"/>
      <c r="Q33" s="20"/>
      <c r="R33" s="20"/>
    </row>
    <row r="34" spans="2:18" x14ac:dyDescent="0.3">
      <c r="B34" s="20"/>
      <c r="C34" s="20"/>
      <c r="D34" s="20"/>
      <c r="E34" s="20"/>
      <c r="F34" s="20"/>
      <c r="G34" s="20"/>
      <c r="H34" s="20"/>
      <c r="L34" s="20"/>
      <c r="M34" s="20"/>
      <c r="N34" s="20"/>
      <c r="O34" s="20"/>
      <c r="P34" s="20"/>
      <c r="Q34" s="20"/>
      <c r="R34" s="20"/>
    </row>
    <row r="35" spans="2:18" x14ac:dyDescent="0.3">
      <c r="B35" s="20"/>
      <c r="C35" s="20"/>
      <c r="D35" s="20"/>
      <c r="E35" s="20"/>
      <c r="F35" s="20"/>
      <c r="G35" s="20"/>
      <c r="H35" s="20"/>
      <c r="L35" s="20"/>
      <c r="M35" s="20"/>
      <c r="N35" s="20"/>
      <c r="O35" s="20"/>
      <c r="P35" s="20"/>
      <c r="Q35" s="20"/>
      <c r="R35" s="20"/>
    </row>
    <row r="36" spans="2:18" x14ac:dyDescent="0.3">
      <c r="B36" s="20"/>
      <c r="C36" s="20"/>
      <c r="D36" s="20"/>
      <c r="E36" s="20"/>
      <c r="F36" s="20"/>
      <c r="G36" s="20"/>
      <c r="H36" s="20"/>
      <c r="L36" s="20"/>
      <c r="M36" s="20"/>
      <c r="N36" s="20"/>
      <c r="O36" s="20"/>
      <c r="P36" s="20"/>
      <c r="Q36" s="20"/>
      <c r="R36" s="20"/>
    </row>
    <row r="37" spans="2:18" x14ac:dyDescent="0.3">
      <c r="B37" s="20"/>
      <c r="C37" s="20"/>
      <c r="D37" s="20"/>
      <c r="E37" s="20"/>
      <c r="F37" s="20"/>
      <c r="G37" s="20"/>
      <c r="H37" s="20"/>
      <c r="L37" s="20"/>
      <c r="M37" s="20"/>
      <c r="N37" s="20"/>
      <c r="O37" s="20"/>
      <c r="P37" s="20"/>
      <c r="Q37" s="20"/>
      <c r="R37" s="20"/>
    </row>
    <row r="38" spans="2:18" x14ac:dyDescent="0.3">
      <c r="B38" s="20"/>
      <c r="C38" s="20"/>
      <c r="D38" s="20"/>
      <c r="E38" s="20"/>
      <c r="F38" s="20"/>
      <c r="G38" s="20"/>
      <c r="H38" s="20"/>
      <c r="L38" s="20"/>
      <c r="M38" s="20"/>
      <c r="N38" s="20"/>
      <c r="O38" s="20"/>
      <c r="P38" s="20"/>
      <c r="Q38" s="20"/>
      <c r="R38" s="20"/>
    </row>
    <row r="39" spans="2:18" x14ac:dyDescent="0.3">
      <c r="B39" s="20"/>
      <c r="C39" s="20"/>
      <c r="D39" s="20"/>
      <c r="E39" s="20"/>
      <c r="F39" s="20"/>
      <c r="G39" s="20"/>
      <c r="H39" s="20"/>
      <c r="L39" s="20"/>
      <c r="M39" s="20"/>
      <c r="N39" s="20"/>
      <c r="O39" s="20"/>
      <c r="P39" s="20"/>
      <c r="Q39" s="20"/>
      <c r="R39" s="20"/>
    </row>
    <row r="40" spans="2:18" x14ac:dyDescent="0.3">
      <c r="B40" s="20"/>
      <c r="C40" s="20"/>
      <c r="D40" s="20"/>
      <c r="E40" s="20"/>
      <c r="F40" s="20"/>
      <c r="G40" s="20"/>
      <c r="H40" s="20"/>
      <c r="L40" s="20"/>
      <c r="M40" s="20"/>
      <c r="N40" s="20"/>
      <c r="O40" s="20"/>
      <c r="P40" s="20"/>
      <c r="Q40" s="20"/>
      <c r="R40" s="20"/>
    </row>
    <row r="41" spans="2:18" x14ac:dyDescent="0.3">
      <c r="B41" s="20"/>
      <c r="C41" s="20"/>
      <c r="D41" s="20"/>
      <c r="E41" s="20"/>
      <c r="F41" s="20"/>
      <c r="G41" s="20"/>
      <c r="H41" s="20"/>
      <c r="L41" s="20"/>
      <c r="M41" s="20"/>
      <c r="N41" s="20"/>
      <c r="O41" s="20"/>
      <c r="P41" s="20"/>
      <c r="Q41" s="20"/>
      <c r="R41" s="20"/>
    </row>
    <row r="42" spans="2:18" x14ac:dyDescent="0.3">
      <c r="B42" s="20"/>
      <c r="C42" s="20"/>
      <c r="D42" s="20"/>
      <c r="E42" s="20"/>
      <c r="F42" s="20"/>
      <c r="G42" s="20"/>
      <c r="H42" s="20"/>
    </row>
    <row r="43" spans="2:18" x14ac:dyDescent="0.3">
      <c r="B43" s="20"/>
      <c r="C43" s="20"/>
      <c r="D43" s="20"/>
      <c r="E43" s="20"/>
      <c r="F43" s="20"/>
      <c r="G43" s="20"/>
      <c r="H43" s="20"/>
    </row>
    <row r="44" spans="2:18" x14ac:dyDescent="0.3">
      <c r="B44" s="20"/>
      <c r="C44" s="20"/>
      <c r="D44" s="20"/>
      <c r="E44" s="20"/>
      <c r="F44" s="20"/>
      <c r="G44" s="20"/>
      <c r="H44" s="20"/>
    </row>
    <row r="45" spans="2:18" x14ac:dyDescent="0.3">
      <c r="B45" s="20"/>
      <c r="C45" s="20"/>
      <c r="D45" s="20"/>
      <c r="E45" s="20"/>
      <c r="F45" s="20"/>
      <c r="G45" s="20"/>
      <c r="H45" s="20"/>
    </row>
    <row r="46" spans="2:18" x14ac:dyDescent="0.3">
      <c r="B46" s="20"/>
      <c r="C46" s="20"/>
      <c r="D46" s="20"/>
      <c r="E46" s="20"/>
      <c r="F46" s="20"/>
      <c r="G46" s="20"/>
      <c r="H46" s="20"/>
    </row>
    <row r="47" spans="2:18" x14ac:dyDescent="0.3">
      <c r="B47" s="20"/>
      <c r="C47" s="20"/>
      <c r="D47" s="20"/>
      <c r="E47" s="20"/>
      <c r="F47" s="20"/>
      <c r="G47" s="20"/>
      <c r="H47" s="20"/>
    </row>
    <row r="48" spans="2:18" x14ac:dyDescent="0.3">
      <c r="B48" s="20"/>
      <c r="C48" s="20"/>
      <c r="D48" s="20"/>
      <c r="E48" s="20"/>
      <c r="F48" s="20"/>
      <c r="G48" s="20"/>
      <c r="H48" s="20"/>
    </row>
    <row r="49" spans="2:8" x14ac:dyDescent="0.3">
      <c r="B49" s="20"/>
      <c r="C49" s="20"/>
      <c r="D49" s="20"/>
      <c r="E49" s="20"/>
      <c r="F49" s="20"/>
      <c r="G49" s="20"/>
      <c r="H49" s="20"/>
    </row>
    <row r="50" spans="2:8" x14ac:dyDescent="0.3">
      <c r="B50" s="20"/>
      <c r="C50" s="20"/>
      <c r="D50" s="20"/>
      <c r="E50" s="20"/>
      <c r="F50" s="20"/>
      <c r="G50" s="20"/>
      <c r="H50" s="20"/>
    </row>
    <row r="51" spans="2:8" x14ac:dyDescent="0.3">
      <c r="B51" s="20"/>
      <c r="C51" s="20"/>
      <c r="D51" s="20"/>
      <c r="E51" s="20"/>
      <c r="F51" s="20"/>
      <c r="G51" s="20"/>
      <c r="H51" s="20"/>
    </row>
    <row r="52" spans="2:8" x14ac:dyDescent="0.3">
      <c r="B52" s="20"/>
      <c r="C52" s="20"/>
      <c r="D52" s="20"/>
      <c r="E52" s="20"/>
      <c r="F52" s="20"/>
      <c r="G52" s="20"/>
      <c r="H52" s="20"/>
    </row>
    <row r="53" spans="2:8" x14ac:dyDescent="0.3">
      <c r="B53" s="20"/>
      <c r="C53" s="20"/>
      <c r="D53" s="20"/>
      <c r="E53" s="20"/>
      <c r="F53" s="20"/>
      <c r="G53" s="20"/>
      <c r="H53" s="20"/>
    </row>
    <row r="54" spans="2:8" x14ac:dyDescent="0.3">
      <c r="B54" s="20"/>
      <c r="C54" s="20"/>
      <c r="D54" s="20"/>
      <c r="E54" s="20"/>
      <c r="F54" s="20"/>
      <c r="G54" s="20"/>
      <c r="H54" s="20"/>
    </row>
    <row r="55" spans="2:8" x14ac:dyDescent="0.3">
      <c r="B55" s="20"/>
      <c r="C55" s="20"/>
      <c r="D55" s="20"/>
      <c r="E55" s="20"/>
      <c r="F55" s="20"/>
      <c r="G55" s="20"/>
      <c r="H55" s="20"/>
    </row>
    <row r="56" spans="2:8" x14ac:dyDescent="0.3">
      <c r="B56" s="20"/>
      <c r="C56" s="20"/>
      <c r="D56" s="20"/>
      <c r="E56" s="20"/>
      <c r="F56" s="20"/>
      <c r="G56" s="20"/>
      <c r="H56" s="20"/>
    </row>
    <row r="57" spans="2:8" x14ac:dyDescent="0.3">
      <c r="B57" s="20"/>
      <c r="C57" s="20"/>
      <c r="D57" s="20"/>
      <c r="E57" s="20"/>
      <c r="F57" s="20"/>
      <c r="G57" s="20"/>
      <c r="H57" s="20"/>
    </row>
    <row r="58" spans="2:8" x14ac:dyDescent="0.3">
      <c r="B58" s="20"/>
      <c r="C58" s="20"/>
      <c r="D58" s="20"/>
      <c r="E58" s="20"/>
      <c r="F58" s="20"/>
      <c r="G58" s="20"/>
      <c r="H58" s="20"/>
    </row>
    <row r="59" spans="2:8" x14ac:dyDescent="0.3">
      <c r="B59" s="20"/>
      <c r="C59" s="20"/>
      <c r="D59" s="20"/>
      <c r="E59" s="20"/>
      <c r="F59" s="20"/>
      <c r="G59" s="20"/>
      <c r="H59" s="20"/>
    </row>
    <row r="60" spans="2:8" x14ac:dyDescent="0.3">
      <c r="B60" s="20"/>
      <c r="C60" s="20"/>
      <c r="D60" s="20"/>
      <c r="E60" s="20"/>
      <c r="F60" s="20"/>
      <c r="G60" s="20"/>
      <c r="H60" s="20"/>
    </row>
    <row r="61" spans="2:8" x14ac:dyDescent="0.3">
      <c r="B61" s="20"/>
      <c r="C61" s="20"/>
      <c r="D61" s="20"/>
      <c r="E61" s="20"/>
      <c r="F61" s="20"/>
      <c r="G61" s="20"/>
      <c r="H61" s="20"/>
    </row>
    <row r="62" spans="2:8" x14ac:dyDescent="0.3">
      <c r="B62" s="20"/>
      <c r="C62" s="20"/>
      <c r="D62" s="20"/>
      <c r="E62" s="20"/>
      <c r="F62" s="20"/>
      <c r="G62" s="20"/>
      <c r="H62" s="20"/>
    </row>
    <row r="63" spans="2:8" x14ac:dyDescent="0.3">
      <c r="B63" s="20"/>
      <c r="C63" s="20"/>
      <c r="D63" s="20"/>
      <c r="E63" s="20"/>
      <c r="F63" s="20"/>
      <c r="G63" s="20"/>
      <c r="H63" s="20"/>
    </row>
    <row r="64" spans="2:8" x14ac:dyDescent="0.3">
      <c r="B64" s="20"/>
      <c r="C64" s="20"/>
      <c r="D64" s="20"/>
      <c r="E64" s="20"/>
      <c r="F64" s="20"/>
      <c r="G64" s="20"/>
      <c r="H64" s="20"/>
    </row>
    <row r="65" spans="2:8" x14ac:dyDescent="0.3">
      <c r="B65" s="20"/>
      <c r="C65" s="20"/>
      <c r="D65" s="20"/>
      <c r="E65" s="20"/>
      <c r="F65" s="20"/>
      <c r="G65" s="20"/>
      <c r="H65" s="20"/>
    </row>
    <row r="66" spans="2:8" x14ac:dyDescent="0.3">
      <c r="B66" s="20"/>
      <c r="C66" s="20"/>
      <c r="D66" s="20"/>
      <c r="E66" s="20"/>
      <c r="F66" s="20"/>
      <c r="G66" s="20"/>
      <c r="H66" s="20"/>
    </row>
    <row r="67" spans="2:8" x14ac:dyDescent="0.3">
      <c r="B67" s="20"/>
      <c r="C67" s="20"/>
      <c r="D67" s="20"/>
      <c r="E67" s="20"/>
      <c r="F67" s="20"/>
      <c r="G67" s="20"/>
      <c r="H67" s="20"/>
    </row>
    <row r="68" spans="2:8" x14ac:dyDescent="0.3">
      <c r="B68" s="20"/>
      <c r="C68" s="20"/>
      <c r="D68" s="20"/>
      <c r="E68" s="20"/>
      <c r="F68" s="20"/>
      <c r="G68" s="20"/>
      <c r="H68" s="20"/>
    </row>
    <row r="69" spans="2:8" x14ac:dyDescent="0.3">
      <c r="B69" s="20"/>
      <c r="C69" s="20"/>
      <c r="D69" s="20"/>
      <c r="E69" s="20"/>
      <c r="F69" s="20"/>
      <c r="G69" s="20"/>
      <c r="H69" s="20"/>
    </row>
    <row r="70" spans="2:8" x14ac:dyDescent="0.3">
      <c r="B70" s="20"/>
      <c r="C70" s="20"/>
      <c r="D70" s="20"/>
      <c r="E70" s="20"/>
      <c r="F70" s="20"/>
      <c r="G70" s="20"/>
      <c r="H70" s="20"/>
    </row>
    <row r="71" spans="2:8" x14ac:dyDescent="0.3">
      <c r="B71" s="20"/>
      <c r="C71" s="20"/>
      <c r="D71" s="20"/>
      <c r="E71" s="20"/>
      <c r="F71" s="20"/>
      <c r="G71" s="20"/>
      <c r="H71" s="20"/>
    </row>
    <row r="72" spans="2:8" x14ac:dyDescent="0.3">
      <c r="B72" s="20"/>
      <c r="C72" s="20"/>
      <c r="D72" s="20"/>
      <c r="E72" s="20"/>
      <c r="F72" s="20"/>
      <c r="G72" s="20"/>
      <c r="H72" s="20"/>
    </row>
    <row r="73" spans="2:8" x14ac:dyDescent="0.3">
      <c r="B73" s="20"/>
      <c r="C73" s="20"/>
      <c r="D73" s="20"/>
      <c r="E73" s="20"/>
      <c r="F73" s="20"/>
      <c r="G73" s="20"/>
      <c r="H73" s="20"/>
    </row>
    <row r="74" spans="2:8" x14ac:dyDescent="0.3">
      <c r="B74" s="20"/>
      <c r="C74" s="20"/>
      <c r="D74" s="20"/>
      <c r="E74" s="20"/>
      <c r="F74" s="20"/>
      <c r="G74" s="20"/>
      <c r="H74" s="20"/>
    </row>
    <row r="75" spans="2:8" x14ac:dyDescent="0.3">
      <c r="B75" s="20"/>
      <c r="C75" s="20"/>
      <c r="D75" s="20"/>
      <c r="E75" s="20"/>
      <c r="F75" s="20"/>
      <c r="G75" s="20"/>
      <c r="H75" s="20"/>
    </row>
    <row r="76" spans="2:8" x14ac:dyDescent="0.3">
      <c r="B76" s="20"/>
      <c r="C76" s="20"/>
      <c r="D76" s="20"/>
      <c r="E76" s="20"/>
      <c r="F76" s="20"/>
      <c r="G76" s="20"/>
      <c r="H76" s="20"/>
    </row>
    <row r="77" spans="2:8" x14ac:dyDescent="0.3">
      <c r="B77" s="20"/>
      <c r="C77" s="20"/>
      <c r="D77" s="20"/>
      <c r="E77" s="20"/>
      <c r="F77" s="20"/>
      <c r="G77" s="20"/>
      <c r="H77" s="20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H51"/>
  <sheetViews>
    <sheetView workbookViewId="0">
      <selection activeCell="E43" sqref="E43"/>
    </sheetView>
  </sheetViews>
  <sheetFormatPr defaultRowHeight="14.4" x14ac:dyDescent="0.3"/>
  <cols>
    <col min="1" max="1" width="14.21875" bestFit="1" customWidth="1"/>
    <col min="2" max="2" width="13.109375" bestFit="1" customWidth="1"/>
    <col min="6" max="6" width="13.33203125" customWidth="1"/>
    <col min="7" max="7" width="15.6640625" customWidth="1"/>
    <col min="8" max="8" width="17.109375" customWidth="1"/>
  </cols>
  <sheetData>
    <row r="1" spans="1:8" ht="14.4" customHeight="1" x14ac:dyDescent="0.3">
      <c r="A1" s="23" t="s">
        <v>26</v>
      </c>
      <c r="B1" s="24"/>
      <c r="D1" s="21" t="s">
        <v>24</v>
      </c>
      <c r="E1" s="21" t="s">
        <v>25</v>
      </c>
      <c r="F1" s="21" t="s">
        <v>9</v>
      </c>
      <c r="G1" s="21" t="s">
        <v>28</v>
      </c>
      <c r="H1" s="21" t="s">
        <v>29</v>
      </c>
    </row>
    <row r="2" spans="1:8" ht="14.4" customHeight="1" thickBot="1" x14ac:dyDescent="0.35">
      <c r="A2" s="25"/>
      <c r="B2" s="26"/>
      <c r="D2" s="22"/>
      <c r="E2" s="22"/>
      <c r="F2" s="22"/>
      <c r="G2" s="22"/>
      <c r="H2" s="22"/>
    </row>
    <row r="3" spans="1:8" x14ac:dyDescent="0.3">
      <c r="A3" s="1" t="s">
        <v>2</v>
      </c>
      <c r="B3" s="1" t="s">
        <v>21</v>
      </c>
      <c r="D3" s="9">
        <f>1</f>
        <v>1</v>
      </c>
      <c r="E3" s="9" cm="1">
        <f t="array" ref="E3:F3">PriceTreeStep(D3)</f>
        <v>5</v>
      </c>
      <c r="F3" s="9">
        <v>0</v>
      </c>
      <c r="G3" s="10" t="str">
        <f>IF(AND($E3&lt;&gt;"", $A$17&lt;&gt;""), $E3-$A$17, "")</f>
        <v/>
      </c>
      <c r="H3" s="10" t="str">
        <f>IF($G3&lt;&gt;"", $G3*$D3, "")</f>
        <v/>
      </c>
    </row>
    <row r="4" spans="1:8" x14ac:dyDescent="0.3">
      <c r="A4" s="1" t="s">
        <v>3</v>
      </c>
      <c r="B4" s="1" t="s">
        <v>22</v>
      </c>
      <c r="D4" s="7">
        <v>5</v>
      </c>
      <c r="E4" s="9" cm="1">
        <f t="array" ref="E4:F4">PriceTreeStep(D4)</f>
        <v>12.233802874789152</v>
      </c>
      <c r="F4" s="7">
        <v>0</v>
      </c>
      <c r="G4" s="8" t="str">
        <f t="shared" ref="G4:G51" si="0">IF(AND($E4&lt;&gt;"", $A$17&lt;&gt;""), $E4-$A$17, "")</f>
        <v/>
      </c>
      <c r="H4" s="8" t="str">
        <f t="shared" ref="H4:H51" si="1">IF($G4&lt;&gt;"", $G4*$D4, "")</f>
        <v/>
      </c>
    </row>
    <row r="5" spans="1:8" x14ac:dyDescent="0.3">
      <c r="A5" s="1" t="s">
        <v>18</v>
      </c>
      <c r="B5" s="1">
        <v>100</v>
      </c>
      <c r="D5" s="7">
        <v>10</v>
      </c>
      <c r="E5" s="9" cm="1">
        <f t="array" ref="E5:F5">PriceTreeStep(D5)</f>
        <v>12.649620027924502</v>
      </c>
      <c r="F5" s="7">
        <v>0</v>
      </c>
      <c r="G5" s="8" t="str">
        <f t="shared" si="0"/>
        <v/>
      </c>
      <c r="H5" s="8" t="str">
        <f t="shared" si="1"/>
        <v/>
      </c>
    </row>
    <row r="6" spans="1:8" x14ac:dyDescent="0.3">
      <c r="A6" s="1" t="s">
        <v>19</v>
      </c>
      <c r="B6" s="1">
        <v>95</v>
      </c>
      <c r="D6" s="7">
        <v>20</v>
      </c>
      <c r="E6" s="9" cm="1">
        <f t="array" ref="E6:F6">PriceTreeStep(D6)</f>
        <v>13.042881644990647</v>
      </c>
      <c r="F6" s="7">
        <v>0</v>
      </c>
      <c r="G6" s="8" t="str">
        <f t="shared" si="0"/>
        <v/>
      </c>
      <c r="H6" s="8" t="str">
        <f t="shared" si="1"/>
        <v/>
      </c>
    </row>
    <row r="7" spans="1:8" x14ac:dyDescent="0.3">
      <c r="A7" s="1" t="s">
        <v>4</v>
      </c>
      <c r="B7" s="6">
        <v>0.2</v>
      </c>
      <c r="D7" s="7">
        <v>30</v>
      </c>
      <c r="E7" s="9" cm="1">
        <f t="array" ref="E7:F7">PriceTreeStep(D7)</f>
        <v>13.162633736050946</v>
      </c>
      <c r="F7" s="7">
        <v>0</v>
      </c>
      <c r="G7" s="8" t="str">
        <f t="shared" si="0"/>
        <v/>
      </c>
      <c r="H7" s="8" t="str">
        <f t="shared" si="1"/>
        <v/>
      </c>
    </row>
    <row r="8" spans="1:8" x14ac:dyDescent="0.3">
      <c r="A8" s="1" t="s">
        <v>6</v>
      </c>
      <c r="B8" s="1">
        <v>1</v>
      </c>
      <c r="D8" s="7">
        <v>50</v>
      </c>
      <c r="E8" s="9" cm="1">
        <f t="array" ref="E8:F8">PriceTreeStep(D8)</f>
        <v>13.195291663783172</v>
      </c>
      <c r="F8" s="7">
        <v>1.953125E-2</v>
      </c>
      <c r="G8" s="8" t="str">
        <f t="shared" si="0"/>
        <v/>
      </c>
      <c r="H8" s="8" t="str">
        <f t="shared" si="1"/>
        <v/>
      </c>
    </row>
    <row r="9" spans="1:8" x14ac:dyDescent="0.3">
      <c r="A9" s="1" t="s">
        <v>5</v>
      </c>
      <c r="B9" s="6">
        <v>0.05</v>
      </c>
      <c r="D9" s="7">
        <v>75</v>
      </c>
      <c r="E9" s="9" cm="1">
        <f t="array" ref="E9:F9">PriceTreeStep(D9)</f>
        <v>13.273560995150662</v>
      </c>
      <c r="F9" s="7">
        <v>3.125E-2</v>
      </c>
      <c r="G9" s="8" t="str">
        <f t="shared" si="0"/>
        <v/>
      </c>
      <c r="H9" s="8" t="str">
        <f t="shared" si="1"/>
        <v/>
      </c>
    </row>
    <row r="10" spans="1:8" x14ac:dyDescent="0.3">
      <c r="A10" s="1" t="s">
        <v>17</v>
      </c>
      <c r="B10" s="1">
        <v>0</v>
      </c>
      <c r="D10" s="7">
        <v>100</v>
      </c>
      <c r="E10" s="9" cm="1">
        <f t="array" ref="E10:F10">PriceTreeStep(D10)</f>
        <v>13.275168625709995</v>
      </c>
      <c r="F10" s="7">
        <v>4.6875E-2</v>
      </c>
      <c r="G10" s="8" t="str">
        <f t="shared" si="0"/>
        <v/>
      </c>
      <c r="H10" s="8" t="str">
        <f t="shared" si="1"/>
        <v/>
      </c>
    </row>
    <row r="11" spans="1:8" x14ac:dyDescent="0.3">
      <c r="A11" s="1" t="s">
        <v>16</v>
      </c>
      <c r="B11" s="5">
        <v>45292</v>
      </c>
      <c r="D11" s="7">
        <v>125</v>
      </c>
      <c r="E11" s="9" cm="1">
        <f t="array" ref="E11:F11">PriceTreeStep(D11)</f>
        <v>13.297785474379225</v>
      </c>
      <c r="F11" s="7">
        <v>8.984375E-2</v>
      </c>
      <c r="G11" s="8" t="str">
        <f t="shared" si="0"/>
        <v/>
      </c>
      <c r="H11" s="8" t="str">
        <f t="shared" si="1"/>
        <v/>
      </c>
    </row>
    <row r="12" spans="1:8" x14ac:dyDescent="0.3">
      <c r="A12" s="1" t="s">
        <v>15</v>
      </c>
      <c r="B12" s="5"/>
      <c r="D12" s="7">
        <f>D11+25</f>
        <v>150</v>
      </c>
      <c r="E12" s="9" cm="1">
        <f t="array" ref="E12:F12">PriceTreeStep(D12)</f>
        <v>13.309765247556847</v>
      </c>
      <c r="F12" s="7">
        <v>6.25E-2</v>
      </c>
      <c r="G12" s="8" t="str">
        <f t="shared" si="0"/>
        <v/>
      </c>
      <c r="H12" s="8" t="str">
        <f t="shared" si="1"/>
        <v/>
      </c>
    </row>
    <row r="13" spans="1:8" x14ac:dyDescent="0.3">
      <c r="D13" s="7">
        <f t="shared" ref="D13:D26" si="2">D12+25</f>
        <v>175</v>
      </c>
      <c r="E13" s="9" cm="1">
        <f t="array" ref="E13:F13">PriceTreeStep(D13)</f>
        <v>13.30805630686049</v>
      </c>
      <c r="F13" s="7">
        <v>0.14453125</v>
      </c>
      <c r="G13" s="8" t="str">
        <f t="shared" si="0"/>
        <v/>
      </c>
      <c r="H13" s="8" t="str">
        <f t="shared" si="1"/>
        <v/>
      </c>
    </row>
    <row r="14" spans="1:8" ht="14.4" customHeight="1" x14ac:dyDescent="0.3">
      <c r="A14" s="27" t="s">
        <v>10</v>
      </c>
      <c r="B14" s="28"/>
      <c r="D14" s="7">
        <f t="shared" si="2"/>
        <v>200</v>
      </c>
      <c r="E14" s="9" cm="1">
        <f t="array" ref="E14:F14">PriceTreeStep(D14)</f>
        <v>13.312035407263924</v>
      </c>
      <c r="F14" s="7">
        <v>0.109375</v>
      </c>
      <c r="G14" s="8" t="str">
        <f t="shared" si="0"/>
        <v/>
      </c>
      <c r="H14" s="8" t="str">
        <f t="shared" si="1"/>
        <v/>
      </c>
    </row>
    <row r="15" spans="1:8" ht="14.4" customHeight="1" x14ac:dyDescent="0.3">
      <c r="A15" s="27"/>
      <c r="B15" s="28"/>
      <c r="D15" s="7">
        <f t="shared" si="2"/>
        <v>225</v>
      </c>
      <c r="E15" s="9" cm="1">
        <f t="array" ref="E15:F15">PriceTreeStep(D15)</f>
        <v>13.321453893289123</v>
      </c>
      <c r="F15" s="7">
        <v>0.12890625</v>
      </c>
      <c r="G15" s="8" t="str">
        <f t="shared" si="0"/>
        <v/>
      </c>
      <c r="H15" s="8" t="str">
        <f t="shared" si="1"/>
        <v/>
      </c>
    </row>
    <row r="16" spans="1:8" x14ac:dyDescent="0.3">
      <c r="A16" s="1" t="s">
        <v>12</v>
      </c>
      <c r="B16" s="1" t="s">
        <v>9</v>
      </c>
      <c r="D16" s="7">
        <f t="shared" si="2"/>
        <v>250</v>
      </c>
      <c r="E16" s="9" cm="1">
        <f t="array" ref="E16:F16">PriceTreeStep(D16)</f>
        <v>13.324129272967527</v>
      </c>
      <c r="F16" s="7">
        <v>0.15625</v>
      </c>
      <c r="G16" s="8" t="str">
        <f t="shared" si="0"/>
        <v/>
      </c>
      <c r="H16" s="8" t="str">
        <f t="shared" si="1"/>
        <v/>
      </c>
    </row>
    <row r="17" spans="4:8" x14ac:dyDescent="0.3">
      <c r="D17" s="7">
        <f t="shared" si="2"/>
        <v>275</v>
      </c>
      <c r="E17" s="9" cm="1">
        <f t="array" ref="E17:F17">PriceTreeStep(D17)</f>
        <v>13.322451060626781</v>
      </c>
      <c r="F17" s="7">
        <v>0.17578125</v>
      </c>
      <c r="G17" s="8" t="str">
        <f t="shared" si="0"/>
        <v/>
      </c>
      <c r="H17" s="8" t="str">
        <f t="shared" si="1"/>
        <v/>
      </c>
    </row>
    <row r="18" spans="4:8" x14ac:dyDescent="0.3">
      <c r="D18" s="7">
        <f t="shared" si="2"/>
        <v>300</v>
      </c>
      <c r="E18" s="9" cm="1">
        <f t="array" ref="E18:F18">PriceTreeStep(D18)</f>
        <v>13.321678719298442</v>
      </c>
      <c r="F18" s="7">
        <v>0.22265625</v>
      </c>
      <c r="G18" s="8" t="str">
        <f t="shared" si="0"/>
        <v/>
      </c>
      <c r="H18" s="8" t="str">
        <f t="shared" si="1"/>
        <v/>
      </c>
    </row>
    <row r="19" spans="4:8" x14ac:dyDescent="0.3">
      <c r="D19" s="7">
        <f t="shared" si="2"/>
        <v>325</v>
      </c>
      <c r="E19" s="9" cm="1">
        <f t="array" ref="E19:F19">PriceTreeStep(D19)</f>
        <v>13.327891226129612</v>
      </c>
      <c r="F19" s="7">
        <v>0.21875</v>
      </c>
      <c r="G19" s="8" t="str">
        <f t="shared" si="0"/>
        <v/>
      </c>
      <c r="H19" s="8" t="str">
        <f t="shared" si="1"/>
        <v/>
      </c>
    </row>
    <row r="20" spans="4:8" x14ac:dyDescent="0.3">
      <c r="D20" s="7">
        <f t="shared" si="2"/>
        <v>350</v>
      </c>
      <c r="E20" s="9" cm="1">
        <f t="array" ref="E20:F20">PriceTreeStep(D20)</f>
        <v>13.330808547412669</v>
      </c>
      <c r="F20" s="7">
        <v>0.265625</v>
      </c>
      <c r="G20" s="8" t="str">
        <f t="shared" si="0"/>
        <v/>
      </c>
      <c r="H20" s="8" t="str">
        <f t="shared" si="1"/>
        <v/>
      </c>
    </row>
    <row r="21" spans="4:8" x14ac:dyDescent="0.3">
      <c r="D21" s="7">
        <f t="shared" si="2"/>
        <v>375</v>
      </c>
      <c r="E21" s="9" cm="1">
        <f t="array" ref="E21:F21">PriceTreeStep(D21)</f>
        <v>13.331285975268786</v>
      </c>
      <c r="F21" s="7">
        <v>0.28515625</v>
      </c>
      <c r="G21" s="8" t="str">
        <f t="shared" si="0"/>
        <v/>
      </c>
      <c r="H21" s="8" t="str">
        <f t="shared" si="1"/>
        <v/>
      </c>
    </row>
    <row r="22" spans="4:8" x14ac:dyDescent="0.3">
      <c r="D22" s="7">
        <f t="shared" si="2"/>
        <v>400</v>
      </c>
      <c r="E22" s="9" cm="1">
        <f t="array" ref="E22:F22">PriceTreeStep(D22)</f>
        <v>13.329941832740159</v>
      </c>
      <c r="F22" s="7">
        <v>0.31640625</v>
      </c>
      <c r="G22" s="8" t="str">
        <f t="shared" si="0"/>
        <v/>
      </c>
      <c r="H22" s="8" t="str">
        <f t="shared" si="1"/>
        <v/>
      </c>
    </row>
    <row r="23" spans="4:8" x14ac:dyDescent="0.3">
      <c r="D23" s="7">
        <f t="shared" si="2"/>
        <v>425</v>
      </c>
      <c r="E23" s="9" cm="1">
        <f t="array" ref="E23:F23">PriceTreeStep(D23)</f>
        <v>13.328223839195781</v>
      </c>
      <c r="F23" s="7">
        <v>0.5625</v>
      </c>
      <c r="G23" s="8" t="str">
        <f t="shared" si="0"/>
        <v/>
      </c>
      <c r="H23" s="8" t="str">
        <f t="shared" si="1"/>
        <v/>
      </c>
    </row>
    <row r="24" spans="4:8" x14ac:dyDescent="0.3">
      <c r="D24" s="7">
        <f t="shared" si="2"/>
        <v>450</v>
      </c>
      <c r="E24" s="9" cm="1">
        <f t="array" ref="E24:F24">PriceTreeStep(D24)</f>
        <v>13.332249427111936</v>
      </c>
      <c r="F24" s="7">
        <v>0.39453125</v>
      </c>
      <c r="G24" s="8" t="str">
        <f t="shared" si="0"/>
        <v/>
      </c>
      <c r="H24" s="8" t="str">
        <f t="shared" si="1"/>
        <v/>
      </c>
    </row>
    <row r="25" spans="4:8" x14ac:dyDescent="0.3">
      <c r="D25" s="7">
        <f t="shared" si="2"/>
        <v>475</v>
      </c>
      <c r="E25" s="9" cm="1">
        <f t="array" ref="E25:F25">PriceTreeStep(D25)</f>
        <v>13.334571611379317</v>
      </c>
      <c r="F25" s="7">
        <v>0.703125</v>
      </c>
      <c r="G25" s="8" t="str">
        <f t="shared" si="0"/>
        <v/>
      </c>
      <c r="H25" s="8" t="str">
        <f t="shared" si="1"/>
        <v/>
      </c>
    </row>
    <row r="26" spans="4:8" x14ac:dyDescent="0.3">
      <c r="D26" s="7">
        <f t="shared" si="2"/>
        <v>500</v>
      </c>
      <c r="E26" s="9" cm="1">
        <f t="array" ref="E26:F26">PriceTreeStep(D26)</f>
        <v>13.335523495052209</v>
      </c>
      <c r="F26" s="7">
        <v>0.4375</v>
      </c>
      <c r="G26" s="8" t="str">
        <f t="shared" si="0"/>
        <v/>
      </c>
      <c r="H26" s="8" t="str">
        <f t="shared" si="1"/>
        <v/>
      </c>
    </row>
    <row r="27" spans="4:8" x14ac:dyDescent="0.3">
      <c r="D27" s="7">
        <f>D26+50</f>
        <v>550</v>
      </c>
      <c r="E27" s="9" cm="1">
        <f t="array" ref="E27:F27">PriceTreeStep(D27)</f>
        <v>13.334314138758428</v>
      </c>
      <c r="F27" s="7">
        <v>0.50390625</v>
      </c>
      <c r="G27" s="8" t="str">
        <f t="shared" si="0"/>
        <v/>
      </c>
      <c r="H27" s="8" t="str">
        <f t="shared" si="1"/>
        <v/>
      </c>
    </row>
    <row r="28" spans="4:8" x14ac:dyDescent="0.3">
      <c r="D28" s="7">
        <f t="shared" ref="D28:D36" si="3">D27+50</f>
        <v>600</v>
      </c>
      <c r="E28" s="9" cm="1">
        <f t="array" ref="E28:F28">PriceTreeStep(D28)</f>
        <v>13.335383621662331</v>
      </c>
      <c r="F28" s="7">
        <v>0.5703125</v>
      </c>
      <c r="G28" s="8" t="str">
        <f t="shared" si="0"/>
        <v/>
      </c>
      <c r="H28" s="8" t="str">
        <f t="shared" si="1"/>
        <v/>
      </c>
    </row>
    <row r="29" spans="4:8" x14ac:dyDescent="0.3">
      <c r="D29" s="7">
        <f t="shared" si="3"/>
        <v>650</v>
      </c>
      <c r="E29" s="9" cm="1">
        <f t="array" ref="E29:F29">PriceTreeStep(D29)</f>
        <v>13.338017463193999</v>
      </c>
      <c r="F29" s="7">
        <v>0.64453125</v>
      </c>
      <c r="G29" s="8" t="str">
        <f t="shared" si="0"/>
        <v/>
      </c>
      <c r="H29" s="8" t="str">
        <f t="shared" si="1"/>
        <v/>
      </c>
    </row>
    <row r="30" spans="4:8" x14ac:dyDescent="0.3">
      <c r="D30" s="7">
        <f t="shared" si="3"/>
        <v>700</v>
      </c>
      <c r="E30" s="9" cm="1">
        <f t="array" ref="E30:F30">PriceTreeStep(D30)</f>
        <v>13.337916327904633</v>
      </c>
      <c r="F30" s="7">
        <v>0.71875</v>
      </c>
      <c r="G30" s="8" t="str">
        <f t="shared" si="0"/>
        <v/>
      </c>
      <c r="H30" s="8" t="str">
        <f t="shared" si="1"/>
        <v/>
      </c>
    </row>
    <row r="31" spans="4:8" x14ac:dyDescent="0.3">
      <c r="D31" s="7">
        <f t="shared" si="3"/>
        <v>750</v>
      </c>
      <c r="E31" s="9" cm="1">
        <f t="array" ref="E31:F31">PriceTreeStep(D31)</f>
        <v>13.335894615674485</v>
      </c>
      <c r="F31" s="7">
        <v>0.8046875</v>
      </c>
      <c r="G31" s="8" t="str">
        <f t="shared" si="0"/>
        <v/>
      </c>
      <c r="H31" s="8" t="str">
        <f t="shared" si="1"/>
        <v/>
      </c>
    </row>
    <row r="32" spans="4:8" x14ac:dyDescent="0.3">
      <c r="D32" s="7">
        <f t="shared" si="3"/>
        <v>800</v>
      </c>
      <c r="E32" s="9" cm="1">
        <f t="array" ref="E32:F32">PriceTreeStep(D32)</f>
        <v>13.338939936224589</v>
      </c>
      <c r="F32" s="7">
        <v>0.8828125</v>
      </c>
      <c r="G32" s="8" t="str">
        <f t="shared" si="0"/>
        <v/>
      </c>
      <c r="H32" s="8" t="str">
        <f t="shared" si="1"/>
        <v/>
      </c>
    </row>
    <row r="33" spans="4:8" x14ac:dyDescent="0.3">
      <c r="D33" s="7">
        <f t="shared" si="3"/>
        <v>850</v>
      </c>
      <c r="E33" s="9" cm="1">
        <f t="array" ref="E33:F33">PriceTreeStep(D33)</f>
        <v>13.340035194952302</v>
      </c>
      <c r="F33" s="7">
        <v>0.94140625</v>
      </c>
      <c r="G33" s="8" t="str">
        <f t="shared" si="0"/>
        <v/>
      </c>
      <c r="H33" s="8" t="str">
        <f t="shared" si="1"/>
        <v/>
      </c>
    </row>
    <row r="34" spans="4:8" x14ac:dyDescent="0.3">
      <c r="D34" s="7">
        <f t="shared" si="3"/>
        <v>900</v>
      </c>
      <c r="E34" s="9" cm="1">
        <f t="array" ref="E34:F34">PriceTreeStep(D34)</f>
        <v>13.339614049538303</v>
      </c>
      <c r="F34" s="7">
        <v>1.05078125</v>
      </c>
      <c r="G34" s="8" t="str">
        <f t="shared" si="0"/>
        <v/>
      </c>
      <c r="H34" s="8" t="str">
        <f t="shared" si="1"/>
        <v/>
      </c>
    </row>
    <row r="35" spans="4:8" x14ac:dyDescent="0.3">
      <c r="D35" s="7">
        <f>D34+50</f>
        <v>950</v>
      </c>
      <c r="E35" s="9" cm="1">
        <f t="array" ref="E35:F35">PriceTreeStep(D35)</f>
        <v>13.338174913472741</v>
      </c>
      <c r="F35" s="7">
        <v>1.59765625</v>
      </c>
      <c r="G35" s="8" t="str">
        <f t="shared" si="0"/>
        <v/>
      </c>
      <c r="H35" s="8" t="str">
        <f t="shared" si="1"/>
        <v/>
      </c>
    </row>
    <row r="36" spans="4:8" x14ac:dyDescent="0.3">
      <c r="D36" s="7">
        <f t="shared" si="3"/>
        <v>1000</v>
      </c>
      <c r="E36" s="9" cm="1">
        <f t="array" ref="E36:F36">PriceTreeStep(D36)</f>
        <v>13.340331743102258</v>
      </c>
      <c r="F36" s="7">
        <v>1.1953125</v>
      </c>
      <c r="G36" s="8" t="str">
        <f t="shared" si="0"/>
        <v/>
      </c>
      <c r="H36" s="8" t="str">
        <f t="shared" si="1"/>
        <v/>
      </c>
    </row>
    <row r="37" spans="4:8" x14ac:dyDescent="0.3">
      <c r="D37" s="7">
        <f>D36+100</f>
        <v>1100</v>
      </c>
      <c r="E37" s="9" cm="1">
        <f t="array" ref="E37:F37">PriceTreeStep(D37)</f>
        <v>13.341165870154837</v>
      </c>
      <c r="F37" s="7">
        <v>1.99609375</v>
      </c>
      <c r="G37" s="8" t="str">
        <f t="shared" si="0"/>
        <v/>
      </c>
      <c r="H37" s="8" t="str">
        <f t="shared" si="1"/>
        <v/>
      </c>
    </row>
    <row r="38" spans="4:8" x14ac:dyDescent="0.3">
      <c r="D38" s="7">
        <f t="shared" ref="D38:D51" si="4">D37+100</f>
        <v>1200</v>
      </c>
      <c r="E38" s="9" cm="1">
        <f t="array" ref="E38:F38">PriceTreeStep(D38)</f>
        <v>13.340740754000239</v>
      </c>
      <c r="F38" s="7">
        <v>1.5625</v>
      </c>
      <c r="G38" s="8" t="str">
        <f t="shared" si="0"/>
        <v/>
      </c>
      <c r="H38" s="8" t="str">
        <f t="shared" si="1"/>
        <v/>
      </c>
    </row>
    <row r="39" spans="4:8" x14ac:dyDescent="0.3">
      <c r="D39" s="7">
        <f t="shared" si="4"/>
        <v>1300</v>
      </c>
      <c r="E39" s="9" cm="1">
        <f t="array" ref="E39:F39">PriceTreeStep(D39)</f>
        <v>13.342252859759325</v>
      </c>
      <c r="F39" s="7">
        <v>2.12109375</v>
      </c>
      <c r="G39" s="8" t="str">
        <f t="shared" si="0"/>
        <v/>
      </c>
      <c r="H39" s="8" t="str">
        <f t="shared" si="1"/>
        <v/>
      </c>
    </row>
    <row r="40" spans="4:8" x14ac:dyDescent="0.3">
      <c r="D40" s="7">
        <f t="shared" si="4"/>
        <v>1400</v>
      </c>
      <c r="E40" s="9" cm="1">
        <f t="array" ref="E40:F40">PriceTreeStep(D40)</f>
        <v>13.3412068435105</v>
      </c>
      <c r="F40" s="7">
        <v>1.96484375</v>
      </c>
      <c r="G40" s="8" t="str">
        <f t="shared" si="0"/>
        <v/>
      </c>
      <c r="H40" s="8" t="str">
        <f t="shared" si="1"/>
        <v/>
      </c>
    </row>
    <row r="41" spans="4:8" x14ac:dyDescent="0.3">
      <c r="D41" s="7">
        <f t="shared" si="4"/>
        <v>1500</v>
      </c>
      <c r="E41" s="9" cm="1">
        <f t="array" ref="E41:F41">PriceTreeStep(D41)</f>
        <v>13.342607251679269</v>
      </c>
      <c r="F41" s="7">
        <v>2.21875</v>
      </c>
      <c r="G41" s="8" t="str">
        <f t="shared" si="0"/>
        <v/>
      </c>
      <c r="H41" s="8" t="str">
        <f t="shared" si="1"/>
        <v/>
      </c>
    </row>
    <row r="42" spans="4:8" x14ac:dyDescent="0.3">
      <c r="D42" s="7">
        <f t="shared" si="4"/>
        <v>1600</v>
      </c>
      <c r="E42" s="9" cm="1">
        <f t="array" ref="E42:F42">PriceTreeStep(D42)</f>
        <v>13.342823503705954</v>
      </c>
      <c r="F42" s="7">
        <v>2.53125</v>
      </c>
      <c r="G42" s="8" t="str">
        <f t="shared" si="0"/>
        <v/>
      </c>
      <c r="H42" s="8" t="str">
        <f t="shared" si="1"/>
        <v/>
      </c>
    </row>
    <row r="43" spans="4:8" x14ac:dyDescent="0.3">
      <c r="D43" s="7">
        <f t="shared" si="4"/>
        <v>1700</v>
      </c>
      <c r="E43" s="9" cm="1">
        <f t="array" ref="E43:F43">PriceTreeStep(D43)</f>
        <v>13.342078156988489</v>
      </c>
      <c r="F43" s="7">
        <v>2.65234375</v>
      </c>
      <c r="G43" s="8" t="str">
        <f t="shared" si="0"/>
        <v/>
      </c>
      <c r="H43" s="8" t="str">
        <f t="shared" si="1"/>
        <v/>
      </c>
    </row>
    <row r="44" spans="4:8" x14ac:dyDescent="0.3">
      <c r="D44" s="7">
        <f t="shared" si="4"/>
        <v>1800</v>
      </c>
      <c r="E44" s="9" cm="1">
        <f t="array" ref="E44:F44">PriceTreeStep(D44)</f>
        <v>13.343375885472927</v>
      </c>
      <c r="F44" s="7">
        <v>2.99609375</v>
      </c>
      <c r="G44" s="8" t="str">
        <f t="shared" si="0"/>
        <v/>
      </c>
      <c r="H44" s="8" t="str">
        <f t="shared" si="1"/>
        <v/>
      </c>
    </row>
    <row r="45" spans="4:8" x14ac:dyDescent="0.3">
      <c r="D45" s="7">
        <f t="shared" si="4"/>
        <v>1900</v>
      </c>
      <c r="E45" s="7"/>
      <c r="F45" s="7"/>
      <c r="G45" s="8" t="str">
        <f t="shared" si="0"/>
        <v/>
      </c>
      <c r="H45" s="8" t="str">
        <f t="shared" si="1"/>
        <v/>
      </c>
    </row>
    <row r="46" spans="4:8" x14ac:dyDescent="0.3">
      <c r="D46" s="7">
        <f t="shared" si="4"/>
        <v>2000</v>
      </c>
      <c r="E46" s="7"/>
      <c r="F46" s="7"/>
      <c r="G46" s="8" t="str">
        <f t="shared" si="0"/>
        <v/>
      </c>
      <c r="H46" s="8" t="str">
        <f t="shared" si="1"/>
        <v/>
      </c>
    </row>
    <row r="47" spans="4:8" x14ac:dyDescent="0.3">
      <c r="D47" s="7">
        <f t="shared" si="4"/>
        <v>2100</v>
      </c>
      <c r="E47" s="7"/>
      <c r="F47" s="7"/>
      <c r="G47" s="8" t="str">
        <f t="shared" si="0"/>
        <v/>
      </c>
      <c r="H47" s="8" t="str">
        <f t="shared" si="1"/>
        <v/>
      </c>
    </row>
    <row r="48" spans="4:8" x14ac:dyDescent="0.3">
      <c r="D48" s="7">
        <f t="shared" si="4"/>
        <v>2200</v>
      </c>
      <c r="E48" s="7"/>
      <c r="F48" s="7"/>
      <c r="G48" s="8" t="str">
        <f t="shared" si="0"/>
        <v/>
      </c>
      <c r="H48" s="8" t="str">
        <f t="shared" si="1"/>
        <v/>
      </c>
    </row>
    <row r="49" spans="4:8" x14ac:dyDescent="0.3">
      <c r="D49" s="7">
        <f t="shared" si="4"/>
        <v>2300</v>
      </c>
      <c r="E49" s="7"/>
      <c r="F49" s="7"/>
      <c r="G49" s="8" t="str">
        <f t="shared" si="0"/>
        <v/>
      </c>
      <c r="H49" s="8" t="str">
        <f t="shared" si="1"/>
        <v/>
      </c>
    </row>
    <row r="50" spans="4:8" x14ac:dyDescent="0.3">
      <c r="D50" s="7">
        <f t="shared" si="4"/>
        <v>2400</v>
      </c>
      <c r="E50" s="7"/>
      <c r="F50" s="7"/>
      <c r="G50" s="8" t="str">
        <f t="shared" si="0"/>
        <v/>
      </c>
      <c r="H50" s="8" t="str">
        <f t="shared" si="1"/>
        <v/>
      </c>
    </row>
    <row r="51" spans="4:8" x14ac:dyDescent="0.3">
      <c r="D51" s="7">
        <f t="shared" si="4"/>
        <v>2500</v>
      </c>
      <c r="E51" s="7"/>
      <c r="F51" s="7"/>
      <c r="G51" s="8" t="str">
        <f t="shared" si="0"/>
        <v/>
      </c>
      <c r="H51" s="8" t="str">
        <f t="shared" si="1"/>
        <v/>
      </c>
    </row>
  </sheetData>
  <mergeCells count="7">
    <mergeCell ref="G1:G2"/>
    <mergeCell ref="H1:H2"/>
    <mergeCell ref="A1:B2"/>
    <mergeCell ref="A14:B15"/>
    <mergeCell ref="D1:D2"/>
    <mergeCell ref="E1:E2"/>
    <mergeCell ref="F1:F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Pricer</vt:lpstr>
      <vt:lpstr>Graphs</vt:lpstr>
      <vt:lpstr>Graphique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Spot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2024-10-02T08:40:53Z</dcterms:modified>
</cp:coreProperties>
</file>