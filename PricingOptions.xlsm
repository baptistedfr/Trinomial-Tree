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7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pdu\COMMUN\Dauphine\Trinomial-Tree\"/>
    </mc:Choice>
  </mc:AlternateContent>
  <xr:revisionPtr revIDLastSave="0" documentId="13_ncr:1_{10911596-6B1D-4F44-82BA-F12AA06FC433}" xr6:coauthVersionLast="47" xr6:coauthVersionMax="47" xr10:uidLastSave="{00000000-0000-0000-0000-000000000000}"/>
  <bookViews>
    <workbookView xWindow="-108" yWindow="-108" windowWidth="23256" windowHeight="12456" tabRatio="708" activeTab="6" xr2:uid="{50F7F52E-ED77-47DB-83CE-AA249E62083E}"/>
  </bookViews>
  <sheets>
    <sheet name="Interface" sheetId="10" r:id="rId1"/>
    <sheet name="UnderlyingPlot" sheetId="7" r:id="rId2"/>
    <sheet name="OptionPricePlot" sheetId="8" r:id="rId3"/>
    <sheet name="NodeProbaPlot" sheetId="9" r:id="rId4"/>
    <sheet name="Greeks" sheetId="12" r:id="rId5"/>
    <sheet name="Convergence Study" sheetId="3" r:id="rId6"/>
    <sheet name="Gap Study" sheetId="11" r:id="rId7"/>
  </sheets>
  <functionGroups builtInGroupCount="19"/>
  <definedNames>
    <definedName name="_xleta.N" hidden="1" xlm="1">#NAME?</definedName>
    <definedName name="begin_plot">OptionPricePlot!$A$3</definedName>
    <definedName name="begin_proba_plot">NodeProbaPlot!$A$4</definedName>
    <definedName name="begin_undl_plot">UnderlyingPlot!$A$3</definedName>
    <definedName name="BSDelta">Interface!$N$21</definedName>
    <definedName name="BSGamma">Interface!$N$23</definedName>
    <definedName name="BSRho">Interface!$N$29</definedName>
    <definedName name="BSTheta">Interface!$N$27</definedName>
    <definedName name="BSVega">Interface!$N$25</definedName>
    <definedName name="IBSPrice">Interface!$E$24</definedName>
    <definedName name="IDelta">Interface!$L$21</definedName>
    <definedName name="IDiv">Interface!$E$9</definedName>
    <definedName name="IDivDate">Interface!$E$10</definedName>
    <definedName name="IEndDate">Interface!$E$12</definedName>
    <definedName name="IExerciseType">Interface!$E$16</definedName>
    <definedName name="IGamma">Interface!$L$23</definedName>
    <definedName name="IGreeks">Interface!$M$8</definedName>
    <definedName name="IMaturity">Interface!$E$13</definedName>
    <definedName name="INbSteps">Interface!$E$18</definedName>
    <definedName name="IOptionType">Interface!$E$15</definedName>
    <definedName name="IPrecision">Interface!$E$19</definedName>
    <definedName name="IPriceTime">Interface!$E$27</definedName>
    <definedName name="IPrunning">Interface!$E$20</definedName>
    <definedName name="IPrunningTreshold">Interface!$E$21</definedName>
    <definedName name="IPythonPrice">Interface!$E$29</definedName>
    <definedName name="IPythonPriceTime">Interface!$E$31</definedName>
    <definedName name="IPythonPriceTreeMemory">Interface!$E$33</definedName>
    <definedName name="IPythonTimeTree">Interface!$E$30</definedName>
    <definedName name="IPythonTimeTreeMemory">Interface!$E$34</definedName>
    <definedName name="IPythonTotalTime">Interface!$E$32</definedName>
    <definedName name="IRate">Interface!$E$8</definedName>
    <definedName name="IRho">Interface!$L$29</definedName>
    <definedName name="IShowTree">Interface!$M$6</definedName>
    <definedName name="ISpot">Interface!$E$6</definedName>
    <definedName name="IStartDate">Interface!$E$11</definedName>
    <definedName name="IStrike">Interface!$E$14</definedName>
    <definedName name="ITheta">Interface!$L$27</definedName>
    <definedName name="ITimeTree">Interface!$E$26</definedName>
    <definedName name="ITotalTime">Interface!$E$28</definedName>
    <definedName name="ITreePrice">Interface!$E$23</definedName>
    <definedName name="IVega">Interface!$L$25</definedName>
    <definedName name="IVol">Interface!$E$7</definedName>
    <definedName name="StepRange">'Convergence Study'!$A$8:$A$56</definedName>
    <definedName name="StrikeRange">'Gap Study'!$A$7:$A$37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udf_tree_pric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udf_tree_price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10" l="1"/>
  <c r="E21" i="10"/>
  <c r="E19" i="10"/>
  <c r="E13" i="10" l="1"/>
  <c r="E9" i="3"/>
  <c r="F9" i="3" s="1"/>
  <c r="E10" i="3"/>
  <c r="F10" i="3" s="1"/>
  <c r="E11" i="3"/>
  <c r="F11" i="3" s="1"/>
  <c r="E12" i="3"/>
  <c r="F12" i="3" s="1"/>
  <c r="E13" i="3"/>
  <c r="F13" i="3" s="1"/>
  <c r="E14" i="3"/>
  <c r="F14" i="3" s="1"/>
  <c r="E15" i="3"/>
  <c r="F15" i="3" s="1"/>
  <c r="E16" i="3"/>
  <c r="F16" i="3" s="1"/>
  <c r="E17" i="3"/>
  <c r="F17" i="3" s="1"/>
  <c r="E18" i="3"/>
  <c r="F18" i="3" s="1"/>
  <c r="E19" i="3"/>
  <c r="F19" i="3" s="1"/>
  <c r="E20" i="3"/>
  <c r="F20" i="3" s="1"/>
  <c r="E21" i="3"/>
  <c r="F21" i="3" s="1"/>
  <c r="E22" i="3"/>
  <c r="F22" i="3" s="1"/>
  <c r="E23" i="3"/>
  <c r="F23" i="3" s="1"/>
  <c r="E24" i="3"/>
  <c r="F24" i="3" s="1"/>
  <c r="E25" i="3"/>
  <c r="F25" i="3" s="1"/>
  <c r="E26" i="3"/>
  <c r="F26" i="3" s="1"/>
  <c r="E27" i="3"/>
  <c r="F27" i="3" s="1"/>
  <c r="E28" i="3"/>
  <c r="F28" i="3" s="1"/>
  <c r="E29" i="3"/>
  <c r="F29" i="3" s="1"/>
  <c r="E30" i="3"/>
  <c r="F30" i="3" s="1"/>
  <c r="E31" i="3"/>
  <c r="F31" i="3" s="1"/>
  <c r="E32" i="3"/>
  <c r="F32" i="3" s="1"/>
  <c r="E33" i="3"/>
  <c r="F33" i="3" s="1"/>
  <c r="E34" i="3"/>
  <c r="F34" i="3" s="1"/>
  <c r="E35" i="3"/>
  <c r="F35" i="3" s="1"/>
  <c r="E36" i="3"/>
  <c r="F36" i="3" s="1"/>
  <c r="E37" i="3"/>
  <c r="F37" i="3" s="1"/>
  <c r="E38" i="3"/>
  <c r="F38" i="3" s="1"/>
  <c r="E39" i="3"/>
  <c r="F39" i="3" s="1"/>
  <c r="E40" i="3"/>
  <c r="F40" i="3" s="1"/>
  <c r="E41" i="3"/>
  <c r="F41" i="3" s="1"/>
  <c r="E42" i="3"/>
  <c r="F42" i="3" s="1"/>
  <c r="E43" i="3"/>
  <c r="F43" i="3" s="1"/>
  <c r="E44" i="3"/>
  <c r="F44" i="3" s="1"/>
  <c r="E45" i="3"/>
  <c r="F45" i="3" s="1"/>
  <c r="E46" i="3"/>
  <c r="F46" i="3" s="1"/>
  <c r="E47" i="3"/>
  <c r="F47" i="3" s="1"/>
  <c r="E48" i="3"/>
  <c r="F48" i="3" s="1"/>
  <c r="E49" i="3"/>
  <c r="F49" i="3" s="1"/>
  <c r="E50" i="3"/>
  <c r="F50" i="3" s="1"/>
  <c r="E51" i="3"/>
  <c r="F51" i="3" s="1"/>
  <c r="E52" i="3"/>
  <c r="F52" i="3" s="1"/>
  <c r="E53" i="3"/>
  <c r="F53" i="3" s="1"/>
  <c r="E54" i="3"/>
  <c r="F54" i="3" s="1"/>
  <c r="E55" i="3"/>
  <c r="F55" i="3" s="1"/>
  <c r="E56" i="3"/>
  <c r="F56" i="3" s="1"/>
  <c r="E8" i="3"/>
  <c r="F8" i="3" s="1"/>
  <c r="E32" i="10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8" i="11"/>
  <c r="D9" i="11"/>
  <c r="D10" i="11"/>
  <c r="D11" i="11"/>
  <c r="D12" i="11"/>
  <c r="D13" i="11"/>
  <c r="D14" i="11"/>
  <c r="D15" i="11"/>
  <c r="D16" i="11"/>
  <c r="D17" i="11"/>
  <c r="D18" i="11"/>
  <c r="E28" i="10"/>
  <c r="A8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E25" i="10" l="1"/>
</calcChain>
</file>

<file path=xl/sharedStrings.xml><?xml version="1.0" encoding="utf-8"?>
<sst xmlns="http://schemas.openxmlformats.org/spreadsheetml/2006/main" count="79" uniqueCount="68">
  <si>
    <t>Inputs</t>
  </si>
  <si>
    <t>Type</t>
  </si>
  <si>
    <t>Execution Time</t>
  </si>
  <si>
    <t>Div Date</t>
  </si>
  <si>
    <t>Start Date</t>
  </si>
  <si>
    <t>European</t>
  </si>
  <si>
    <t>Step</t>
  </si>
  <si>
    <t>Price</t>
  </si>
  <si>
    <t>Gap</t>
  </si>
  <si>
    <t>Gap * N</t>
  </si>
  <si>
    <t>Market</t>
  </si>
  <si>
    <t>Option</t>
  </si>
  <si>
    <t>Spot</t>
  </si>
  <si>
    <t>Dividend</t>
  </si>
  <si>
    <t>Strike</t>
  </si>
  <si>
    <t>Compute Greeks ?</t>
  </si>
  <si>
    <t>Show Tree ?</t>
  </si>
  <si>
    <t>Output</t>
  </si>
  <si>
    <t>Option Prices</t>
  </si>
  <si>
    <t>Underlying Prices</t>
  </si>
  <si>
    <t>BS Price</t>
  </si>
  <si>
    <t>Node Probabilities</t>
  </si>
  <si>
    <t>Volatility</t>
  </si>
  <si>
    <t>Rate</t>
  </si>
  <si>
    <t>Maturity</t>
  </si>
  <si>
    <t>Exercise</t>
  </si>
  <si>
    <t>Model</t>
  </si>
  <si>
    <t>Prunning</t>
  </si>
  <si>
    <t>Performance</t>
  </si>
  <si>
    <t>Tree Price</t>
  </si>
  <si>
    <t>B&amp;S Price</t>
  </si>
  <si>
    <t>Tree Generation</t>
  </si>
  <si>
    <t>Option Pricing</t>
  </si>
  <si>
    <t>Total time</t>
  </si>
  <si>
    <t>Convergence Study</t>
  </si>
  <si>
    <t>Trinomial Tree Option Pricer</t>
  </si>
  <si>
    <t>* The sheet uses the parameters from the "Interface" sheet</t>
  </si>
  <si>
    <t>VBA Graphs</t>
  </si>
  <si>
    <t>Python Graphs</t>
  </si>
  <si>
    <t>* Not updaded, the values can be different</t>
  </si>
  <si>
    <t>Gap Study</t>
  </si>
  <si>
    <t>Slope Tree</t>
  </si>
  <si>
    <t>Slope B&amp;S</t>
  </si>
  <si>
    <t>Tree - B&amp;S</t>
  </si>
  <si>
    <t>End Date</t>
  </si>
  <si>
    <t>Python</t>
  </si>
  <si>
    <t>Total Time</t>
  </si>
  <si>
    <t xml:space="preserve"> </t>
  </si>
  <si>
    <t>Delta Δ</t>
  </si>
  <si>
    <t>Gamma Γ</t>
  </si>
  <si>
    <t>Theta Θ</t>
  </si>
  <si>
    <t>Rho Ρ</t>
  </si>
  <si>
    <t>Vega ν</t>
  </si>
  <si>
    <t>Call</t>
  </si>
  <si>
    <t>Memory Alloc Time</t>
  </si>
  <si>
    <t>Memory Alloc Price</t>
  </si>
  <si>
    <t>Greeks Tree</t>
  </si>
  <si>
    <t>Greeks B&amp;S</t>
  </si>
  <si>
    <t>Prunning Treshold</t>
  </si>
  <si>
    <t>**</t>
  </si>
  <si>
    <t>Precision</t>
  </si>
  <si>
    <t>Mode (*)</t>
  </si>
  <si>
    <t>NbSteps (**)</t>
  </si>
  <si>
    <t>Relative Error (***)</t>
  </si>
  <si>
    <t>***</t>
  </si>
  <si>
    <t>*  Choose between manuel selection of number of step and calculatation from precision</t>
  </si>
  <si>
    <t>No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</si>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</sst>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%"/>
    <numFmt numFmtId="166" formatCode="0.000000"/>
    <numFmt numFmtId="167" formatCode="0.000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i/>
      <sz val="20"/>
      <color theme="1"/>
      <name val="Aptos Narrow"/>
      <family val="2"/>
      <scheme val="minor"/>
    </font>
    <font>
      <sz val="16"/>
      <color rgb="FF000000"/>
      <name val="Aptos Narrow"/>
      <family val="2"/>
    </font>
    <font>
      <b/>
      <i/>
      <sz val="12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sz val="11.5"/>
      <color theme="1"/>
      <name val="Aptos Narrow"/>
      <family val="2"/>
      <scheme val="minor"/>
    </font>
    <font>
      <b/>
      <sz val="11.5"/>
      <color theme="1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2C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7">
    <xf numFmtId="0" fontId="0" fillId="0" borderId="0" xfId="0"/>
    <xf numFmtId="0" fontId="0" fillId="5" borderId="1" xfId="0" applyFill="1" applyBorder="1" applyAlignment="1">
      <alignment vertical="center"/>
    </xf>
    <xf numFmtId="0" fontId="0" fillId="5" borderId="1" xfId="0" applyFill="1" applyBorder="1"/>
    <xf numFmtId="0" fontId="0" fillId="5" borderId="0" xfId="0" applyFill="1"/>
    <xf numFmtId="0" fontId="0" fillId="5" borderId="3" xfId="0" applyFill="1" applyBorder="1"/>
    <xf numFmtId="0" fontId="0" fillId="5" borderId="3" xfId="0" applyFill="1" applyBorder="1" applyAlignment="1">
      <alignment vertical="center"/>
    </xf>
    <xf numFmtId="0" fontId="0" fillId="12" borderId="0" xfId="0" applyFill="1"/>
    <xf numFmtId="0" fontId="3" fillId="5" borderId="0" xfId="0" applyFont="1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right" vertical="center"/>
    </xf>
    <xf numFmtId="166" fontId="0" fillId="5" borderId="1" xfId="0" applyNumberFormat="1" applyFill="1" applyBorder="1" applyAlignment="1">
      <alignment horizontal="center" vertical="center"/>
    </xf>
    <xf numFmtId="0" fontId="0" fillId="13" borderId="0" xfId="0" applyFill="1"/>
    <xf numFmtId="20" fontId="0" fillId="5" borderId="0" xfId="0" applyNumberFormat="1" applyFill="1"/>
    <xf numFmtId="0" fontId="0" fillId="13" borderId="1" xfId="0" applyFill="1" applyBorder="1"/>
    <xf numFmtId="0" fontId="0" fillId="12" borderId="0" xfId="0" applyFill="1" applyAlignment="1">
      <alignment wrapText="1"/>
    </xf>
    <xf numFmtId="0" fontId="0" fillId="10" borderId="15" xfId="0" applyFill="1" applyBorder="1" applyAlignment="1">
      <alignment horizontal="center" vertical="center"/>
    </xf>
    <xf numFmtId="0" fontId="9" fillId="5" borderId="16" xfId="0" applyFont="1" applyFill="1" applyBorder="1" applyAlignment="1">
      <alignment horizontal="right"/>
    </xf>
    <xf numFmtId="9" fontId="9" fillId="5" borderId="17" xfId="1" applyFont="1" applyFill="1" applyBorder="1" applyAlignment="1">
      <alignment horizontal="right"/>
    </xf>
    <xf numFmtId="0" fontId="9" fillId="5" borderId="17" xfId="0" applyFont="1" applyFill="1" applyBorder="1" applyAlignment="1">
      <alignment horizontal="right"/>
    </xf>
    <xf numFmtId="14" fontId="9" fillId="5" borderId="17" xfId="0" applyNumberFormat="1" applyFont="1" applyFill="1" applyBorder="1" applyAlignment="1">
      <alignment horizontal="right"/>
    </xf>
    <xf numFmtId="167" fontId="10" fillId="3" borderId="16" xfId="0" applyNumberFormat="1" applyFont="1" applyFill="1" applyBorder="1" applyAlignment="1">
      <alignment vertical="center"/>
    </xf>
    <xf numFmtId="167" fontId="10" fillId="3" borderId="17" xfId="0" applyNumberFormat="1" applyFont="1" applyFill="1" applyBorder="1" applyAlignment="1">
      <alignment vertical="center"/>
    </xf>
    <xf numFmtId="165" fontId="9" fillId="5" borderId="17" xfId="1" applyNumberFormat="1" applyFont="1" applyFill="1" applyBorder="1" applyAlignment="1">
      <alignment horizontal="right" vertical="center"/>
    </xf>
    <xf numFmtId="2" fontId="9" fillId="5" borderId="17" xfId="0" applyNumberFormat="1" applyFont="1" applyFill="1" applyBorder="1" applyAlignment="1">
      <alignment vertical="center"/>
    </xf>
    <xf numFmtId="2" fontId="10" fillId="3" borderId="17" xfId="0" applyNumberFormat="1" applyFont="1" applyFill="1" applyBorder="1" applyAlignment="1">
      <alignment vertical="center"/>
    </xf>
    <xf numFmtId="2" fontId="10" fillId="3" borderId="18" xfId="0" applyNumberFormat="1" applyFont="1" applyFill="1" applyBorder="1" applyAlignment="1">
      <alignment vertical="center"/>
    </xf>
    <xf numFmtId="0" fontId="0" fillId="10" borderId="0" xfId="0" applyFill="1" applyAlignment="1">
      <alignment horizontal="center" vertical="center"/>
    </xf>
    <xf numFmtId="11" fontId="9" fillId="5" borderId="17" xfId="0" applyNumberFormat="1" applyFont="1" applyFill="1" applyBorder="1" applyAlignment="1">
      <alignment horizontal="right"/>
    </xf>
    <xf numFmtId="20" fontId="0" fillId="12" borderId="0" xfId="0" applyNumberFormat="1" applyFill="1"/>
    <xf numFmtId="0" fontId="9" fillId="12" borderId="0" xfId="0" applyFont="1" applyFill="1" applyAlignment="1">
      <alignment horizontal="right"/>
    </xf>
    <xf numFmtId="0" fontId="0" fillId="7" borderId="19" xfId="0" applyFill="1" applyBorder="1" applyAlignment="1">
      <alignment horizontal="center" vertical="center"/>
    </xf>
    <xf numFmtId="0" fontId="0" fillId="7" borderId="20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165" fontId="0" fillId="12" borderId="0" xfId="1" applyNumberFormat="1" applyFont="1" applyFill="1"/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left"/>
    </xf>
    <xf numFmtId="164" fontId="9" fillId="12" borderId="17" xfId="0" applyNumberFormat="1" applyFont="1" applyFill="1" applyBorder="1" applyAlignment="1">
      <alignment horizontal="right"/>
    </xf>
    <xf numFmtId="0" fontId="0" fillId="10" borderId="19" xfId="0" applyFill="1" applyBorder="1" applyAlignment="1">
      <alignment horizontal="center" vertical="center"/>
    </xf>
    <xf numFmtId="0" fontId="0" fillId="10" borderId="20" xfId="0" applyFill="1" applyBorder="1" applyAlignment="1">
      <alignment horizontal="center" vertical="center"/>
    </xf>
    <xf numFmtId="0" fontId="0" fillId="10" borderId="21" xfId="0" applyFill="1" applyBorder="1" applyAlignment="1">
      <alignment horizontal="center" vertical="center"/>
    </xf>
    <xf numFmtId="0" fontId="4" fillId="8" borderId="24" xfId="0" applyFont="1" applyFill="1" applyBorder="1" applyAlignment="1">
      <alignment horizontal="center" vertical="center"/>
    </xf>
    <xf numFmtId="0" fontId="4" fillId="8" borderId="25" xfId="0" applyFont="1" applyFill="1" applyBorder="1" applyAlignment="1">
      <alignment horizontal="center" vertical="center"/>
    </xf>
    <xf numFmtId="0" fontId="4" fillId="8" borderId="26" xfId="0" applyFont="1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0" fillId="9" borderId="26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7" xfId="0" applyFill="1" applyBorder="1" applyAlignment="1">
      <alignment horizontal="center" vertical="center"/>
    </xf>
    <xf numFmtId="0" fontId="0" fillId="11" borderId="20" xfId="0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1" borderId="21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167" fontId="0" fillId="5" borderId="0" xfId="0" applyNumberFormat="1" applyFill="1" applyAlignment="1">
      <alignment horizontal="center" vertical="center"/>
    </xf>
    <xf numFmtId="167" fontId="0" fillId="5" borderId="17" xfId="0" applyNumberFormat="1" applyFill="1" applyBorder="1" applyAlignment="1">
      <alignment horizontal="center" vertical="center"/>
    </xf>
    <xf numFmtId="0" fontId="4" fillId="2" borderId="24" xfId="0" applyFont="1" applyFill="1" applyBorder="1" applyAlignment="1">
      <alignment horizontal="center" vertical="center"/>
    </xf>
    <xf numFmtId="0" fontId="4" fillId="2" borderId="25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0" fontId="0" fillId="11" borderId="19" xfId="0" applyFill="1" applyBorder="1" applyAlignment="1">
      <alignment horizontal="center" vertical="center"/>
    </xf>
    <xf numFmtId="0" fontId="0" fillId="11" borderId="15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/>
    </xf>
    <xf numFmtId="167" fontId="0" fillId="5" borderId="5" xfId="0" applyNumberFormat="1" applyFill="1" applyBorder="1" applyAlignment="1">
      <alignment horizontal="center" vertical="center"/>
    </xf>
    <xf numFmtId="167" fontId="0" fillId="5" borderId="18" xfId="0" applyNumberFormat="1" applyFill="1" applyBorder="1" applyAlignment="1">
      <alignment horizontal="center" vertical="center"/>
    </xf>
    <xf numFmtId="0" fontId="0" fillId="11" borderId="16" xfId="0" applyFill="1" applyBorder="1" applyAlignment="1">
      <alignment horizontal="center" vertical="center"/>
    </xf>
    <xf numFmtId="0" fontId="0" fillId="11" borderId="17" xfId="0" applyFill="1" applyBorder="1" applyAlignment="1">
      <alignment horizontal="center" vertical="center"/>
    </xf>
    <xf numFmtId="0" fontId="0" fillId="11" borderId="18" xfId="0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5" borderId="5" xfId="0" applyFont="1" applyFill="1" applyBorder="1" applyAlignment="1">
      <alignment horizontal="center"/>
    </xf>
    <xf numFmtId="0" fontId="8" fillId="5" borderId="6" xfId="0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" fillId="5" borderId="1" xfId="0" applyFont="1" applyFill="1" applyBorder="1" applyAlignment="1">
      <alignment horizontal="center" vertical="center"/>
    </xf>
    <xf numFmtId="0" fontId="0" fillId="14" borderId="17" xfId="0" applyFill="1" applyBorder="1" applyProtection="1"/>
    <xf numFmtId="0" fontId="9" fillId="0" borderId="17" xfId="0" applyFont="1" applyFill="1" applyBorder="1" applyAlignment="1" applyProtection="1">
      <alignment horizontal="right"/>
      <protection locked="0"/>
    </xf>
    <xf numFmtId="0" fontId="0" fillId="7" borderId="28" xfId="0" applyFill="1" applyBorder="1" applyAlignment="1">
      <alignment horizontal="center" vertical="center"/>
    </xf>
    <xf numFmtId="14" fontId="9" fillId="5" borderId="29" xfId="0" applyNumberFormat="1" applyFont="1" applyFill="1" applyBorder="1" applyAlignment="1">
      <alignment horizontal="right"/>
    </xf>
    <xf numFmtId="0" fontId="0" fillId="7" borderId="30" xfId="0" applyFill="1" applyBorder="1" applyAlignment="1">
      <alignment horizontal="center" vertical="center"/>
    </xf>
    <xf numFmtId="0" fontId="9" fillId="5" borderId="31" xfId="0" applyFont="1" applyFill="1" applyBorder="1" applyAlignment="1">
      <alignment horizontal="right"/>
    </xf>
    <xf numFmtId="11" fontId="0" fillId="14" borderId="18" xfId="0" applyNumberFormat="1" applyFill="1" applyBorder="1" applyAlignment="1" applyProtection="1">
      <alignment horizontal="right"/>
    </xf>
    <xf numFmtId="14" fontId="9" fillId="14" borderId="17" xfId="0" applyNumberFormat="1" applyFont="1" applyFill="1" applyBorder="1" applyAlignment="1" applyProtection="1">
      <alignment horizontal="right"/>
    </xf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colors>
    <mruColors>
      <color rgb="FFFFFF99"/>
      <color rgb="FFFFE2C5"/>
      <color rgb="FFFECBB4"/>
      <color rgb="FFFEDEFE"/>
      <color rgb="FFFECEFE"/>
      <color rgb="FFFDBBFD"/>
      <color rgb="FF66CCFF"/>
      <color rgb="FFA4EA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convergence towards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8121527393562"/>
          <c:y val="0.19764766205418996"/>
          <c:w val="0.86781616950814089"/>
          <c:h val="0.46954657639203001"/>
        </c:manualLayout>
      </c:layout>
      <c:lineChart>
        <c:grouping val="standard"/>
        <c:varyColors val="0"/>
        <c:ser>
          <c:idx val="2"/>
          <c:order val="0"/>
          <c:tx>
            <c:strRef>
              <c:f>'Convergence Study'!$B$6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Study'!$B$7:$B$56</c:f>
              <c:numCache>
                <c:formatCode>General</c:formatCode>
                <c:ptCount val="50"/>
                <c:pt idx="1">
                  <c:v>6.4111543193924039</c:v>
                </c:pt>
                <c:pt idx="2">
                  <c:v>7.7439234021276286</c:v>
                </c:pt>
                <c:pt idx="3">
                  <c:v>7.8760813936667278</c:v>
                </c:pt>
                <c:pt idx="4">
                  <c:v>7.9227284913859286</c:v>
                </c:pt>
                <c:pt idx="5">
                  <c:v>7.9325628174417844</c:v>
                </c:pt>
                <c:pt idx="6">
                  <c:v>7.9360523685376529</c:v>
                </c:pt>
                <c:pt idx="7">
                  <c:v>7.9350348409941054</c:v>
                </c:pt>
                <c:pt idx="8">
                  <c:v>7.9332578409381078</c:v>
                </c:pt>
                <c:pt idx="9">
                  <c:v>7.9315462232868263</c:v>
                </c:pt>
                <c:pt idx="10">
                  <c:v>7.9300239492371754</c:v>
                </c:pt>
                <c:pt idx="11">
                  <c:v>7.928689345264833</c:v>
                </c:pt>
                <c:pt idx="12">
                  <c:v>7.9275172450645419</c:v>
                </c:pt>
                <c:pt idx="13">
                  <c:v>7.926481354396234</c:v>
                </c:pt>
                <c:pt idx="14">
                  <c:v>7.9255590572392469</c:v>
                </c:pt>
                <c:pt idx="15">
                  <c:v>7.9247318869271508</c:v>
                </c:pt>
                <c:pt idx="16">
                  <c:v>7.9239849682773604</c:v>
                </c:pt>
                <c:pt idx="17">
                  <c:v>7.9233063168472642</c:v>
                </c:pt>
                <c:pt idx="18">
                  <c:v>7.922686222447421</c:v>
                </c:pt>
                <c:pt idx="19">
                  <c:v>7.9221167559101922</c:v>
                </c:pt>
                <c:pt idx="20">
                  <c:v>7.9215913871517323</c:v>
                </c:pt>
                <c:pt idx="21">
                  <c:v>7.9211046923796253</c:v>
                </c:pt>
                <c:pt idx="22">
                  <c:v>7.9206521294651138</c:v>
                </c:pt>
                <c:pt idx="23">
                  <c:v>7.9211590821592281</c:v>
                </c:pt>
                <c:pt idx="24">
                  <c:v>7.9218517835899025</c:v>
                </c:pt>
                <c:pt idx="25">
                  <c:v>7.922936996480753</c:v>
                </c:pt>
                <c:pt idx="26">
                  <c:v>7.9237202552972494</c:v>
                </c:pt>
                <c:pt idx="27">
                  <c:v>7.9242848446377101</c:v>
                </c:pt>
                <c:pt idx="28">
                  <c:v>7.9246878866685293</c:v>
                </c:pt>
                <c:pt idx="29">
                  <c:v>7.9249696005398</c:v>
                </c:pt>
                <c:pt idx="30">
                  <c:v>7.9251589416189709</c:v>
                </c:pt>
                <c:pt idx="31">
                  <c:v>7.9252771580370043</c:v>
                </c:pt>
                <c:pt idx="32">
                  <c:v>7.9253401019741432</c:v>
                </c:pt>
                <c:pt idx="33">
                  <c:v>7.9253597715796538</c:v>
                </c:pt>
                <c:pt idx="34">
                  <c:v>7.925345363293907</c:v>
                </c:pt>
                <c:pt idx="35">
                  <c:v>7.9252412751636259</c:v>
                </c:pt>
                <c:pt idx="36">
                  <c:v>7.9250684200004047</c:v>
                </c:pt>
                <c:pt idx="37">
                  <c:v>7.9248523985223649</c:v>
                </c:pt>
                <c:pt idx="38">
                  <c:v>7.924609792239429</c:v>
                </c:pt>
                <c:pt idx="39">
                  <c:v>7.9243515607073176</c:v>
                </c:pt>
                <c:pt idx="40">
                  <c:v>7.9240850565855743</c:v>
                </c:pt>
                <c:pt idx="41">
                  <c:v>7.9238152620970901</c:v>
                </c:pt>
                <c:pt idx="42">
                  <c:v>7.92354557035413</c:v>
                </c:pt>
                <c:pt idx="43">
                  <c:v>7.9237428994489685</c:v>
                </c:pt>
                <c:pt idx="44">
                  <c:v>7.9240235565193018</c:v>
                </c:pt>
                <c:pt idx="45">
                  <c:v>7.9242442219647033</c:v>
                </c:pt>
                <c:pt idx="46">
                  <c:v>7.9244153041337944</c:v>
                </c:pt>
                <c:pt idx="47">
                  <c:v>7.9245451635332884</c:v>
                </c:pt>
                <c:pt idx="48">
                  <c:v>7.924640573340425</c:v>
                </c:pt>
                <c:pt idx="49">
                  <c:v>7.9247070638946164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1-4E6B-B494-EB995B6ABA4D}"/>
            </c:ext>
          </c:extLst>
        </c:ser>
        <c:ser>
          <c:idx val="4"/>
          <c:order val="2"/>
          <c:tx>
            <c:strRef>
              <c:f>'Convergence Study'!$D$6</c:f>
              <c:strCache>
                <c:ptCount val="1"/>
                <c:pt idx="0">
                  <c:v>BS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Study'!$D$7:$D$56</c:f>
              <c:numCache>
                <c:formatCode>General</c:formatCode>
                <c:ptCount val="50"/>
                <c:pt idx="1">
                  <c:v>7.9244584022644498</c:v>
                </c:pt>
                <c:pt idx="2">
                  <c:v>7.9244584022644498</c:v>
                </c:pt>
                <c:pt idx="3">
                  <c:v>7.9244584022644498</c:v>
                </c:pt>
                <c:pt idx="4">
                  <c:v>7.9244584022644498</c:v>
                </c:pt>
                <c:pt idx="5">
                  <c:v>7.9244584022644498</c:v>
                </c:pt>
                <c:pt idx="6">
                  <c:v>7.9244584022644498</c:v>
                </c:pt>
                <c:pt idx="7">
                  <c:v>7.9244584022644498</c:v>
                </c:pt>
                <c:pt idx="8">
                  <c:v>7.9244584022644498</c:v>
                </c:pt>
                <c:pt idx="9">
                  <c:v>7.9244584022644498</c:v>
                </c:pt>
                <c:pt idx="10">
                  <c:v>7.9244584022644498</c:v>
                </c:pt>
                <c:pt idx="11">
                  <c:v>7.9244584022644498</c:v>
                </c:pt>
                <c:pt idx="12">
                  <c:v>7.9244584022644498</c:v>
                </c:pt>
                <c:pt idx="13">
                  <c:v>7.9244584022644498</c:v>
                </c:pt>
                <c:pt idx="14">
                  <c:v>7.9244584022644498</c:v>
                </c:pt>
                <c:pt idx="15">
                  <c:v>7.9244584022644498</c:v>
                </c:pt>
                <c:pt idx="16">
                  <c:v>7.9244584022644498</c:v>
                </c:pt>
                <c:pt idx="17">
                  <c:v>7.9244584022644498</c:v>
                </c:pt>
                <c:pt idx="18">
                  <c:v>7.9244584022644498</c:v>
                </c:pt>
                <c:pt idx="19">
                  <c:v>7.9244584022644498</c:v>
                </c:pt>
                <c:pt idx="20">
                  <c:v>7.9244584022644498</c:v>
                </c:pt>
                <c:pt idx="21">
                  <c:v>7.9244584022644498</c:v>
                </c:pt>
                <c:pt idx="22">
                  <c:v>7.9244584022644498</c:v>
                </c:pt>
                <c:pt idx="23">
                  <c:v>7.9244584022644498</c:v>
                </c:pt>
                <c:pt idx="24">
                  <c:v>7.9244584022644498</c:v>
                </c:pt>
                <c:pt idx="25">
                  <c:v>7.9244584022644498</c:v>
                </c:pt>
                <c:pt idx="26">
                  <c:v>7.9244584022644498</c:v>
                </c:pt>
                <c:pt idx="27">
                  <c:v>7.9244584022644498</c:v>
                </c:pt>
                <c:pt idx="28">
                  <c:v>7.9244584022644498</c:v>
                </c:pt>
                <c:pt idx="29">
                  <c:v>7.9244584022644498</c:v>
                </c:pt>
                <c:pt idx="30">
                  <c:v>7.9244584022644498</c:v>
                </c:pt>
                <c:pt idx="31">
                  <c:v>7.9244584022644498</c:v>
                </c:pt>
                <c:pt idx="32">
                  <c:v>7.9244584022644498</c:v>
                </c:pt>
                <c:pt idx="33">
                  <c:v>7.9244584022644498</c:v>
                </c:pt>
                <c:pt idx="34">
                  <c:v>7.9244584022644498</c:v>
                </c:pt>
                <c:pt idx="35">
                  <c:v>7.9244584022644498</c:v>
                </c:pt>
                <c:pt idx="36">
                  <c:v>7.9244584022644498</c:v>
                </c:pt>
                <c:pt idx="37">
                  <c:v>7.9244584022644498</c:v>
                </c:pt>
                <c:pt idx="38">
                  <c:v>7.9244584022644498</c:v>
                </c:pt>
                <c:pt idx="39">
                  <c:v>7.9244584022644498</c:v>
                </c:pt>
                <c:pt idx="40">
                  <c:v>7.9244584022644498</c:v>
                </c:pt>
                <c:pt idx="41">
                  <c:v>7.9244584022644498</c:v>
                </c:pt>
                <c:pt idx="42">
                  <c:v>7.9244584022644498</c:v>
                </c:pt>
                <c:pt idx="43">
                  <c:v>7.9244584022644498</c:v>
                </c:pt>
                <c:pt idx="44">
                  <c:v>7.9244584022644498</c:v>
                </c:pt>
                <c:pt idx="45">
                  <c:v>7.9244584022644498</c:v>
                </c:pt>
                <c:pt idx="46">
                  <c:v>7.9244584022644498</c:v>
                </c:pt>
                <c:pt idx="47">
                  <c:v>7.9244584022644498</c:v>
                </c:pt>
                <c:pt idx="48">
                  <c:v>7.9244584022644498</c:v>
                </c:pt>
                <c:pt idx="49">
                  <c:v>7.9244584022644498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51-4E6B-B494-EB995B6AB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3.90625E-3</c:v>
                      </c:pt>
                      <c:pt idx="6">
                        <c:v>3.90625E-3</c:v>
                      </c:pt>
                      <c:pt idx="7">
                        <c:v>3.125E-2</c:v>
                      </c:pt>
                      <c:pt idx="8">
                        <c:v>3.90625E-2</c:v>
                      </c:pt>
                      <c:pt idx="9">
                        <c:v>5.859375E-2</c:v>
                      </c:pt>
                      <c:pt idx="10">
                        <c:v>7.8125E-2</c:v>
                      </c:pt>
                      <c:pt idx="11">
                        <c:v>0.1015625</c:v>
                      </c:pt>
                      <c:pt idx="12">
                        <c:v>0.125</c:v>
                      </c:pt>
                      <c:pt idx="13">
                        <c:v>0.1484375</c:v>
                      </c:pt>
                      <c:pt idx="14">
                        <c:v>0.16015625</c:v>
                      </c:pt>
                      <c:pt idx="15">
                        <c:v>0.1875</c:v>
                      </c:pt>
                      <c:pt idx="16">
                        <c:v>0.21875</c:v>
                      </c:pt>
                      <c:pt idx="17">
                        <c:v>0.234375</c:v>
                      </c:pt>
                      <c:pt idx="18">
                        <c:v>0.26171875</c:v>
                      </c:pt>
                      <c:pt idx="19">
                        <c:v>0.2890625</c:v>
                      </c:pt>
                      <c:pt idx="20">
                        <c:v>0.3125</c:v>
                      </c:pt>
                      <c:pt idx="21">
                        <c:v>0.359375</c:v>
                      </c:pt>
                      <c:pt idx="22">
                        <c:v>0.3828125</c:v>
                      </c:pt>
                      <c:pt idx="23">
                        <c:v>0.41015625</c:v>
                      </c:pt>
                      <c:pt idx="24">
                        <c:v>0.453125</c:v>
                      </c:pt>
                      <c:pt idx="25">
                        <c:v>0.52734375</c:v>
                      </c:pt>
                      <c:pt idx="26">
                        <c:v>0.60546875</c:v>
                      </c:pt>
                      <c:pt idx="27">
                        <c:v>0.66796875</c:v>
                      </c:pt>
                      <c:pt idx="28">
                        <c:v>0.734375</c:v>
                      </c:pt>
                      <c:pt idx="29">
                        <c:v>0.81640625</c:v>
                      </c:pt>
                      <c:pt idx="30">
                        <c:v>0.91796875</c:v>
                      </c:pt>
                      <c:pt idx="31">
                        <c:v>1.01953125</c:v>
                      </c:pt>
                      <c:pt idx="32">
                        <c:v>1.16015625</c:v>
                      </c:pt>
                      <c:pt idx="33">
                        <c:v>1.1796875</c:v>
                      </c:pt>
                      <c:pt idx="34">
                        <c:v>1.28125</c:v>
                      </c:pt>
                      <c:pt idx="35">
                        <c:v>1.625</c:v>
                      </c:pt>
                      <c:pt idx="36">
                        <c:v>1.73046875</c:v>
                      </c:pt>
                      <c:pt idx="37">
                        <c:v>1.93359375</c:v>
                      </c:pt>
                      <c:pt idx="38">
                        <c:v>2.40625</c:v>
                      </c:pt>
                      <c:pt idx="39">
                        <c:v>2.47265625</c:v>
                      </c:pt>
                      <c:pt idx="40">
                        <c:v>2.5859375</c:v>
                      </c:pt>
                      <c:pt idx="41">
                        <c:v>3.0078125</c:v>
                      </c:pt>
                      <c:pt idx="42">
                        <c:v>3.69921875</c:v>
                      </c:pt>
                      <c:pt idx="43">
                        <c:v>4.078125</c:v>
                      </c:pt>
                      <c:pt idx="44">
                        <c:v>4.60546875</c:v>
                      </c:pt>
                      <c:pt idx="45">
                        <c:v>4.35546875</c:v>
                      </c:pt>
                      <c:pt idx="46">
                        <c:v>4.7578125</c:v>
                      </c:pt>
                      <c:pt idx="47">
                        <c:v>4.37890625</c:v>
                      </c:pt>
                      <c:pt idx="48">
                        <c:v>4.6953125</c:v>
                      </c:pt>
                      <c:pt idx="49">
                        <c:v>4.9921875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151-4E6B-B494-EB995B6ABA4D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1.5133040828720459</c:v>
                      </c:pt>
                      <c:pt idx="2">
                        <c:v>0.18053500013682111</c:v>
                      </c:pt>
                      <c:pt idx="3">
                        <c:v>4.8377008597721982E-2</c:v>
                      </c:pt>
                      <c:pt idx="4">
                        <c:v>1.7299108785211459E-3</c:v>
                      </c:pt>
                      <c:pt idx="5">
                        <c:v>-8.1044151773346229E-3</c:v>
                      </c:pt>
                      <c:pt idx="6">
                        <c:v>-1.1593966273203193E-2</c:v>
                      </c:pt>
                      <c:pt idx="7">
                        <c:v>-1.0576438729655635E-2</c:v>
                      </c:pt>
                      <c:pt idx="8">
                        <c:v>-8.7994386736580665E-3</c:v>
                      </c:pt>
                      <c:pt idx="9">
                        <c:v>-7.0878210223765947E-3</c:v>
                      </c:pt>
                      <c:pt idx="10">
                        <c:v>-5.5655469727255991E-3</c:v>
                      </c:pt>
                      <c:pt idx="11">
                        <c:v>-4.2309430003832915E-3</c:v>
                      </c:pt>
                      <c:pt idx="12">
                        <c:v>-3.0588428000921652E-3</c:v>
                      </c:pt>
                      <c:pt idx="13">
                        <c:v>-2.0229521317842725E-3</c:v>
                      </c:pt>
                      <c:pt idx="14">
                        <c:v>-1.1006549747971661E-3</c:v>
                      </c:pt>
                      <c:pt idx="15">
                        <c:v>-2.7348466270105121E-4</c:v>
                      </c:pt>
                      <c:pt idx="16">
                        <c:v>4.7343398708932227E-4</c:v>
                      </c:pt>
                      <c:pt idx="17">
                        <c:v>1.1520854171855888E-3</c:v>
                      </c:pt>
                      <c:pt idx="18">
                        <c:v>1.7721798170287073E-3</c:v>
                      </c:pt>
                      <c:pt idx="19">
                        <c:v>2.3416463542575983E-3</c:v>
                      </c:pt>
                      <c:pt idx="20">
                        <c:v>2.8670151127174748E-3</c:v>
                      </c:pt>
                      <c:pt idx="21">
                        <c:v>3.3537098848244185E-3</c:v>
                      </c:pt>
                      <c:pt idx="22">
                        <c:v>3.8062727993359857E-3</c:v>
                      </c:pt>
                      <c:pt idx="23">
                        <c:v>3.2993201052216037E-3</c:v>
                      </c:pt>
                      <c:pt idx="24">
                        <c:v>2.6066186745472564E-3</c:v>
                      </c:pt>
                      <c:pt idx="25">
                        <c:v>1.5214057836967498E-3</c:v>
                      </c:pt>
                      <c:pt idx="26">
                        <c:v>7.3814696720031492E-4</c:v>
                      </c:pt>
                      <c:pt idx="27">
                        <c:v>1.7355762673965103E-4</c:v>
                      </c:pt>
                      <c:pt idx="28">
                        <c:v>-2.2948440407954962E-4</c:v>
                      </c:pt>
                      <c:pt idx="29">
                        <c:v>-5.1119827535028861E-4</c:v>
                      </c:pt>
                      <c:pt idx="30">
                        <c:v>-7.0053935452119021E-4</c:v>
                      </c:pt>
                      <c:pt idx="31">
                        <c:v>-8.187557725545247E-4</c:v>
                      </c:pt>
                      <c:pt idx="32">
                        <c:v>-8.816997096934287E-4</c:v>
                      </c:pt>
                      <c:pt idx="33">
                        <c:v>-9.0136931520401475E-4</c:v>
                      </c:pt>
                      <c:pt idx="34">
                        <c:v>-8.8696102945728938E-4</c:v>
                      </c:pt>
                      <c:pt idx="35">
                        <c:v>-7.8287289917611247E-4</c:v>
                      </c:pt>
                      <c:pt idx="36">
                        <c:v>-6.1001773595492637E-4</c:v>
                      </c:pt>
                      <c:pt idx="37">
                        <c:v>-3.9399625791514126E-4</c:v>
                      </c:pt>
                      <c:pt idx="38">
                        <c:v>-1.5138997497921025E-4</c:v>
                      </c:pt>
                      <c:pt idx="39">
                        <c:v>1.0684155713214238E-4</c:v>
                      </c:pt>
                      <c:pt idx="40">
                        <c:v>3.7334567887548076E-4</c:v>
                      </c:pt>
                      <c:pt idx="41">
                        <c:v>6.4314016735966817E-4</c:v>
                      </c:pt>
                      <c:pt idx="42">
                        <c:v>9.1283191031976685E-4</c:v>
                      </c:pt>
                      <c:pt idx="43">
                        <c:v>7.1550281548127259E-4</c:v>
                      </c:pt>
                      <c:pt idx="44">
                        <c:v>4.3484574514796037E-4</c:v>
                      </c:pt>
                      <c:pt idx="45">
                        <c:v>2.1418029974640262E-4</c:v>
                      </c:pt>
                      <c:pt idx="46">
                        <c:v>4.3098130655394584E-5</c:v>
                      </c:pt>
                      <c:pt idx="47">
                        <c:v>-8.6761268838664307E-5</c:v>
                      </c:pt>
                      <c:pt idx="48">
                        <c:v>-1.8217107597529036E-4</c:v>
                      </c:pt>
                      <c:pt idx="49">
                        <c:v>-2.4866163016667997E-4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151-4E6B-B494-EB995B6ABA4D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1.5133040828720459</c:v>
                      </c:pt>
                      <c:pt idx="2">
                        <c:v>0.90267500068410556</c:v>
                      </c:pt>
                      <c:pt idx="3">
                        <c:v>0.48377008597721982</c:v>
                      </c:pt>
                      <c:pt idx="4">
                        <c:v>3.4598217570422918E-2</c:v>
                      </c:pt>
                      <c:pt idx="5">
                        <c:v>-0.24313245532003869</c:v>
                      </c:pt>
                      <c:pt idx="6">
                        <c:v>-0.57969831366015967</c:v>
                      </c:pt>
                      <c:pt idx="7">
                        <c:v>-0.79323290472417263</c:v>
                      </c:pt>
                      <c:pt idx="8">
                        <c:v>-0.87994386736580665</c:v>
                      </c:pt>
                      <c:pt idx="9">
                        <c:v>-0.88597762779707434</c:v>
                      </c:pt>
                      <c:pt idx="10">
                        <c:v>-0.83483204590883986</c:v>
                      </c:pt>
                      <c:pt idx="11">
                        <c:v>-0.74041502506707602</c:v>
                      </c:pt>
                      <c:pt idx="12">
                        <c:v>-0.61176856001843305</c:v>
                      </c:pt>
                      <c:pt idx="13">
                        <c:v>-0.45516422965146131</c:v>
                      </c:pt>
                      <c:pt idx="14">
                        <c:v>-0.27516374369929153</c:v>
                      </c:pt>
                      <c:pt idx="15">
                        <c:v>-7.5208282242789082E-2</c:v>
                      </c:pt>
                      <c:pt idx="16">
                        <c:v>0.14203019612679668</c:v>
                      </c:pt>
                      <c:pt idx="17">
                        <c:v>0.37442776058531635</c:v>
                      </c:pt>
                      <c:pt idx="18">
                        <c:v>0.62026293596004756</c:v>
                      </c:pt>
                      <c:pt idx="19">
                        <c:v>0.87811738284659935</c:v>
                      </c:pt>
                      <c:pt idx="20">
                        <c:v>1.1468060450869899</c:v>
                      </c:pt>
                      <c:pt idx="21">
                        <c:v>1.4253267010503778</c:v>
                      </c:pt>
                      <c:pt idx="22">
                        <c:v>1.7128227597011936</c:v>
                      </c:pt>
                      <c:pt idx="23">
                        <c:v>1.5671770499802617</c:v>
                      </c:pt>
                      <c:pt idx="24">
                        <c:v>1.3033093372736282</c:v>
                      </c:pt>
                      <c:pt idx="25">
                        <c:v>0.83677318103321241</c:v>
                      </c:pt>
                      <c:pt idx="26">
                        <c:v>0.44288818032018895</c:v>
                      </c:pt>
                      <c:pt idx="27">
                        <c:v>0.11281245738077317</c:v>
                      </c:pt>
                      <c:pt idx="28">
                        <c:v>-0.16063908285568473</c:v>
                      </c:pt>
                      <c:pt idx="29">
                        <c:v>-0.38339870651271646</c:v>
                      </c:pt>
                      <c:pt idx="30">
                        <c:v>-0.56043148361695216</c:v>
                      </c:pt>
                      <c:pt idx="31">
                        <c:v>-0.69594240667134599</c:v>
                      </c:pt>
                      <c:pt idx="32">
                        <c:v>-0.79352973872408583</c:v>
                      </c:pt>
                      <c:pt idx="33">
                        <c:v>-0.85630084944381402</c:v>
                      </c:pt>
                      <c:pt idx="34">
                        <c:v>-0.88696102945728938</c:v>
                      </c:pt>
                      <c:pt idx="35">
                        <c:v>-0.86116018909372372</c:v>
                      </c:pt>
                      <c:pt idx="36">
                        <c:v>-0.73202128314591164</c:v>
                      </c:pt>
                      <c:pt idx="37">
                        <c:v>-0.51219513528968363</c:v>
                      </c:pt>
                      <c:pt idx="38">
                        <c:v>-0.21194596497089435</c:v>
                      </c:pt>
                      <c:pt idx="39">
                        <c:v>0.16026233569821358</c:v>
                      </c:pt>
                      <c:pt idx="40">
                        <c:v>0.59735308620076921</c:v>
                      </c:pt>
                      <c:pt idx="41">
                        <c:v>1.0933382845114359</c:v>
                      </c:pt>
                      <c:pt idx="42">
                        <c:v>1.6430974385755803</c:v>
                      </c:pt>
                      <c:pt idx="43">
                        <c:v>1.3594553494144179</c:v>
                      </c:pt>
                      <c:pt idx="44">
                        <c:v>0.86969149029592074</c:v>
                      </c:pt>
                      <c:pt idx="45">
                        <c:v>0.44977862946744551</c:v>
                      </c:pt>
                      <c:pt idx="46">
                        <c:v>9.4815887441868085E-2</c:v>
                      </c:pt>
                      <c:pt idx="47">
                        <c:v>-0.19955091832892791</c:v>
                      </c:pt>
                      <c:pt idx="48">
                        <c:v>-0.43721058234069687</c:v>
                      </c:pt>
                      <c:pt idx="49">
                        <c:v>-0.62165407541669992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151-4E6B-B494-EB995B6ABA4D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Execution Time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392929741349097"/>
          <c:y val="0.19781333333333334"/>
          <c:w val="0.83342975303161293"/>
          <c:h val="0.45310194225721784"/>
        </c:manualLayout>
      </c:layout>
      <c:lineChart>
        <c:grouping val="standard"/>
        <c:varyColors val="0"/>
        <c:ser>
          <c:idx val="3"/>
          <c:order val="1"/>
          <c:tx>
            <c:strRef>
              <c:f>'Convergence Study'!$C$6</c:f>
              <c:strCache>
                <c:ptCount val="1"/>
                <c:pt idx="0">
                  <c:v>Execution Time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Study'!$C$7:$C$56</c:f>
              <c:numCache>
                <c:formatCode>General</c:formatCode>
                <c:ptCount val="5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3.90625E-3</c:v>
                </c:pt>
                <c:pt idx="6">
                  <c:v>3.90625E-3</c:v>
                </c:pt>
                <c:pt idx="7">
                  <c:v>3.125E-2</c:v>
                </c:pt>
                <c:pt idx="8">
                  <c:v>3.90625E-2</c:v>
                </c:pt>
                <c:pt idx="9">
                  <c:v>5.859375E-2</c:v>
                </c:pt>
                <c:pt idx="10">
                  <c:v>7.8125E-2</c:v>
                </c:pt>
                <c:pt idx="11">
                  <c:v>0.1015625</c:v>
                </c:pt>
                <c:pt idx="12">
                  <c:v>0.125</c:v>
                </c:pt>
                <c:pt idx="13">
                  <c:v>0.1484375</c:v>
                </c:pt>
                <c:pt idx="14">
                  <c:v>0.16015625</c:v>
                </c:pt>
                <c:pt idx="15">
                  <c:v>0.1875</c:v>
                </c:pt>
                <c:pt idx="16">
                  <c:v>0.21875</c:v>
                </c:pt>
                <c:pt idx="17">
                  <c:v>0.234375</c:v>
                </c:pt>
                <c:pt idx="18">
                  <c:v>0.26171875</c:v>
                </c:pt>
                <c:pt idx="19">
                  <c:v>0.2890625</c:v>
                </c:pt>
                <c:pt idx="20">
                  <c:v>0.3125</c:v>
                </c:pt>
                <c:pt idx="21">
                  <c:v>0.359375</c:v>
                </c:pt>
                <c:pt idx="22">
                  <c:v>0.3828125</c:v>
                </c:pt>
                <c:pt idx="23">
                  <c:v>0.41015625</c:v>
                </c:pt>
                <c:pt idx="24">
                  <c:v>0.453125</c:v>
                </c:pt>
                <c:pt idx="25">
                  <c:v>0.52734375</c:v>
                </c:pt>
                <c:pt idx="26">
                  <c:v>0.60546875</c:v>
                </c:pt>
                <c:pt idx="27">
                  <c:v>0.66796875</c:v>
                </c:pt>
                <c:pt idx="28">
                  <c:v>0.734375</c:v>
                </c:pt>
                <c:pt idx="29">
                  <c:v>0.81640625</c:v>
                </c:pt>
                <c:pt idx="30">
                  <c:v>0.91796875</c:v>
                </c:pt>
                <c:pt idx="31">
                  <c:v>1.01953125</c:v>
                </c:pt>
                <c:pt idx="32">
                  <c:v>1.16015625</c:v>
                </c:pt>
                <c:pt idx="33">
                  <c:v>1.1796875</c:v>
                </c:pt>
                <c:pt idx="34">
                  <c:v>1.28125</c:v>
                </c:pt>
                <c:pt idx="35">
                  <c:v>1.625</c:v>
                </c:pt>
                <c:pt idx="36">
                  <c:v>1.73046875</c:v>
                </c:pt>
                <c:pt idx="37">
                  <c:v>1.93359375</c:v>
                </c:pt>
                <c:pt idx="38">
                  <c:v>2.40625</c:v>
                </c:pt>
                <c:pt idx="39">
                  <c:v>2.47265625</c:v>
                </c:pt>
                <c:pt idx="40">
                  <c:v>2.5859375</c:v>
                </c:pt>
                <c:pt idx="41">
                  <c:v>3.0078125</c:v>
                </c:pt>
                <c:pt idx="42">
                  <c:v>3.69921875</c:v>
                </c:pt>
                <c:pt idx="43">
                  <c:v>4.078125</c:v>
                </c:pt>
                <c:pt idx="44">
                  <c:v>4.60546875</c:v>
                </c:pt>
                <c:pt idx="45">
                  <c:v>4.35546875</c:v>
                </c:pt>
                <c:pt idx="46">
                  <c:v>4.7578125</c:v>
                </c:pt>
                <c:pt idx="47">
                  <c:v>4.37890625</c:v>
                </c:pt>
                <c:pt idx="48">
                  <c:v>4.6953125</c:v>
                </c:pt>
                <c:pt idx="49">
                  <c:v>4.9921875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AA68-4A71-89E7-BA614F361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6.4111543193924039</c:v>
                      </c:pt>
                      <c:pt idx="2">
                        <c:v>7.7439234021276286</c:v>
                      </c:pt>
                      <c:pt idx="3">
                        <c:v>7.8760813936667278</c:v>
                      </c:pt>
                      <c:pt idx="4">
                        <c:v>7.9227284913859286</c:v>
                      </c:pt>
                      <c:pt idx="5">
                        <c:v>7.9325628174417844</c:v>
                      </c:pt>
                      <c:pt idx="6">
                        <c:v>7.9360523685376529</c:v>
                      </c:pt>
                      <c:pt idx="7">
                        <c:v>7.9350348409941054</c:v>
                      </c:pt>
                      <c:pt idx="8">
                        <c:v>7.9332578409381078</c:v>
                      </c:pt>
                      <c:pt idx="9">
                        <c:v>7.9315462232868263</c:v>
                      </c:pt>
                      <c:pt idx="10">
                        <c:v>7.9300239492371754</c:v>
                      </c:pt>
                      <c:pt idx="11">
                        <c:v>7.928689345264833</c:v>
                      </c:pt>
                      <c:pt idx="12">
                        <c:v>7.9275172450645419</c:v>
                      </c:pt>
                      <c:pt idx="13">
                        <c:v>7.926481354396234</c:v>
                      </c:pt>
                      <c:pt idx="14">
                        <c:v>7.9255590572392469</c:v>
                      </c:pt>
                      <c:pt idx="15">
                        <c:v>7.9247318869271508</c:v>
                      </c:pt>
                      <c:pt idx="16">
                        <c:v>7.9239849682773604</c:v>
                      </c:pt>
                      <c:pt idx="17">
                        <c:v>7.9233063168472642</c:v>
                      </c:pt>
                      <c:pt idx="18">
                        <c:v>7.922686222447421</c:v>
                      </c:pt>
                      <c:pt idx="19">
                        <c:v>7.9221167559101922</c:v>
                      </c:pt>
                      <c:pt idx="20">
                        <c:v>7.9215913871517323</c:v>
                      </c:pt>
                      <c:pt idx="21">
                        <c:v>7.9211046923796253</c:v>
                      </c:pt>
                      <c:pt idx="22">
                        <c:v>7.9206521294651138</c:v>
                      </c:pt>
                      <c:pt idx="23">
                        <c:v>7.9211590821592281</c:v>
                      </c:pt>
                      <c:pt idx="24">
                        <c:v>7.9218517835899025</c:v>
                      </c:pt>
                      <c:pt idx="25">
                        <c:v>7.922936996480753</c:v>
                      </c:pt>
                      <c:pt idx="26">
                        <c:v>7.9237202552972494</c:v>
                      </c:pt>
                      <c:pt idx="27">
                        <c:v>7.9242848446377101</c:v>
                      </c:pt>
                      <c:pt idx="28">
                        <c:v>7.9246878866685293</c:v>
                      </c:pt>
                      <c:pt idx="29">
                        <c:v>7.9249696005398</c:v>
                      </c:pt>
                      <c:pt idx="30">
                        <c:v>7.9251589416189709</c:v>
                      </c:pt>
                      <c:pt idx="31">
                        <c:v>7.9252771580370043</c:v>
                      </c:pt>
                      <c:pt idx="32">
                        <c:v>7.9253401019741432</c:v>
                      </c:pt>
                      <c:pt idx="33">
                        <c:v>7.9253597715796538</c:v>
                      </c:pt>
                      <c:pt idx="34">
                        <c:v>7.925345363293907</c:v>
                      </c:pt>
                      <c:pt idx="35">
                        <c:v>7.9252412751636259</c:v>
                      </c:pt>
                      <c:pt idx="36">
                        <c:v>7.9250684200004047</c:v>
                      </c:pt>
                      <c:pt idx="37">
                        <c:v>7.9248523985223649</c:v>
                      </c:pt>
                      <c:pt idx="38">
                        <c:v>7.924609792239429</c:v>
                      </c:pt>
                      <c:pt idx="39">
                        <c:v>7.9243515607073176</c:v>
                      </c:pt>
                      <c:pt idx="40">
                        <c:v>7.9240850565855743</c:v>
                      </c:pt>
                      <c:pt idx="41">
                        <c:v>7.9238152620970901</c:v>
                      </c:pt>
                      <c:pt idx="42">
                        <c:v>7.92354557035413</c:v>
                      </c:pt>
                      <c:pt idx="43">
                        <c:v>7.9237428994489685</c:v>
                      </c:pt>
                      <c:pt idx="44">
                        <c:v>7.9240235565193018</c:v>
                      </c:pt>
                      <c:pt idx="45">
                        <c:v>7.9242442219647033</c:v>
                      </c:pt>
                      <c:pt idx="46">
                        <c:v>7.9244153041337944</c:v>
                      </c:pt>
                      <c:pt idx="47">
                        <c:v>7.9245451635332884</c:v>
                      </c:pt>
                      <c:pt idx="48">
                        <c:v>7.924640573340425</c:v>
                      </c:pt>
                      <c:pt idx="49">
                        <c:v>7.9247070638946164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68-4A71-89E7-BA614F361B89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7.9244584022644498</c:v>
                      </c:pt>
                      <c:pt idx="2">
                        <c:v>7.9244584022644498</c:v>
                      </c:pt>
                      <c:pt idx="3">
                        <c:v>7.9244584022644498</c:v>
                      </c:pt>
                      <c:pt idx="4">
                        <c:v>7.9244584022644498</c:v>
                      </c:pt>
                      <c:pt idx="5">
                        <c:v>7.9244584022644498</c:v>
                      </c:pt>
                      <c:pt idx="6">
                        <c:v>7.9244584022644498</c:v>
                      </c:pt>
                      <c:pt idx="7">
                        <c:v>7.9244584022644498</c:v>
                      </c:pt>
                      <c:pt idx="8">
                        <c:v>7.9244584022644498</c:v>
                      </c:pt>
                      <c:pt idx="9">
                        <c:v>7.9244584022644498</c:v>
                      </c:pt>
                      <c:pt idx="10">
                        <c:v>7.9244584022644498</c:v>
                      </c:pt>
                      <c:pt idx="11">
                        <c:v>7.9244584022644498</c:v>
                      </c:pt>
                      <c:pt idx="12">
                        <c:v>7.9244584022644498</c:v>
                      </c:pt>
                      <c:pt idx="13">
                        <c:v>7.9244584022644498</c:v>
                      </c:pt>
                      <c:pt idx="14">
                        <c:v>7.9244584022644498</c:v>
                      </c:pt>
                      <c:pt idx="15">
                        <c:v>7.9244584022644498</c:v>
                      </c:pt>
                      <c:pt idx="16">
                        <c:v>7.9244584022644498</c:v>
                      </c:pt>
                      <c:pt idx="17">
                        <c:v>7.9244584022644498</c:v>
                      </c:pt>
                      <c:pt idx="18">
                        <c:v>7.9244584022644498</c:v>
                      </c:pt>
                      <c:pt idx="19">
                        <c:v>7.9244584022644498</c:v>
                      </c:pt>
                      <c:pt idx="20">
                        <c:v>7.9244584022644498</c:v>
                      </c:pt>
                      <c:pt idx="21">
                        <c:v>7.9244584022644498</c:v>
                      </c:pt>
                      <c:pt idx="22">
                        <c:v>7.9244584022644498</c:v>
                      </c:pt>
                      <c:pt idx="23">
                        <c:v>7.9244584022644498</c:v>
                      </c:pt>
                      <c:pt idx="24">
                        <c:v>7.9244584022644498</c:v>
                      </c:pt>
                      <c:pt idx="25">
                        <c:v>7.9244584022644498</c:v>
                      </c:pt>
                      <c:pt idx="26">
                        <c:v>7.9244584022644498</c:v>
                      </c:pt>
                      <c:pt idx="27">
                        <c:v>7.9244584022644498</c:v>
                      </c:pt>
                      <c:pt idx="28">
                        <c:v>7.9244584022644498</c:v>
                      </c:pt>
                      <c:pt idx="29">
                        <c:v>7.9244584022644498</c:v>
                      </c:pt>
                      <c:pt idx="30">
                        <c:v>7.9244584022644498</c:v>
                      </c:pt>
                      <c:pt idx="31">
                        <c:v>7.9244584022644498</c:v>
                      </c:pt>
                      <c:pt idx="32">
                        <c:v>7.9244584022644498</c:v>
                      </c:pt>
                      <c:pt idx="33">
                        <c:v>7.9244584022644498</c:v>
                      </c:pt>
                      <c:pt idx="34">
                        <c:v>7.9244584022644498</c:v>
                      </c:pt>
                      <c:pt idx="35">
                        <c:v>7.9244584022644498</c:v>
                      </c:pt>
                      <c:pt idx="36">
                        <c:v>7.9244584022644498</c:v>
                      </c:pt>
                      <c:pt idx="37">
                        <c:v>7.9244584022644498</c:v>
                      </c:pt>
                      <c:pt idx="38">
                        <c:v>7.9244584022644498</c:v>
                      </c:pt>
                      <c:pt idx="39">
                        <c:v>7.9244584022644498</c:v>
                      </c:pt>
                      <c:pt idx="40">
                        <c:v>7.9244584022644498</c:v>
                      </c:pt>
                      <c:pt idx="41">
                        <c:v>7.9244584022644498</c:v>
                      </c:pt>
                      <c:pt idx="42">
                        <c:v>7.9244584022644498</c:v>
                      </c:pt>
                      <c:pt idx="43">
                        <c:v>7.9244584022644498</c:v>
                      </c:pt>
                      <c:pt idx="44">
                        <c:v>7.9244584022644498</c:v>
                      </c:pt>
                      <c:pt idx="45">
                        <c:v>7.9244584022644498</c:v>
                      </c:pt>
                      <c:pt idx="46">
                        <c:v>7.9244584022644498</c:v>
                      </c:pt>
                      <c:pt idx="47">
                        <c:v>7.9244584022644498</c:v>
                      </c:pt>
                      <c:pt idx="48">
                        <c:v>7.9244584022644498</c:v>
                      </c:pt>
                      <c:pt idx="49">
                        <c:v>7.9244584022644498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A68-4A71-89E7-BA614F361B89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1.5133040828720459</c:v>
                      </c:pt>
                      <c:pt idx="2">
                        <c:v>0.18053500013682111</c:v>
                      </c:pt>
                      <c:pt idx="3">
                        <c:v>4.8377008597721982E-2</c:v>
                      </c:pt>
                      <c:pt idx="4">
                        <c:v>1.7299108785211459E-3</c:v>
                      </c:pt>
                      <c:pt idx="5">
                        <c:v>-8.1044151773346229E-3</c:v>
                      </c:pt>
                      <c:pt idx="6">
                        <c:v>-1.1593966273203193E-2</c:v>
                      </c:pt>
                      <c:pt idx="7">
                        <c:v>-1.0576438729655635E-2</c:v>
                      </c:pt>
                      <c:pt idx="8">
                        <c:v>-8.7994386736580665E-3</c:v>
                      </c:pt>
                      <c:pt idx="9">
                        <c:v>-7.0878210223765947E-3</c:v>
                      </c:pt>
                      <c:pt idx="10">
                        <c:v>-5.5655469727255991E-3</c:v>
                      </c:pt>
                      <c:pt idx="11">
                        <c:v>-4.2309430003832915E-3</c:v>
                      </c:pt>
                      <c:pt idx="12">
                        <c:v>-3.0588428000921652E-3</c:v>
                      </c:pt>
                      <c:pt idx="13">
                        <c:v>-2.0229521317842725E-3</c:v>
                      </c:pt>
                      <c:pt idx="14">
                        <c:v>-1.1006549747971661E-3</c:v>
                      </c:pt>
                      <c:pt idx="15">
                        <c:v>-2.7348466270105121E-4</c:v>
                      </c:pt>
                      <c:pt idx="16">
                        <c:v>4.7343398708932227E-4</c:v>
                      </c:pt>
                      <c:pt idx="17">
                        <c:v>1.1520854171855888E-3</c:v>
                      </c:pt>
                      <c:pt idx="18">
                        <c:v>1.7721798170287073E-3</c:v>
                      </c:pt>
                      <c:pt idx="19">
                        <c:v>2.3416463542575983E-3</c:v>
                      </c:pt>
                      <c:pt idx="20">
                        <c:v>2.8670151127174748E-3</c:v>
                      </c:pt>
                      <c:pt idx="21">
                        <c:v>3.3537098848244185E-3</c:v>
                      </c:pt>
                      <c:pt idx="22">
                        <c:v>3.8062727993359857E-3</c:v>
                      </c:pt>
                      <c:pt idx="23">
                        <c:v>3.2993201052216037E-3</c:v>
                      </c:pt>
                      <c:pt idx="24">
                        <c:v>2.6066186745472564E-3</c:v>
                      </c:pt>
                      <c:pt idx="25">
                        <c:v>1.5214057836967498E-3</c:v>
                      </c:pt>
                      <c:pt idx="26">
                        <c:v>7.3814696720031492E-4</c:v>
                      </c:pt>
                      <c:pt idx="27">
                        <c:v>1.7355762673965103E-4</c:v>
                      </c:pt>
                      <c:pt idx="28">
                        <c:v>-2.2948440407954962E-4</c:v>
                      </c:pt>
                      <c:pt idx="29">
                        <c:v>-5.1119827535028861E-4</c:v>
                      </c:pt>
                      <c:pt idx="30">
                        <c:v>-7.0053935452119021E-4</c:v>
                      </c:pt>
                      <c:pt idx="31">
                        <c:v>-8.187557725545247E-4</c:v>
                      </c:pt>
                      <c:pt idx="32">
                        <c:v>-8.816997096934287E-4</c:v>
                      </c:pt>
                      <c:pt idx="33">
                        <c:v>-9.0136931520401475E-4</c:v>
                      </c:pt>
                      <c:pt idx="34">
                        <c:v>-8.8696102945728938E-4</c:v>
                      </c:pt>
                      <c:pt idx="35">
                        <c:v>-7.8287289917611247E-4</c:v>
                      </c:pt>
                      <c:pt idx="36">
                        <c:v>-6.1001773595492637E-4</c:v>
                      </c:pt>
                      <c:pt idx="37">
                        <c:v>-3.9399625791514126E-4</c:v>
                      </c:pt>
                      <c:pt idx="38">
                        <c:v>-1.5138997497921025E-4</c:v>
                      </c:pt>
                      <c:pt idx="39">
                        <c:v>1.0684155713214238E-4</c:v>
                      </c:pt>
                      <c:pt idx="40">
                        <c:v>3.7334567887548076E-4</c:v>
                      </c:pt>
                      <c:pt idx="41">
                        <c:v>6.4314016735966817E-4</c:v>
                      </c:pt>
                      <c:pt idx="42">
                        <c:v>9.1283191031976685E-4</c:v>
                      </c:pt>
                      <c:pt idx="43">
                        <c:v>7.1550281548127259E-4</c:v>
                      </c:pt>
                      <c:pt idx="44">
                        <c:v>4.3484574514796037E-4</c:v>
                      </c:pt>
                      <c:pt idx="45">
                        <c:v>2.1418029974640262E-4</c:v>
                      </c:pt>
                      <c:pt idx="46">
                        <c:v>4.3098130655394584E-5</c:v>
                      </c:pt>
                      <c:pt idx="47">
                        <c:v>-8.6761268838664307E-5</c:v>
                      </c:pt>
                      <c:pt idx="48">
                        <c:v>-1.8217107597529036E-4</c:v>
                      </c:pt>
                      <c:pt idx="49">
                        <c:v>-2.4866163016667997E-4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A68-4A71-89E7-BA614F361B89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1.5133040828720459</c:v>
                      </c:pt>
                      <c:pt idx="2">
                        <c:v>0.90267500068410556</c:v>
                      </c:pt>
                      <c:pt idx="3">
                        <c:v>0.48377008597721982</c:v>
                      </c:pt>
                      <c:pt idx="4">
                        <c:v>3.4598217570422918E-2</c:v>
                      </c:pt>
                      <c:pt idx="5">
                        <c:v>-0.24313245532003869</c:v>
                      </c:pt>
                      <c:pt idx="6">
                        <c:v>-0.57969831366015967</c:v>
                      </c:pt>
                      <c:pt idx="7">
                        <c:v>-0.79323290472417263</c:v>
                      </c:pt>
                      <c:pt idx="8">
                        <c:v>-0.87994386736580665</c:v>
                      </c:pt>
                      <c:pt idx="9">
                        <c:v>-0.88597762779707434</c:v>
                      </c:pt>
                      <c:pt idx="10">
                        <c:v>-0.83483204590883986</c:v>
                      </c:pt>
                      <c:pt idx="11">
                        <c:v>-0.74041502506707602</c:v>
                      </c:pt>
                      <c:pt idx="12">
                        <c:v>-0.61176856001843305</c:v>
                      </c:pt>
                      <c:pt idx="13">
                        <c:v>-0.45516422965146131</c:v>
                      </c:pt>
                      <c:pt idx="14">
                        <c:v>-0.27516374369929153</c:v>
                      </c:pt>
                      <c:pt idx="15">
                        <c:v>-7.5208282242789082E-2</c:v>
                      </c:pt>
                      <c:pt idx="16">
                        <c:v>0.14203019612679668</c:v>
                      </c:pt>
                      <c:pt idx="17">
                        <c:v>0.37442776058531635</c:v>
                      </c:pt>
                      <c:pt idx="18">
                        <c:v>0.62026293596004756</c:v>
                      </c:pt>
                      <c:pt idx="19">
                        <c:v>0.87811738284659935</c:v>
                      </c:pt>
                      <c:pt idx="20">
                        <c:v>1.1468060450869899</c:v>
                      </c:pt>
                      <c:pt idx="21">
                        <c:v>1.4253267010503778</c:v>
                      </c:pt>
                      <c:pt idx="22">
                        <c:v>1.7128227597011936</c:v>
                      </c:pt>
                      <c:pt idx="23">
                        <c:v>1.5671770499802617</c:v>
                      </c:pt>
                      <c:pt idx="24">
                        <c:v>1.3033093372736282</c:v>
                      </c:pt>
                      <c:pt idx="25">
                        <c:v>0.83677318103321241</c:v>
                      </c:pt>
                      <c:pt idx="26">
                        <c:v>0.44288818032018895</c:v>
                      </c:pt>
                      <c:pt idx="27">
                        <c:v>0.11281245738077317</c:v>
                      </c:pt>
                      <c:pt idx="28">
                        <c:v>-0.16063908285568473</c:v>
                      </c:pt>
                      <c:pt idx="29">
                        <c:v>-0.38339870651271646</c:v>
                      </c:pt>
                      <c:pt idx="30">
                        <c:v>-0.56043148361695216</c:v>
                      </c:pt>
                      <c:pt idx="31">
                        <c:v>-0.69594240667134599</c:v>
                      </c:pt>
                      <c:pt idx="32">
                        <c:v>-0.79352973872408583</c:v>
                      </c:pt>
                      <c:pt idx="33">
                        <c:v>-0.85630084944381402</c:v>
                      </c:pt>
                      <c:pt idx="34">
                        <c:v>-0.88696102945728938</c:v>
                      </c:pt>
                      <c:pt idx="35">
                        <c:v>-0.86116018909372372</c:v>
                      </c:pt>
                      <c:pt idx="36">
                        <c:v>-0.73202128314591164</c:v>
                      </c:pt>
                      <c:pt idx="37">
                        <c:v>-0.51219513528968363</c:v>
                      </c:pt>
                      <c:pt idx="38">
                        <c:v>-0.21194596497089435</c:v>
                      </c:pt>
                      <c:pt idx="39">
                        <c:v>0.16026233569821358</c:v>
                      </c:pt>
                      <c:pt idx="40">
                        <c:v>0.59735308620076921</c:v>
                      </c:pt>
                      <c:pt idx="41">
                        <c:v>1.0933382845114359</c:v>
                      </c:pt>
                      <c:pt idx="42">
                        <c:v>1.6430974385755803</c:v>
                      </c:pt>
                      <c:pt idx="43">
                        <c:v>1.3594553494144179</c:v>
                      </c:pt>
                      <c:pt idx="44">
                        <c:v>0.86969149029592074</c:v>
                      </c:pt>
                      <c:pt idx="45">
                        <c:v>0.44977862946744551</c:v>
                      </c:pt>
                      <c:pt idx="46">
                        <c:v>9.4815887441868085E-2</c:v>
                      </c:pt>
                      <c:pt idx="47">
                        <c:v>-0.19955091832892791</c:v>
                      </c:pt>
                      <c:pt idx="48">
                        <c:v>-0.43721058234069687</c:v>
                      </c:pt>
                      <c:pt idx="49">
                        <c:v>-0.62165407541669992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A68-4A71-89E7-BA614F361B89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45092606313891E-2"/>
          <c:y val="0.20105572363209223"/>
          <c:w val="0.87576030408427485"/>
          <c:h val="0.48208291788455759"/>
        </c:manualLayout>
      </c:layout>
      <c:lineChart>
        <c:grouping val="standard"/>
        <c:varyColors val="0"/>
        <c:ser>
          <c:idx val="5"/>
          <c:order val="3"/>
          <c:tx>
            <c:strRef>
              <c:f>'Convergence Study'!$E$6</c:f>
              <c:strCache>
                <c:ptCount val="1"/>
                <c:pt idx="0">
                  <c:v>Gap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Study'!$E$7:$E$56</c:f>
              <c:numCache>
                <c:formatCode>General</c:formatCode>
                <c:ptCount val="50"/>
                <c:pt idx="1">
                  <c:v>1.5133040828720459</c:v>
                </c:pt>
                <c:pt idx="2">
                  <c:v>0.18053500013682111</c:v>
                </c:pt>
                <c:pt idx="3">
                  <c:v>4.8377008597721982E-2</c:v>
                </c:pt>
                <c:pt idx="4">
                  <c:v>1.7299108785211459E-3</c:v>
                </c:pt>
                <c:pt idx="5">
                  <c:v>-8.1044151773346229E-3</c:v>
                </c:pt>
                <c:pt idx="6">
                  <c:v>-1.1593966273203193E-2</c:v>
                </c:pt>
                <c:pt idx="7">
                  <c:v>-1.0576438729655635E-2</c:v>
                </c:pt>
                <c:pt idx="8">
                  <c:v>-8.7994386736580665E-3</c:v>
                </c:pt>
                <c:pt idx="9">
                  <c:v>-7.0878210223765947E-3</c:v>
                </c:pt>
                <c:pt idx="10">
                  <c:v>-5.5655469727255991E-3</c:v>
                </c:pt>
                <c:pt idx="11">
                  <c:v>-4.2309430003832915E-3</c:v>
                </c:pt>
                <c:pt idx="12">
                  <c:v>-3.0588428000921652E-3</c:v>
                </c:pt>
                <c:pt idx="13">
                  <c:v>-2.0229521317842725E-3</c:v>
                </c:pt>
                <c:pt idx="14">
                  <c:v>-1.1006549747971661E-3</c:v>
                </c:pt>
                <c:pt idx="15">
                  <c:v>-2.7348466270105121E-4</c:v>
                </c:pt>
                <c:pt idx="16">
                  <c:v>4.7343398708932227E-4</c:v>
                </c:pt>
                <c:pt idx="17">
                  <c:v>1.1520854171855888E-3</c:v>
                </c:pt>
                <c:pt idx="18">
                  <c:v>1.7721798170287073E-3</c:v>
                </c:pt>
                <c:pt idx="19">
                  <c:v>2.3416463542575983E-3</c:v>
                </c:pt>
                <c:pt idx="20">
                  <c:v>2.8670151127174748E-3</c:v>
                </c:pt>
                <c:pt idx="21">
                  <c:v>3.3537098848244185E-3</c:v>
                </c:pt>
                <c:pt idx="22">
                  <c:v>3.8062727993359857E-3</c:v>
                </c:pt>
                <c:pt idx="23">
                  <c:v>3.2993201052216037E-3</c:v>
                </c:pt>
                <c:pt idx="24">
                  <c:v>2.6066186745472564E-3</c:v>
                </c:pt>
                <c:pt idx="25">
                  <c:v>1.5214057836967498E-3</c:v>
                </c:pt>
                <c:pt idx="26">
                  <c:v>7.3814696720031492E-4</c:v>
                </c:pt>
                <c:pt idx="27">
                  <c:v>1.7355762673965103E-4</c:v>
                </c:pt>
                <c:pt idx="28">
                  <c:v>-2.2948440407954962E-4</c:v>
                </c:pt>
                <c:pt idx="29">
                  <c:v>-5.1119827535028861E-4</c:v>
                </c:pt>
                <c:pt idx="30">
                  <c:v>-7.0053935452119021E-4</c:v>
                </c:pt>
                <c:pt idx="31">
                  <c:v>-8.187557725545247E-4</c:v>
                </c:pt>
                <c:pt idx="32">
                  <c:v>-8.816997096934287E-4</c:v>
                </c:pt>
                <c:pt idx="33">
                  <c:v>-9.0136931520401475E-4</c:v>
                </c:pt>
                <c:pt idx="34">
                  <c:v>-8.8696102945728938E-4</c:v>
                </c:pt>
                <c:pt idx="35">
                  <c:v>-7.8287289917611247E-4</c:v>
                </c:pt>
                <c:pt idx="36">
                  <c:v>-6.1001773595492637E-4</c:v>
                </c:pt>
                <c:pt idx="37">
                  <c:v>-3.9399625791514126E-4</c:v>
                </c:pt>
                <c:pt idx="38">
                  <c:v>-1.5138997497921025E-4</c:v>
                </c:pt>
                <c:pt idx="39">
                  <c:v>1.0684155713214238E-4</c:v>
                </c:pt>
                <c:pt idx="40">
                  <c:v>3.7334567887548076E-4</c:v>
                </c:pt>
                <c:pt idx="41">
                  <c:v>6.4314016735966817E-4</c:v>
                </c:pt>
                <c:pt idx="42">
                  <c:v>9.1283191031976685E-4</c:v>
                </c:pt>
                <c:pt idx="43">
                  <c:v>7.1550281548127259E-4</c:v>
                </c:pt>
                <c:pt idx="44">
                  <c:v>4.3484574514796037E-4</c:v>
                </c:pt>
                <c:pt idx="45">
                  <c:v>2.1418029974640262E-4</c:v>
                </c:pt>
                <c:pt idx="46">
                  <c:v>4.3098130655394584E-5</c:v>
                </c:pt>
                <c:pt idx="47">
                  <c:v>-8.6761268838664307E-5</c:v>
                </c:pt>
                <c:pt idx="48">
                  <c:v>-1.8217107597529036E-4</c:v>
                </c:pt>
                <c:pt idx="49">
                  <c:v>-2.4866163016667997E-4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3-B2EC-479A-A2A8-77673A62D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6.4111543193924039</c:v>
                      </c:pt>
                      <c:pt idx="2">
                        <c:v>7.7439234021276286</c:v>
                      </c:pt>
                      <c:pt idx="3">
                        <c:v>7.8760813936667278</c:v>
                      </c:pt>
                      <c:pt idx="4">
                        <c:v>7.9227284913859286</c:v>
                      </c:pt>
                      <c:pt idx="5">
                        <c:v>7.9325628174417844</c:v>
                      </c:pt>
                      <c:pt idx="6">
                        <c:v>7.9360523685376529</c:v>
                      </c:pt>
                      <c:pt idx="7">
                        <c:v>7.9350348409941054</c:v>
                      </c:pt>
                      <c:pt idx="8">
                        <c:v>7.9332578409381078</c:v>
                      </c:pt>
                      <c:pt idx="9">
                        <c:v>7.9315462232868263</c:v>
                      </c:pt>
                      <c:pt idx="10">
                        <c:v>7.9300239492371754</c:v>
                      </c:pt>
                      <c:pt idx="11">
                        <c:v>7.928689345264833</c:v>
                      </c:pt>
                      <c:pt idx="12">
                        <c:v>7.9275172450645419</c:v>
                      </c:pt>
                      <c:pt idx="13">
                        <c:v>7.926481354396234</c:v>
                      </c:pt>
                      <c:pt idx="14">
                        <c:v>7.9255590572392469</c:v>
                      </c:pt>
                      <c:pt idx="15">
                        <c:v>7.9247318869271508</c:v>
                      </c:pt>
                      <c:pt idx="16">
                        <c:v>7.9239849682773604</c:v>
                      </c:pt>
                      <c:pt idx="17">
                        <c:v>7.9233063168472642</c:v>
                      </c:pt>
                      <c:pt idx="18">
                        <c:v>7.922686222447421</c:v>
                      </c:pt>
                      <c:pt idx="19">
                        <c:v>7.9221167559101922</c:v>
                      </c:pt>
                      <c:pt idx="20">
                        <c:v>7.9215913871517323</c:v>
                      </c:pt>
                      <c:pt idx="21">
                        <c:v>7.9211046923796253</c:v>
                      </c:pt>
                      <c:pt idx="22">
                        <c:v>7.9206521294651138</c:v>
                      </c:pt>
                      <c:pt idx="23">
                        <c:v>7.9211590821592281</c:v>
                      </c:pt>
                      <c:pt idx="24">
                        <c:v>7.9218517835899025</c:v>
                      </c:pt>
                      <c:pt idx="25">
                        <c:v>7.922936996480753</c:v>
                      </c:pt>
                      <c:pt idx="26">
                        <c:v>7.9237202552972494</c:v>
                      </c:pt>
                      <c:pt idx="27">
                        <c:v>7.9242848446377101</c:v>
                      </c:pt>
                      <c:pt idx="28">
                        <c:v>7.9246878866685293</c:v>
                      </c:pt>
                      <c:pt idx="29">
                        <c:v>7.9249696005398</c:v>
                      </c:pt>
                      <c:pt idx="30">
                        <c:v>7.9251589416189709</c:v>
                      </c:pt>
                      <c:pt idx="31">
                        <c:v>7.9252771580370043</c:v>
                      </c:pt>
                      <c:pt idx="32">
                        <c:v>7.9253401019741432</c:v>
                      </c:pt>
                      <c:pt idx="33">
                        <c:v>7.9253597715796538</c:v>
                      </c:pt>
                      <c:pt idx="34">
                        <c:v>7.925345363293907</c:v>
                      </c:pt>
                      <c:pt idx="35">
                        <c:v>7.9252412751636259</c:v>
                      </c:pt>
                      <c:pt idx="36">
                        <c:v>7.9250684200004047</c:v>
                      </c:pt>
                      <c:pt idx="37">
                        <c:v>7.9248523985223649</c:v>
                      </c:pt>
                      <c:pt idx="38">
                        <c:v>7.924609792239429</c:v>
                      </c:pt>
                      <c:pt idx="39">
                        <c:v>7.9243515607073176</c:v>
                      </c:pt>
                      <c:pt idx="40">
                        <c:v>7.9240850565855743</c:v>
                      </c:pt>
                      <c:pt idx="41">
                        <c:v>7.9238152620970901</c:v>
                      </c:pt>
                      <c:pt idx="42">
                        <c:v>7.92354557035413</c:v>
                      </c:pt>
                      <c:pt idx="43">
                        <c:v>7.9237428994489685</c:v>
                      </c:pt>
                      <c:pt idx="44">
                        <c:v>7.9240235565193018</c:v>
                      </c:pt>
                      <c:pt idx="45">
                        <c:v>7.9242442219647033</c:v>
                      </c:pt>
                      <c:pt idx="46">
                        <c:v>7.9244153041337944</c:v>
                      </c:pt>
                      <c:pt idx="47">
                        <c:v>7.9245451635332884</c:v>
                      </c:pt>
                      <c:pt idx="48">
                        <c:v>7.924640573340425</c:v>
                      </c:pt>
                      <c:pt idx="49">
                        <c:v>7.9247070638946164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2EC-479A-A2A8-77673A62DFE4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3.90625E-3</c:v>
                      </c:pt>
                      <c:pt idx="6">
                        <c:v>3.90625E-3</c:v>
                      </c:pt>
                      <c:pt idx="7">
                        <c:v>3.125E-2</c:v>
                      </c:pt>
                      <c:pt idx="8">
                        <c:v>3.90625E-2</c:v>
                      </c:pt>
                      <c:pt idx="9">
                        <c:v>5.859375E-2</c:v>
                      </c:pt>
                      <c:pt idx="10">
                        <c:v>7.8125E-2</c:v>
                      </c:pt>
                      <c:pt idx="11">
                        <c:v>0.1015625</c:v>
                      </c:pt>
                      <c:pt idx="12">
                        <c:v>0.125</c:v>
                      </c:pt>
                      <c:pt idx="13">
                        <c:v>0.1484375</c:v>
                      </c:pt>
                      <c:pt idx="14">
                        <c:v>0.16015625</c:v>
                      </c:pt>
                      <c:pt idx="15">
                        <c:v>0.1875</c:v>
                      </c:pt>
                      <c:pt idx="16">
                        <c:v>0.21875</c:v>
                      </c:pt>
                      <c:pt idx="17">
                        <c:v>0.234375</c:v>
                      </c:pt>
                      <c:pt idx="18">
                        <c:v>0.26171875</c:v>
                      </c:pt>
                      <c:pt idx="19">
                        <c:v>0.2890625</c:v>
                      </c:pt>
                      <c:pt idx="20">
                        <c:v>0.3125</c:v>
                      </c:pt>
                      <c:pt idx="21">
                        <c:v>0.359375</c:v>
                      </c:pt>
                      <c:pt idx="22">
                        <c:v>0.3828125</c:v>
                      </c:pt>
                      <c:pt idx="23">
                        <c:v>0.41015625</c:v>
                      </c:pt>
                      <c:pt idx="24">
                        <c:v>0.453125</c:v>
                      </c:pt>
                      <c:pt idx="25">
                        <c:v>0.52734375</c:v>
                      </c:pt>
                      <c:pt idx="26">
                        <c:v>0.60546875</c:v>
                      </c:pt>
                      <c:pt idx="27">
                        <c:v>0.66796875</c:v>
                      </c:pt>
                      <c:pt idx="28">
                        <c:v>0.734375</c:v>
                      </c:pt>
                      <c:pt idx="29">
                        <c:v>0.81640625</c:v>
                      </c:pt>
                      <c:pt idx="30">
                        <c:v>0.91796875</c:v>
                      </c:pt>
                      <c:pt idx="31">
                        <c:v>1.01953125</c:v>
                      </c:pt>
                      <c:pt idx="32">
                        <c:v>1.16015625</c:v>
                      </c:pt>
                      <c:pt idx="33">
                        <c:v>1.1796875</c:v>
                      </c:pt>
                      <c:pt idx="34">
                        <c:v>1.28125</c:v>
                      </c:pt>
                      <c:pt idx="35">
                        <c:v>1.625</c:v>
                      </c:pt>
                      <c:pt idx="36">
                        <c:v>1.73046875</c:v>
                      </c:pt>
                      <c:pt idx="37">
                        <c:v>1.93359375</c:v>
                      </c:pt>
                      <c:pt idx="38">
                        <c:v>2.40625</c:v>
                      </c:pt>
                      <c:pt idx="39">
                        <c:v>2.47265625</c:v>
                      </c:pt>
                      <c:pt idx="40">
                        <c:v>2.5859375</c:v>
                      </c:pt>
                      <c:pt idx="41">
                        <c:v>3.0078125</c:v>
                      </c:pt>
                      <c:pt idx="42">
                        <c:v>3.69921875</c:v>
                      </c:pt>
                      <c:pt idx="43">
                        <c:v>4.078125</c:v>
                      </c:pt>
                      <c:pt idx="44">
                        <c:v>4.60546875</c:v>
                      </c:pt>
                      <c:pt idx="45">
                        <c:v>4.35546875</c:v>
                      </c:pt>
                      <c:pt idx="46">
                        <c:v>4.7578125</c:v>
                      </c:pt>
                      <c:pt idx="47">
                        <c:v>4.37890625</c:v>
                      </c:pt>
                      <c:pt idx="48">
                        <c:v>4.6953125</c:v>
                      </c:pt>
                      <c:pt idx="49">
                        <c:v>4.9921875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B2EC-479A-A2A8-77673A62DFE4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7.9244584022644498</c:v>
                      </c:pt>
                      <c:pt idx="2">
                        <c:v>7.9244584022644498</c:v>
                      </c:pt>
                      <c:pt idx="3">
                        <c:v>7.9244584022644498</c:v>
                      </c:pt>
                      <c:pt idx="4">
                        <c:v>7.9244584022644498</c:v>
                      </c:pt>
                      <c:pt idx="5">
                        <c:v>7.9244584022644498</c:v>
                      </c:pt>
                      <c:pt idx="6">
                        <c:v>7.9244584022644498</c:v>
                      </c:pt>
                      <c:pt idx="7">
                        <c:v>7.9244584022644498</c:v>
                      </c:pt>
                      <c:pt idx="8">
                        <c:v>7.9244584022644498</c:v>
                      </c:pt>
                      <c:pt idx="9">
                        <c:v>7.9244584022644498</c:v>
                      </c:pt>
                      <c:pt idx="10">
                        <c:v>7.9244584022644498</c:v>
                      </c:pt>
                      <c:pt idx="11">
                        <c:v>7.9244584022644498</c:v>
                      </c:pt>
                      <c:pt idx="12">
                        <c:v>7.9244584022644498</c:v>
                      </c:pt>
                      <c:pt idx="13">
                        <c:v>7.9244584022644498</c:v>
                      </c:pt>
                      <c:pt idx="14">
                        <c:v>7.9244584022644498</c:v>
                      </c:pt>
                      <c:pt idx="15">
                        <c:v>7.9244584022644498</c:v>
                      </c:pt>
                      <c:pt idx="16">
                        <c:v>7.9244584022644498</c:v>
                      </c:pt>
                      <c:pt idx="17">
                        <c:v>7.9244584022644498</c:v>
                      </c:pt>
                      <c:pt idx="18">
                        <c:v>7.9244584022644498</c:v>
                      </c:pt>
                      <c:pt idx="19">
                        <c:v>7.9244584022644498</c:v>
                      </c:pt>
                      <c:pt idx="20">
                        <c:v>7.9244584022644498</c:v>
                      </c:pt>
                      <c:pt idx="21">
                        <c:v>7.9244584022644498</c:v>
                      </c:pt>
                      <c:pt idx="22">
                        <c:v>7.9244584022644498</c:v>
                      </c:pt>
                      <c:pt idx="23">
                        <c:v>7.9244584022644498</c:v>
                      </c:pt>
                      <c:pt idx="24">
                        <c:v>7.9244584022644498</c:v>
                      </c:pt>
                      <c:pt idx="25">
                        <c:v>7.9244584022644498</c:v>
                      </c:pt>
                      <c:pt idx="26">
                        <c:v>7.9244584022644498</c:v>
                      </c:pt>
                      <c:pt idx="27">
                        <c:v>7.9244584022644498</c:v>
                      </c:pt>
                      <c:pt idx="28">
                        <c:v>7.9244584022644498</c:v>
                      </c:pt>
                      <c:pt idx="29">
                        <c:v>7.9244584022644498</c:v>
                      </c:pt>
                      <c:pt idx="30">
                        <c:v>7.9244584022644498</c:v>
                      </c:pt>
                      <c:pt idx="31">
                        <c:v>7.9244584022644498</c:v>
                      </c:pt>
                      <c:pt idx="32">
                        <c:v>7.9244584022644498</c:v>
                      </c:pt>
                      <c:pt idx="33">
                        <c:v>7.9244584022644498</c:v>
                      </c:pt>
                      <c:pt idx="34">
                        <c:v>7.9244584022644498</c:v>
                      </c:pt>
                      <c:pt idx="35">
                        <c:v>7.9244584022644498</c:v>
                      </c:pt>
                      <c:pt idx="36">
                        <c:v>7.9244584022644498</c:v>
                      </c:pt>
                      <c:pt idx="37">
                        <c:v>7.9244584022644498</c:v>
                      </c:pt>
                      <c:pt idx="38">
                        <c:v>7.9244584022644498</c:v>
                      </c:pt>
                      <c:pt idx="39">
                        <c:v>7.9244584022644498</c:v>
                      </c:pt>
                      <c:pt idx="40">
                        <c:v>7.9244584022644498</c:v>
                      </c:pt>
                      <c:pt idx="41">
                        <c:v>7.9244584022644498</c:v>
                      </c:pt>
                      <c:pt idx="42">
                        <c:v>7.9244584022644498</c:v>
                      </c:pt>
                      <c:pt idx="43">
                        <c:v>7.9244584022644498</c:v>
                      </c:pt>
                      <c:pt idx="44">
                        <c:v>7.9244584022644498</c:v>
                      </c:pt>
                      <c:pt idx="45">
                        <c:v>7.9244584022644498</c:v>
                      </c:pt>
                      <c:pt idx="46">
                        <c:v>7.9244584022644498</c:v>
                      </c:pt>
                      <c:pt idx="47">
                        <c:v>7.9244584022644498</c:v>
                      </c:pt>
                      <c:pt idx="48">
                        <c:v>7.9244584022644498</c:v>
                      </c:pt>
                      <c:pt idx="49">
                        <c:v>7.9244584022644498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2EC-479A-A2A8-77673A62DFE4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1.5133040828720459</c:v>
                      </c:pt>
                      <c:pt idx="2">
                        <c:v>0.90267500068410556</c:v>
                      </c:pt>
                      <c:pt idx="3">
                        <c:v>0.48377008597721982</c:v>
                      </c:pt>
                      <c:pt idx="4">
                        <c:v>3.4598217570422918E-2</c:v>
                      </c:pt>
                      <c:pt idx="5">
                        <c:v>-0.24313245532003869</c:v>
                      </c:pt>
                      <c:pt idx="6">
                        <c:v>-0.57969831366015967</c:v>
                      </c:pt>
                      <c:pt idx="7">
                        <c:v>-0.79323290472417263</c:v>
                      </c:pt>
                      <c:pt idx="8">
                        <c:v>-0.87994386736580665</c:v>
                      </c:pt>
                      <c:pt idx="9">
                        <c:v>-0.88597762779707434</c:v>
                      </c:pt>
                      <c:pt idx="10">
                        <c:v>-0.83483204590883986</c:v>
                      </c:pt>
                      <c:pt idx="11">
                        <c:v>-0.74041502506707602</c:v>
                      </c:pt>
                      <c:pt idx="12">
                        <c:v>-0.61176856001843305</c:v>
                      </c:pt>
                      <c:pt idx="13">
                        <c:v>-0.45516422965146131</c:v>
                      </c:pt>
                      <c:pt idx="14">
                        <c:v>-0.27516374369929153</c:v>
                      </c:pt>
                      <c:pt idx="15">
                        <c:v>-7.5208282242789082E-2</c:v>
                      </c:pt>
                      <c:pt idx="16">
                        <c:v>0.14203019612679668</c:v>
                      </c:pt>
                      <c:pt idx="17">
                        <c:v>0.37442776058531635</c:v>
                      </c:pt>
                      <c:pt idx="18">
                        <c:v>0.62026293596004756</c:v>
                      </c:pt>
                      <c:pt idx="19">
                        <c:v>0.87811738284659935</c:v>
                      </c:pt>
                      <c:pt idx="20">
                        <c:v>1.1468060450869899</c:v>
                      </c:pt>
                      <c:pt idx="21">
                        <c:v>1.4253267010503778</c:v>
                      </c:pt>
                      <c:pt idx="22">
                        <c:v>1.7128227597011936</c:v>
                      </c:pt>
                      <c:pt idx="23">
                        <c:v>1.5671770499802617</c:v>
                      </c:pt>
                      <c:pt idx="24">
                        <c:v>1.3033093372736282</c:v>
                      </c:pt>
                      <c:pt idx="25">
                        <c:v>0.83677318103321241</c:v>
                      </c:pt>
                      <c:pt idx="26">
                        <c:v>0.44288818032018895</c:v>
                      </c:pt>
                      <c:pt idx="27">
                        <c:v>0.11281245738077317</c:v>
                      </c:pt>
                      <c:pt idx="28">
                        <c:v>-0.16063908285568473</c:v>
                      </c:pt>
                      <c:pt idx="29">
                        <c:v>-0.38339870651271646</c:v>
                      </c:pt>
                      <c:pt idx="30">
                        <c:v>-0.56043148361695216</c:v>
                      </c:pt>
                      <c:pt idx="31">
                        <c:v>-0.69594240667134599</c:v>
                      </c:pt>
                      <c:pt idx="32">
                        <c:v>-0.79352973872408583</c:v>
                      </c:pt>
                      <c:pt idx="33">
                        <c:v>-0.85630084944381402</c:v>
                      </c:pt>
                      <c:pt idx="34">
                        <c:v>-0.88696102945728938</c:v>
                      </c:pt>
                      <c:pt idx="35">
                        <c:v>-0.86116018909372372</c:v>
                      </c:pt>
                      <c:pt idx="36">
                        <c:v>-0.73202128314591164</c:v>
                      </c:pt>
                      <c:pt idx="37">
                        <c:v>-0.51219513528968363</c:v>
                      </c:pt>
                      <c:pt idx="38">
                        <c:v>-0.21194596497089435</c:v>
                      </c:pt>
                      <c:pt idx="39">
                        <c:v>0.16026233569821358</c:v>
                      </c:pt>
                      <c:pt idx="40">
                        <c:v>0.59735308620076921</c:v>
                      </c:pt>
                      <c:pt idx="41">
                        <c:v>1.0933382845114359</c:v>
                      </c:pt>
                      <c:pt idx="42">
                        <c:v>1.6430974385755803</c:v>
                      </c:pt>
                      <c:pt idx="43">
                        <c:v>1.3594553494144179</c:v>
                      </c:pt>
                      <c:pt idx="44">
                        <c:v>0.86969149029592074</c:v>
                      </c:pt>
                      <c:pt idx="45">
                        <c:v>0.44977862946744551</c:v>
                      </c:pt>
                      <c:pt idx="46">
                        <c:v>9.4815887441868085E-2</c:v>
                      </c:pt>
                      <c:pt idx="47">
                        <c:v>-0.19955091832892791</c:v>
                      </c:pt>
                      <c:pt idx="48">
                        <c:v>-0.43721058234069687</c:v>
                      </c:pt>
                      <c:pt idx="49">
                        <c:v>-0.62165407541669992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2EC-479A-A2A8-77673A62DFE4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 (</a:t>
                </a:r>
                <a:r>
                  <a:rPr lang="en-GB" sz="1000" b="0" i="0" u="none" strike="noStrike" baseline="0">
                    <a:effectLst/>
                  </a:rPr>
                  <a:t>€)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* Step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9249848403731"/>
          <c:y val="0.2039513592268741"/>
          <c:w val="0.83644327589960354"/>
          <c:h val="0.43613203237811121"/>
        </c:manualLayout>
      </c:layout>
      <c:lineChart>
        <c:grouping val="standard"/>
        <c:varyColors val="0"/>
        <c:ser>
          <c:idx val="0"/>
          <c:order val="4"/>
          <c:tx>
            <c:strRef>
              <c:f>'Convergence Study'!$F$6</c:f>
              <c:strCache>
                <c:ptCount val="1"/>
                <c:pt idx="0">
                  <c:v>Gap * N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Study'!$F$7:$F$56</c:f>
              <c:numCache>
                <c:formatCode>General</c:formatCode>
                <c:ptCount val="50"/>
                <c:pt idx="1">
                  <c:v>1.5133040828720459</c:v>
                </c:pt>
                <c:pt idx="2">
                  <c:v>0.90267500068410556</c:v>
                </c:pt>
                <c:pt idx="3">
                  <c:v>0.48377008597721982</c:v>
                </c:pt>
                <c:pt idx="4">
                  <c:v>3.4598217570422918E-2</c:v>
                </c:pt>
                <c:pt idx="5">
                  <c:v>-0.24313245532003869</c:v>
                </c:pt>
                <c:pt idx="6">
                  <c:v>-0.57969831366015967</c:v>
                </c:pt>
                <c:pt idx="7">
                  <c:v>-0.79323290472417263</c:v>
                </c:pt>
                <c:pt idx="8">
                  <c:v>-0.87994386736580665</c:v>
                </c:pt>
                <c:pt idx="9">
                  <c:v>-0.88597762779707434</c:v>
                </c:pt>
                <c:pt idx="10">
                  <c:v>-0.83483204590883986</c:v>
                </c:pt>
                <c:pt idx="11">
                  <c:v>-0.74041502506707602</c:v>
                </c:pt>
                <c:pt idx="12">
                  <c:v>-0.61176856001843305</c:v>
                </c:pt>
                <c:pt idx="13">
                  <c:v>-0.45516422965146131</c:v>
                </c:pt>
                <c:pt idx="14">
                  <c:v>-0.27516374369929153</c:v>
                </c:pt>
                <c:pt idx="15">
                  <c:v>-7.5208282242789082E-2</c:v>
                </c:pt>
                <c:pt idx="16">
                  <c:v>0.14203019612679668</c:v>
                </c:pt>
                <c:pt idx="17">
                  <c:v>0.37442776058531635</c:v>
                </c:pt>
                <c:pt idx="18">
                  <c:v>0.62026293596004756</c:v>
                </c:pt>
                <c:pt idx="19">
                  <c:v>0.87811738284659935</c:v>
                </c:pt>
                <c:pt idx="20">
                  <c:v>1.1468060450869899</c:v>
                </c:pt>
                <c:pt idx="21">
                  <c:v>1.4253267010503778</c:v>
                </c:pt>
                <c:pt idx="22">
                  <c:v>1.7128227597011936</c:v>
                </c:pt>
                <c:pt idx="23">
                  <c:v>1.5671770499802617</c:v>
                </c:pt>
                <c:pt idx="24">
                  <c:v>1.3033093372736282</c:v>
                </c:pt>
                <c:pt idx="25">
                  <c:v>0.83677318103321241</c:v>
                </c:pt>
                <c:pt idx="26">
                  <c:v>0.44288818032018895</c:v>
                </c:pt>
                <c:pt idx="27">
                  <c:v>0.11281245738077317</c:v>
                </c:pt>
                <c:pt idx="28">
                  <c:v>-0.16063908285568473</c:v>
                </c:pt>
                <c:pt idx="29">
                  <c:v>-0.38339870651271646</c:v>
                </c:pt>
                <c:pt idx="30">
                  <c:v>-0.56043148361695216</c:v>
                </c:pt>
                <c:pt idx="31">
                  <c:v>-0.69594240667134599</c:v>
                </c:pt>
                <c:pt idx="32">
                  <c:v>-0.79352973872408583</c:v>
                </c:pt>
                <c:pt idx="33">
                  <c:v>-0.85630084944381402</c:v>
                </c:pt>
                <c:pt idx="34">
                  <c:v>-0.88696102945728938</c:v>
                </c:pt>
                <c:pt idx="35">
                  <c:v>-0.86116018909372372</c:v>
                </c:pt>
                <c:pt idx="36">
                  <c:v>-0.73202128314591164</c:v>
                </c:pt>
                <c:pt idx="37">
                  <c:v>-0.51219513528968363</c:v>
                </c:pt>
                <c:pt idx="38">
                  <c:v>-0.21194596497089435</c:v>
                </c:pt>
                <c:pt idx="39">
                  <c:v>0.16026233569821358</c:v>
                </c:pt>
                <c:pt idx="40">
                  <c:v>0.59735308620076921</c:v>
                </c:pt>
                <c:pt idx="41">
                  <c:v>1.0933382845114359</c:v>
                </c:pt>
                <c:pt idx="42">
                  <c:v>1.6430974385755803</c:v>
                </c:pt>
                <c:pt idx="43">
                  <c:v>1.3594553494144179</c:v>
                </c:pt>
                <c:pt idx="44">
                  <c:v>0.86969149029592074</c:v>
                </c:pt>
                <c:pt idx="45">
                  <c:v>0.44977862946744551</c:v>
                </c:pt>
                <c:pt idx="46">
                  <c:v>9.4815887441868085E-2</c:v>
                </c:pt>
                <c:pt idx="47">
                  <c:v>-0.19955091832892791</c:v>
                </c:pt>
                <c:pt idx="48">
                  <c:v>-0.43721058234069687</c:v>
                </c:pt>
                <c:pt idx="49">
                  <c:v>-0.62165407541669992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4-71C8-4548-B84E-114FCB813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6.4111543193924039</c:v>
                      </c:pt>
                      <c:pt idx="2">
                        <c:v>7.7439234021276286</c:v>
                      </c:pt>
                      <c:pt idx="3">
                        <c:v>7.8760813936667278</c:v>
                      </c:pt>
                      <c:pt idx="4">
                        <c:v>7.9227284913859286</c:v>
                      </c:pt>
                      <c:pt idx="5">
                        <c:v>7.9325628174417844</c:v>
                      </c:pt>
                      <c:pt idx="6">
                        <c:v>7.9360523685376529</c:v>
                      </c:pt>
                      <c:pt idx="7">
                        <c:v>7.9350348409941054</c:v>
                      </c:pt>
                      <c:pt idx="8">
                        <c:v>7.9332578409381078</c:v>
                      </c:pt>
                      <c:pt idx="9">
                        <c:v>7.9315462232868263</c:v>
                      </c:pt>
                      <c:pt idx="10">
                        <c:v>7.9300239492371754</c:v>
                      </c:pt>
                      <c:pt idx="11">
                        <c:v>7.928689345264833</c:v>
                      </c:pt>
                      <c:pt idx="12">
                        <c:v>7.9275172450645419</c:v>
                      </c:pt>
                      <c:pt idx="13">
                        <c:v>7.926481354396234</c:v>
                      </c:pt>
                      <c:pt idx="14">
                        <c:v>7.9255590572392469</c:v>
                      </c:pt>
                      <c:pt idx="15">
                        <c:v>7.9247318869271508</c:v>
                      </c:pt>
                      <c:pt idx="16">
                        <c:v>7.9239849682773604</c:v>
                      </c:pt>
                      <c:pt idx="17">
                        <c:v>7.9233063168472642</c:v>
                      </c:pt>
                      <c:pt idx="18">
                        <c:v>7.922686222447421</c:v>
                      </c:pt>
                      <c:pt idx="19">
                        <c:v>7.9221167559101922</c:v>
                      </c:pt>
                      <c:pt idx="20">
                        <c:v>7.9215913871517323</c:v>
                      </c:pt>
                      <c:pt idx="21">
                        <c:v>7.9211046923796253</c:v>
                      </c:pt>
                      <c:pt idx="22">
                        <c:v>7.9206521294651138</c:v>
                      </c:pt>
                      <c:pt idx="23">
                        <c:v>7.9211590821592281</c:v>
                      </c:pt>
                      <c:pt idx="24">
                        <c:v>7.9218517835899025</c:v>
                      </c:pt>
                      <c:pt idx="25">
                        <c:v>7.922936996480753</c:v>
                      </c:pt>
                      <c:pt idx="26">
                        <c:v>7.9237202552972494</c:v>
                      </c:pt>
                      <c:pt idx="27">
                        <c:v>7.9242848446377101</c:v>
                      </c:pt>
                      <c:pt idx="28">
                        <c:v>7.9246878866685293</c:v>
                      </c:pt>
                      <c:pt idx="29">
                        <c:v>7.9249696005398</c:v>
                      </c:pt>
                      <c:pt idx="30">
                        <c:v>7.9251589416189709</c:v>
                      </c:pt>
                      <c:pt idx="31">
                        <c:v>7.9252771580370043</c:v>
                      </c:pt>
                      <c:pt idx="32">
                        <c:v>7.9253401019741432</c:v>
                      </c:pt>
                      <c:pt idx="33">
                        <c:v>7.9253597715796538</c:v>
                      </c:pt>
                      <c:pt idx="34">
                        <c:v>7.925345363293907</c:v>
                      </c:pt>
                      <c:pt idx="35">
                        <c:v>7.9252412751636259</c:v>
                      </c:pt>
                      <c:pt idx="36">
                        <c:v>7.9250684200004047</c:v>
                      </c:pt>
                      <c:pt idx="37">
                        <c:v>7.9248523985223649</c:v>
                      </c:pt>
                      <c:pt idx="38">
                        <c:v>7.924609792239429</c:v>
                      </c:pt>
                      <c:pt idx="39">
                        <c:v>7.9243515607073176</c:v>
                      </c:pt>
                      <c:pt idx="40">
                        <c:v>7.9240850565855743</c:v>
                      </c:pt>
                      <c:pt idx="41">
                        <c:v>7.9238152620970901</c:v>
                      </c:pt>
                      <c:pt idx="42">
                        <c:v>7.92354557035413</c:v>
                      </c:pt>
                      <c:pt idx="43">
                        <c:v>7.9237428994489685</c:v>
                      </c:pt>
                      <c:pt idx="44">
                        <c:v>7.9240235565193018</c:v>
                      </c:pt>
                      <c:pt idx="45">
                        <c:v>7.9242442219647033</c:v>
                      </c:pt>
                      <c:pt idx="46">
                        <c:v>7.9244153041337944</c:v>
                      </c:pt>
                      <c:pt idx="47">
                        <c:v>7.9245451635332884</c:v>
                      </c:pt>
                      <c:pt idx="48">
                        <c:v>7.924640573340425</c:v>
                      </c:pt>
                      <c:pt idx="49">
                        <c:v>7.9247070638946164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1C8-4548-B84E-114FCB813E9A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3.90625E-3</c:v>
                      </c:pt>
                      <c:pt idx="6">
                        <c:v>3.90625E-3</c:v>
                      </c:pt>
                      <c:pt idx="7">
                        <c:v>3.125E-2</c:v>
                      </c:pt>
                      <c:pt idx="8">
                        <c:v>3.90625E-2</c:v>
                      </c:pt>
                      <c:pt idx="9">
                        <c:v>5.859375E-2</c:v>
                      </c:pt>
                      <c:pt idx="10">
                        <c:v>7.8125E-2</c:v>
                      </c:pt>
                      <c:pt idx="11">
                        <c:v>0.1015625</c:v>
                      </c:pt>
                      <c:pt idx="12">
                        <c:v>0.125</c:v>
                      </c:pt>
                      <c:pt idx="13">
                        <c:v>0.1484375</c:v>
                      </c:pt>
                      <c:pt idx="14">
                        <c:v>0.16015625</c:v>
                      </c:pt>
                      <c:pt idx="15">
                        <c:v>0.1875</c:v>
                      </c:pt>
                      <c:pt idx="16">
                        <c:v>0.21875</c:v>
                      </c:pt>
                      <c:pt idx="17">
                        <c:v>0.234375</c:v>
                      </c:pt>
                      <c:pt idx="18">
                        <c:v>0.26171875</c:v>
                      </c:pt>
                      <c:pt idx="19">
                        <c:v>0.2890625</c:v>
                      </c:pt>
                      <c:pt idx="20">
                        <c:v>0.3125</c:v>
                      </c:pt>
                      <c:pt idx="21">
                        <c:v>0.359375</c:v>
                      </c:pt>
                      <c:pt idx="22">
                        <c:v>0.3828125</c:v>
                      </c:pt>
                      <c:pt idx="23">
                        <c:v>0.41015625</c:v>
                      </c:pt>
                      <c:pt idx="24">
                        <c:v>0.453125</c:v>
                      </c:pt>
                      <c:pt idx="25">
                        <c:v>0.52734375</c:v>
                      </c:pt>
                      <c:pt idx="26">
                        <c:v>0.60546875</c:v>
                      </c:pt>
                      <c:pt idx="27">
                        <c:v>0.66796875</c:v>
                      </c:pt>
                      <c:pt idx="28">
                        <c:v>0.734375</c:v>
                      </c:pt>
                      <c:pt idx="29">
                        <c:v>0.81640625</c:v>
                      </c:pt>
                      <c:pt idx="30">
                        <c:v>0.91796875</c:v>
                      </c:pt>
                      <c:pt idx="31">
                        <c:v>1.01953125</c:v>
                      </c:pt>
                      <c:pt idx="32">
                        <c:v>1.16015625</c:v>
                      </c:pt>
                      <c:pt idx="33">
                        <c:v>1.1796875</c:v>
                      </c:pt>
                      <c:pt idx="34">
                        <c:v>1.28125</c:v>
                      </c:pt>
                      <c:pt idx="35">
                        <c:v>1.625</c:v>
                      </c:pt>
                      <c:pt idx="36">
                        <c:v>1.73046875</c:v>
                      </c:pt>
                      <c:pt idx="37">
                        <c:v>1.93359375</c:v>
                      </c:pt>
                      <c:pt idx="38">
                        <c:v>2.40625</c:v>
                      </c:pt>
                      <c:pt idx="39">
                        <c:v>2.47265625</c:v>
                      </c:pt>
                      <c:pt idx="40">
                        <c:v>2.5859375</c:v>
                      </c:pt>
                      <c:pt idx="41">
                        <c:v>3.0078125</c:v>
                      </c:pt>
                      <c:pt idx="42">
                        <c:v>3.69921875</c:v>
                      </c:pt>
                      <c:pt idx="43">
                        <c:v>4.078125</c:v>
                      </c:pt>
                      <c:pt idx="44">
                        <c:v>4.60546875</c:v>
                      </c:pt>
                      <c:pt idx="45">
                        <c:v>4.35546875</c:v>
                      </c:pt>
                      <c:pt idx="46">
                        <c:v>4.7578125</c:v>
                      </c:pt>
                      <c:pt idx="47">
                        <c:v>4.37890625</c:v>
                      </c:pt>
                      <c:pt idx="48">
                        <c:v>4.6953125</c:v>
                      </c:pt>
                      <c:pt idx="49">
                        <c:v>4.9921875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1C8-4548-B84E-114FCB813E9A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7.9244584022644498</c:v>
                      </c:pt>
                      <c:pt idx="2">
                        <c:v>7.9244584022644498</c:v>
                      </c:pt>
                      <c:pt idx="3">
                        <c:v>7.9244584022644498</c:v>
                      </c:pt>
                      <c:pt idx="4">
                        <c:v>7.9244584022644498</c:v>
                      </c:pt>
                      <c:pt idx="5">
                        <c:v>7.9244584022644498</c:v>
                      </c:pt>
                      <c:pt idx="6">
                        <c:v>7.9244584022644498</c:v>
                      </c:pt>
                      <c:pt idx="7">
                        <c:v>7.9244584022644498</c:v>
                      </c:pt>
                      <c:pt idx="8">
                        <c:v>7.9244584022644498</c:v>
                      </c:pt>
                      <c:pt idx="9">
                        <c:v>7.9244584022644498</c:v>
                      </c:pt>
                      <c:pt idx="10">
                        <c:v>7.9244584022644498</c:v>
                      </c:pt>
                      <c:pt idx="11">
                        <c:v>7.9244584022644498</c:v>
                      </c:pt>
                      <c:pt idx="12">
                        <c:v>7.9244584022644498</c:v>
                      </c:pt>
                      <c:pt idx="13">
                        <c:v>7.9244584022644498</c:v>
                      </c:pt>
                      <c:pt idx="14">
                        <c:v>7.9244584022644498</c:v>
                      </c:pt>
                      <c:pt idx="15">
                        <c:v>7.9244584022644498</c:v>
                      </c:pt>
                      <c:pt idx="16">
                        <c:v>7.9244584022644498</c:v>
                      </c:pt>
                      <c:pt idx="17">
                        <c:v>7.9244584022644498</c:v>
                      </c:pt>
                      <c:pt idx="18">
                        <c:v>7.9244584022644498</c:v>
                      </c:pt>
                      <c:pt idx="19">
                        <c:v>7.9244584022644498</c:v>
                      </c:pt>
                      <c:pt idx="20">
                        <c:v>7.9244584022644498</c:v>
                      </c:pt>
                      <c:pt idx="21">
                        <c:v>7.9244584022644498</c:v>
                      </c:pt>
                      <c:pt idx="22">
                        <c:v>7.9244584022644498</c:v>
                      </c:pt>
                      <c:pt idx="23">
                        <c:v>7.9244584022644498</c:v>
                      </c:pt>
                      <c:pt idx="24">
                        <c:v>7.9244584022644498</c:v>
                      </c:pt>
                      <c:pt idx="25">
                        <c:v>7.9244584022644498</c:v>
                      </c:pt>
                      <c:pt idx="26">
                        <c:v>7.9244584022644498</c:v>
                      </c:pt>
                      <c:pt idx="27">
                        <c:v>7.9244584022644498</c:v>
                      </c:pt>
                      <c:pt idx="28">
                        <c:v>7.9244584022644498</c:v>
                      </c:pt>
                      <c:pt idx="29">
                        <c:v>7.9244584022644498</c:v>
                      </c:pt>
                      <c:pt idx="30">
                        <c:v>7.9244584022644498</c:v>
                      </c:pt>
                      <c:pt idx="31">
                        <c:v>7.9244584022644498</c:v>
                      </c:pt>
                      <c:pt idx="32">
                        <c:v>7.9244584022644498</c:v>
                      </c:pt>
                      <c:pt idx="33">
                        <c:v>7.9244584022644498</c:v>
                      </c:pt>
                      <c:pt idx="34">
                        <c:v>7.9244584022644498</c:v>
                      </c:pt>
                      <c:pt idx="35">
                        <c:v>7.9244584022644498</c:v>
                      </c:pt>
                      <c:pt idx="36">
                        <c:v>7.9244584022644498</c:v>
                      </c:pt>
                      <c:pt idx="37">
                        <c:v>7.9244584022644498</c:v>
                      </c:pt>
                      <c:pt idx="38">
                        <c:v>7.9244584022644498</c:v>
                      </c:pt>
                      <c:pt idx="39">
                        <c:v>7.9244584022644498</c:v>
                      </c:pt>
                      <c:pt idx="40">
                        <c:v>7.9244584022644498</c:v>
                      </c:pt>
                      <c:pt idx="41">
                        <c:v>7.9244584022644498</c:v>
                      </c:pt>
                      <c:pt idx="42">
                        <c:v>7.9244584022644498</c:v>
                      </c:pt>
                      <c:pt idx="43">
                        <c:v>7.9244584022644498</c:v>
                      </c:pt>
                      <c:pt idx="44">
                        <c:v>7.9244584022644498</c:v>
                      </c:pt>
                      <c:pt idx="45">
                        <c:v>7.9244584022644498</c:v>
                      </c:pt>
                      <c:pt idx="46">
                        <c:v>7.9244584022644498</c:v>
                      </c:pt>
                      <c:pt idx="47">
                        <c:v>7.9244584022644498</c:v>
                      </c:pt>
                      <c:pt idx="48">
                        <c:v>7.9244584022644498</c:v>
                      </c:pt>
                      <c:pt idx="49">
                        <c:v>7.9244584022644498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1C8-4548-B84E-114FCB813E9A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1.5133040828720459</c:v>
                      </c:pt>
                      <c:pt idx="2">
                        <c:v>0.18053500013682111</c:v>
                      </c:pt>
                      <c:pt idx="3">
                        <c:v>4.8377008597721982E-2</c:v>
                      </c:pt>
                      <c:pt idx="4">
                        <c:v>1.7299108785211459E-3</c:v>
                      </c:pt>
                      <c:pt idx="5">
                        <c:v>-8.1044151773346229E-3</c:v>
                      </c:pt>
                      <c:pt idx="6">
                        <c:v>-1.1593966273203193E-2</c:v>
                      </c:pt>
                      <c:pt idx="7">
                        <c:v>-1.0576438729655635E-2</c:v>
                      </c:pt>
                      <c:pt idx="8">
                        <c:v>-8.7994386736580665E-3</c:v>
                      </c:pt>
                      <c:pt idx="9">
                        <c:v>-7.0878210223765947E-3</c:v>
                      </c:pt>
                      <c:pt idx="10">
                        <c:v>-5.5655469727255991E-3</c:v>
                      </c:pt>
                      <c:pt idx="11">
                        <c:v>-4.2309430003832915E-3</c:v>
                      </c:pt>
                      <c:pt idx="12">
                        <c:v>-3.0588428000921652E-3</c:v>
                      </c:pt>
                      <c:pt idx="13">
                        <c:v>-2.0229521317842725E-3</c:v>
                      </c:pt>
                      <c:pt idx="14">
                        <c:v>-1.1006549747971661E-3</c:v>
                      </c:pt>
                      <c:pt idx="15">
                        <c:v>-2.7348466270105121E-4</c:v>
                      </c:pt>
                      <c:pt idx="16">
                        <c:v>4.7343398708932227E-4</c:v>
                      </c:pt>
                      <c:pt idx="17">
                        <c:v>1.1520854171855888E-3</c:v>
                      </c:pt>
                      <c:pt idx="18">
                        <c:v>1.7721798170287073E-3</c:v>
                      </c:pt>
                      <c:pt idx="19">
                        <c:v>2.3416463542575983E-3</c:v>
                      </c:pt>
                      <c:pt idx="20">
                        <c:v>2.8670151127174748E-3</c:v>
                      </c:pt>
                      <c:pt idx="21">
                        <c:v>3.3537098848244185E-3</c:v>
                      </c:pt>
                      <c:pt idx="22">
                        <c:v>3.8062727993359857E-3</c:v>
                      </c:pt>
                      <c:pt idx="23">
                        <c:v>3.2993201052216037E-3</c:v>
                      </c:pt>
                      <c:pt idx="24">
                        <c:v>2.6066186745472564E-3</c:v>
                      </c:pt>
                      <c:pt idx="25">
                        <c:v>1.5214057836967498E-3</c:v>
                      </c:pt>
                      <c:pt idx="26">
                        <c:v>7.3814696720031492E-4</c:v>
                      </c:pt>
                      <c:pt idx="27">
                        <c:v>1.7355762673965103E-4</c:v>
                      </c:pt>
                      <c:pt idx="28">
                        <c:v>-2.2948440407954962E-4</c:v>
                      </c:pt>
                      <c:pt idx="29">
                        <c:v>-5.1119827535028861E-4</c:v>
                      </c:pt>
                      <c:pt idx="30">
                        <c:v>-7.0053935452119021E-4</c:v>
                      </c:pt>
                      <c:pt idx="31">
                        <c:v>-8.187557725545247E-4</c:v>
                      </c:pt>
                      <c:pt idx="32">
                        <c:v>-8.816997096934287E-4</c:v>
                      </c:pt>
                      <c:pt idx="33">
                        <c:v>-9.0136931520401475E-4</c:v>
                      </c:pt>
                      <c:pt idx="34">
                        <c:v>-8.8696102945728938E-4</c:v>
                      </c:pt>
                      <c:pt idx="35">
                        <c:v>-7.8287289917611247E-4</c:v>
                      </c:pt>
                      <c:pt idx="36">
                        <c:v>-6.1001773595492637E-4</c:v>
                      </c:pt>
                      <c:pt idx="37">
                        <c:v>-3.9399625791514126E-4</c:v>
                      </c:pt>
                      <c:pt idx="38">
                        <c:v>-1.5138997497921025E-4</c:v>
                      </c:pt>
                      <c:pt idx="39">
                        <c:v>1.0684155713214238E-4</c:v>
                      </c:pt>
                      <c:pt idx="40">
                        <c:v>3.7334567887548076E-4</c:v>
                      </c:pt>
                      <c:pt idx="41">
                        <c:v>6.4314016735966817E-4</c:v>
                      </c:pt>
                      <c:pt idx="42">
                        <c:v>9.1283191031976685E-4</c:v>
                      </c:pt>
                      <c:pt idx="43">
                        <c:v>7.1550281548127259E-4</c:v>
                      </c:pt>
                      <c:pt idx="44">
                        <c:v>4.3484574514796037E-4</c:v>
                      </c:pt>
                      <c:pt idx="45">
                        <c:v>2.1418029974640262E-4</c:v>
                      </c:pt>
                      <c:pt idx="46">
                        <c:v>4.3098130655394584E-5</c:v>
                      </c:pt>
                      <c:pt idx="47">
                        <c:v>-8.6761268838664307E-5</c:v>
                      </c:pt>
                      <c:pt idx="48">
                        <c:v>-1.8217107597529036E-4</c:v>
                      </c:pt>
                      <c:pt idx="49">
                        <c:v>-2.4866163016667997E-4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1C8-4548-B84E-114FCB813E9A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</a:t>
                </a:r>
                <a:r>
                  <a:rPr lang="en-GB" baseline="0"/>
                  <a:t> * Step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Tree</a:t>
            </a:r>
            <a:r>
              <a:rPr lang="de-DE" baseline="0"/>
              <a:t> and B&amp;S Price vs Strike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1"/>
          <c:tx>
            <c:strRef>
              <c:f>'Gap Study'!$D$6</c:f>
              <c:strCache>
                <c:ptCount val="1"/>
                <c:pt idx="0">
                  <c:v>Slope Tree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Study'!$D$7:$D$37</c:f>
              <c:numCache>
                <c:formatCode>General</c:formatCode>
                <c:ptCount val="31"/>
                <c:pt idx="1">
                  <c:v>-0.81217377878693853</c:v>
                </c:pt>
                <c:pt idx="2">
                  <c:v>-0.75996630777790841</c:v>
                </c:pt>
                <c:pt idx="3">
                  <c:v>-0.75996630777790486</c:v>
                </c:pt>
                <c:pt idx="4">
                  <c:v>-0.75996630777790486</c:v>
                </c:pt>
                <c:pt idx="5">
                  <c:v>-0.73752304735052476</c:v>
                </c:pt>
                <c:pt idx="6">
                  <c:v>-0.68249194843366467</c:v>
                </c:pt>
                <c:pt idx="7">
                  <c:v>-0.68249194843366467</c:v>
                </c:pt>
                <c:pt idx="8">
                  <c:v>-0.68249194843366112</c:v>
                </c:pt>
                <c:pt idx="9">
                  <c:v>-0.66352076854069253</c:v>
                </c:pt>
                <c:pt idx="10">
                  <c:v>-0.5944533492634001</c:v>
                </c:pt>
                <c:pt idx="11">
                  <c:v>-0.59445334926339477</c:v>
                </c:pt>
                <c:pt idx="12">
                  <c:v>-0.59445334926339655</c:v>
                </c:pt>
                <c:pt idx="13">
                  <c:v>-0.59445334926339477</c:v>
                </c:pt>
                <c:pt idx="14">
                  <c:v>-0.50435820749658866</c:v>
                </c:pt>
                <c:pt idx="15">
                  <c:v>-0.50023698033851005</c:v>
                </c:pt>
                <c:pt idx="16">
                  <c:v>-0.50023698033850916</c:v>
                </c:pt>
                <c:pt idx="17">
                  <c:v>-0.50023698033850383</c:v>
                </c:pt>
                <c:pt idx="18">
                  <c:v>-0.45241840101331743</c:v>
                </c:pt>
                <c:pt idx="19">
                  <c:v>-0.40528263217243143</c:v>
                </c:pt>
                <c:pt idx="20">
                  <c:v>-0.40528263217243055</c:v>
                </c:pt>
                <c:pt idx="21">
                  <c:v>-0.40528263217243232</c:v>
                </c:pt>
                <c:pt idx="22">
                  <c:v>-0.40528263217243143</c:v>
                </c:pt>
                <c:pt idx="23">
                  <c:v>-0.32879352832085829</c:v>
                </c:pt>
                <c:pt idx="24">
                  <c:v>-0.31515922322067702</c:v>
                </c:pt>
                <c:pt idx="25">
                  <c:v>-0.31515922322067613</c:v>
                </c:pt>
                <c:pt idx="26">
                  <c:v>-0.31515922322067702</c:v>
                </c:pt>
                <c:pt idx="27">
                  <c:v>-0.3151592232206788</c:v>
                </c:pt>
                <c:pt idx="28">
                  <c:v>-0.23601874894636765</c:v>
                </c:pt>
                <c:pt idx="29">
                  <c:v>-0.23460364490799845</c:v>
                </c:pt>
                <c:pt idx="30">
                  <c:v>-0.23460364490800067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C-432D-872E-94DC5A714754}"/>
            </c:ext>
          </c:extLst>
        </c:ser>
        <c:ser>
          <c:idx val="1"/>
          <c:order val="2"/>
          <c:tx>
            <c:strRef>
              <c:f>'Gap Study'!$E$6</c:f>
              <c:strCache>
                <c:ptCount val="1"/>
                <c:pt idx="0">
                  <c:v>Slope B&amp;S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Study'!$E$7:$E$37</c:f>
              <c:numCache>
                <c:formatCode>General</c:formatCode>
                <c:ptCount val="31"/>
                <c:pt idx="1">
                  <c:v>-0.79843754187876215</c:v>
                </c:pt>
                <c:pt idx="2">
                  <c:v>-0.78145132978535514</c:v>
                </c:pt>
                <c:pt idx="3">
                  <c:v>-0.76373095885514886</c:v>
                </c:pt>
                <c:pt idx="4">
                  <c:v>-0.74532725451436477</c:v>
                </c:pt>
                <c:pt idx="5">
                  <c:v>-0.72629644857518016</c:v>
                </c:pt>
                <c:pt idx="6">
                  <c:v>-0.70669945818346314</c:v>
                </c:pt>
                <c:pt idx="7">
                  <c:v>-0.68660111793376544</c:v>
                </c:pt>
                <c:pt idx="8">
                  <c:v>-0.66606938197628196</c:v>
                </c:pt>
                <c:pt idx="9">
                  <c:v>-0.64517451246659796</c:v>
                </c:pt>
                <c:pt idx="10">
                  <c:v>-0.62398826984968636</c:v>
                </c:pt>
                <c:pt idx="11">
                  <c:v>-0.60258311928812525</c:v>
                </c:pt>
                <c:pt idx="12">
                  <c:v>-0.58103146610741518</c:v>
                </c:pt>
                <c:pt idx="13">
                  <c:v>-0.55940493151200066</c:v>
                </c:pt>
                <c:pt idx="14">
                  <c:v>-0.53777367808160825</c:v>
                </c:pt>
                <c:pt idx="15">
                  <c:v>-0.51620579275820866</c:v>
                </c:pt>
                <c:pt idx="16">
                  <c:v>-0.49476673322951026</c:v>
                </c:pt>
                <c:pt idx="17">
                  <c:v>-0.4735188418573637</c:v>
                </c:pt>
                <c:pt idx="18">
                  <c:v>-0.45252092962658352</c:v>
                </c:pt>
                <c:pt idx="19">
                  <c:v>-0.43182793103877426</c:v>
                </c:pt>
                <c:pt idx="20">
                  <c:v>-0.41149062946784909</c:v>
                </c:pt>
                <c:pt idx="21">
                  <c:v>-0.39155545124994084</c:v>
                </c:pt>
                <c:pt idx="22">
                  <c:v>-0.37206432570978532</c:v>
                </c:pt>
                <c:pt idx="23">
                  <c:v>-0.35305460743256223</c:v>
                </c:pt>
                <c:pt idx="24">
                  <c:v>-0.33455905637563088</c:v>
                </c:pt>
                <c:pt idx="25">
                  <c:v>-0.3166058708698154</c:v>
                </c:pt>
                <c:pt idx="26">
                  <c:v>-0.29921876817940163</c:v>
                </c:pt>
                <c:pt idx="27">
                  <c:v>-0.28241710705785827</c:v>
                </c:pt>
                <c:pt idx="28">
                  <c:v>-0.26621604664090937</c:v>
                </c:pt>
                <c:pt idx="29">
                  <c:v>-0.25062673604285202</c:v>
                </c:pt>
                <c:pt idx="30">
                  <c:v>-0.23565652914935953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EC-432D-872E-94DC5A714754}"/>
            </c:ext>
          </c:extLst>
        </c:ser>
        <c:ser>
          <c:idx val="2"/>
          <c:order val="3"/>
          <c:tx>
            <c:strRef>
              <c:f>'Gap Study'!$F$6</c:f>
              <c:strCache>
                <c:ptCount val="1"/>
                <c:pt idx="0">
                  <c:v>Tree - B&amp;S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'Gap Study'!$F$7:$F$37</c:f>
              <c:numCache>
                <c:formatCode>General</c:formatCode>
                <c:ptCount val="31"/>
                <c:pt idx="0">
                  <c:v>-7.1010018259087815E-4</c:v>
                </c:pt>
                <c:pt idx="1">
                  <c:v>-1.4446337090767258E-2</c:v>
                </c:pt>
                <c:pt idx="2">
                  <c:v>7.0386849166794718E-3</c:v>
                </c:pt>
                <c:pt idx="3">
                  <c:v>1.0803335993923469E-2</c:v>
                </c:pt>
                <c:pt idx="4">
                  <c:v>-3.8357172696166231E-3</c:v>
                </c:pt>
                <c:pt idx="5">
                  <c:v>-1.5062316044961221E-2</c:v>
                </c:pt>
                <c:pt idx="6">
                  <c:v>9.14519370483724E-3</c:v>
                </c:pt>
                <c:pt idx="7">
                  <c:v>1.3254363204938002E-2</c:v>
                </c:pt>
                <c:pt idx="8">
                  <c:v>-3.1682032524411596E-3</c:v>
                </c:pt>
                <c:pt idx="9">
                  <c:v>-2.1514459326535729E-2</c:v>
                </c:pt>
                <c:pt idx="10">
                  <c:v>8.0204612597505331E-3</c:v>
                </c:pt>
                <c:pt idx="11">
                  <c:v>1.6150231284481009E-2</c:v>
                </c:pt>
                <c:pt idx="12">
                  <c:v>2.7283481284996469E-3</c:v>
                </c:pt>
                <c:pt idx="13">
                  <c:v>-3.2320069622894465E-2</c:v>
                </c:pt>
                <c:pt idx="14">
                  <c:v>1.0954009621251259E-3</c:v>
                </c:pt>
                <c:pt idx="15">
                  <c:v>1.7064213381823734E-2</c:v>
                </c:pt>
                <c:pt idx="16">
                  <c:v>1.1593966272824829E-2</c:v>
                </c:pt>
                <c:pt idx="17">
                  <c:v>-1.5124172208315301E-2</c:v>
                </c:pt>
                <c:pt idx="18">
                  <c:v>-1.5021643595049206E-2</c:v>
                </c:pt>
                <c:pt idx="19">
                  <c:v>1.152365527129362E-2</c:v>
                </c:pt>
                <c:pt idx="20">
                  <c:v>1.7731652566712164E-2</c:v>
                </c:pt>
                <c:pt idx="21">
                  <c:v>4.0044716442206862E-3</c:v>
                </c:pt>
                <c:pt idx="22">
                  <c:v>-2.9213834818425433E-2</c:v>
                </c:pt>
                <c:pt idx="23">
                  <c:v>-4.95275570672149E-3</c:v>
                </c:pt>
                <c:pt idx="24">
                  <c:v>1.4447077448232371E-2</c:v>
                </c:pt>
                <c:pt idx="25">
                  <c:v>1.5893725097371636E-2</c:v>
                </c:pt>
                <c:pt idx="26">
                  <c:v>-4.6729943903756066E-5</c:v>
                </c:pt>
                <c:pt idx="27">
                  <c:v>-3.2788846106724279E-2</c:v>
                </c:pt>
                <c:pt idx="28">
                  <c:v>-2.5915484121825649E-3</c:v>
                </c:pt>
                <c:pt idx="29">
                  <c:v>1.3431542722670997E-2</c:v>
                </c:pt>
                <c:pt idx="30">
                  <c:v>1.4484426964029851E-2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3692831"/>
        <c:axId val="1753691871"/>
      </c:lineChart>
      <c:lineChart>
        <c:grouping val="standard"/>
        <c:varyColors val="0"/>
        <c:ser>
          <c:idx val="3"/>
          <c:order val="0"/>
          <c:tx>
            <c:strRef>
              <c:f>'Gap Study'!$B$6</c:f>
              <c:strCache>
                <c:ptCount val="1"/>
                <c:pt idx="0">
                  <c:v>Tree Price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'Gap Study'!$B$7:$B$37</c:f>
              <c:numCache>
                <c:formatCode>0.000000</c:formatCode>
                <c:ptCount val="31"/>
                <c:pt idx="0">
                  <c:v>18.359290297077333</c:v>
                </c:pt>
                <c:pt idx="1">
                  <c:v>17.547116518290395</c:v>
                </c:pt>
                <c:pt idx="2">
                  <c:v>16.787150210512486</c:v>
                </c:pt>
                <c:pt idx="3">
                  <c:v>16.027183902734581</c:v>
                </c:pt>
                <c:pt idx="4">
                  <c:v>15.267217594956676</c:v>
                </c:pt>
                <c:pt idx="5">
                  <c:v>14.529694547606152</c:v>
                </c:pt>
                <c:pt idx="6">
                  <c:v>13.847202599172487</c:v>
                </c:pt>
                <c:pt idx="7">
                  <c:v>13.164710650738822</c:v>
                </c:pt>
                <c:pt idx="8">
                  <c:v>12.482218702305161</c:v>
                </c:pt>
                <c:pt idx="9">
                  <c:v>11.818697933764469</c:v>
                </c:pt>
                <c:pt idx="10">
                  <c:v>11.224244584501069</c:v>
                </c:pt>
                <c:pt idx="11">
                  <c:v>10.629791235237674</c:v>
                </c:pt>
                <c:pt idx="12">
                  <c:v>10.035337885974277</c:v>
                </c:pt>
                <c:pt idx="13">
                  <c:v>9.4408845367108825</c:v>
                </c:pt>
                <c:pt idx="14">
                  <c:v>8.9365263292142938</c:v>
                </c:pt>
                <c:pt idx="15">
                  <c:v>8.4362893488757837</c:v>
                </c:pt>
                <c:pt idx="16">
                  <c:v>7.9360523685372746</c:v>
                </c:pt>
                <c:pt idx="17">
                  <c:v>7.4358153881987707</c:v>
                </c:pt>
                <c:pt idx="18">
                  <c:v>6.9833969871854533</c:v>
                </c:pt>
                <c:pt idx="19">
                  <c:v>6.5781143550130219</c:v>
                </c:pt>
                <c:pt idx="20">
                  <c:v>6.1728317228405913</c:v>
                </c:pt>
                <c:pt idx="21">
                  <c:v>5.767549090668159</c:v>
                </c:pt>
                <c:pt idx="22">
                  <c:v>5.3622664584957276</c:v>
                </c:pt>
                <c:pt idx="23">
                  <c:v>5.0334729301748693</c:v>
                </c:pt>
                <c:pt idx="24">
                  <c:v>4.7183137069541923</c:v>
                </c:pt>
                <c:pt idx="25">
                  <c:v>4.4031544837335161</c:v>
                </c:pt>
                <c:pt idx="26">
                  <c:v>4.0879952605128391</c:v>
                </c:pt>
                <c:pt idx="27">
                  <c:v>3.7728360372921603</c:v>
                </c:pt>
                <c:pt idx="28">
                  <c:v>3.5368172883457927</c:v>
                </c:pt>
                <c:pt idx="29">
                  <c:v>3.3022136434377942</c:v>
                </c:pt>
                <c:pt idx="30">
                  <c:v>3.0676099985297935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EC-4B83-BBB2-07FB8E708777}"/>
            </c:ext>
          </c:extLst>
        </c:ser>
        <c:ser>
          <c:idx val="4"/>
          <c:order val="4"/>
          <c:tx>
            <c:strRef>
              <c:f>'Gap Study'!$C$6</c:f>
              <c:strCache>
                <c:ptCount val="1"/>
                <c:pt idx="0">
                  <c:v>B&amp;S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'Gap Study'!$C$7:$C$37</c:f>
              <c:numCache>
                <c:formatCode>General</c:formatCode>
                <c:ptCount val="31"/>
                <c:pt idx="0">
                  <c:v>18.360000397259924</c:v>
                </c:pt>
                <c:pt idx="1">
                  <c:v>17.561562855381162</c:v>
                </c:pt>
                <c:pt idx="2">
                  <c:v>16.780111525595807</c:v>
                </c:pt>
                <c:pt idx="3">
                  <c:v>16.016380566740658</c:v>
                </c:pt>
                <c:pt idx="4">
                  <c:v>15.271053312226293</c:v>
                </c:pt>
                <c:pt idx="5">
                  <c:v>14.544756863651113</c:v>
                </c:pt>
                <c:pt idx="6">
                  <c:v>13.83805740546765</c:v>
                </c:pt>
                <c:pt idx="7">
                  <c:v>13.151456287533884</c:v>
                </c:pt>
                <c:pt idx="8">
                  <c:v>12.485386905557602</c:v>
                </c:pt>
                <c:pt idx="9">
                  <c:v>11.840212393091004</c:v>
                </c:pt>
                <c:pt idx="10">
                  <c:v>11.216224123241318</c:v>
                </c:pt>
                <c:pt idx="11">
                  <c:v>10.613641003953193</c:v>
                </c:pt>
                <c:pt idx="12">
                  <c:v>10.032609537845778</c:v>
                </c:pt>
                <c:pt idx="13">
                  <c:v>9.4732046063337769</c:v>
                </c:pt>
                <c:pt idx="14">
                  <c:v>8.9354309282521687</c:v>
                </c:pt>
                <c:pt idx="15">
                  <c:v>8.41922513549396</c:v>
                </c:pt>
                <c:pt idx="16">
                  <c:v>7.9244584022644498</c:v>
                </c:pt>
                <c:pt idx="17">
                  <c:v>7.450939560407086</c:v>
                </c:pt>
                <c:pt idx="18">
                  <c:v>6.9984186307805025</c:v>
                </c:pt>
                <c:pt idx="19">
                  <c:v>6.5665906997417283</c:v>
                </c:pt>
                <c:pt idx="20">
                  <c:v>6.1551000702738792</c:v>
                </c:pt>
                <c:pt idx="21">
                  <c:v>5.7635446190239383</c:v>
                </c:pt>
                <c:pt idx="22">
                  <c:v>5.391480293314153</c:v>
                </c:pt>
                <c:pt idx="23">
                  <c:v>5.0384256858815908</c:v>
                </c:pt>
                <c:pt idx="24">
                  <c:v>4.7038666295059599</c:v>
                </c:pt>
                <c:pt idx="25">
                  <c:v>4.3872607586361445</c:v>
                </c:pt>
                <c:pt idx="26">
                  <c:v>4.0880419904567429</c:v>
                </c:pt>
                <c:pt idx="27">
                  <c:v>3.8056248833988846</c:v>
                </c:pt>
                <c:pt idx="28">
                  <c:v>3.5394088367579752</c:v>
                </c:pt>
                <c:pt idx="29">
                  <c:v>3.2887821007151232</c:v>
                </c:pt>
                <c:pt idx="30">
                  <c:v>3.0531255715657637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891544"/>
        <c:axId val="441894424"/>
      </c:lineChart>
      <c:catAx>
        <c:axId val="1753692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Strikes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1871"/>
        <c:crosses val="autoZero"/>
        <c:auto val="1"/>
        <c:lblAlgn val="ctr"/>
        <c:lblOffset val="100"/>
        <c:noMultiLvlLbl val="0"/>
      </c:catAx>
      <c:valAx>
        <c:axId val="1753691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2831"/>
        <c:crosses val="autoZero"/>
        <c:crossBetween val="between"/>
      </c:valAx>
      <c:valAx>
        <c:axId val="441894424"/>
        <c:scaling>
          <c:orientation val="minMax"/>
        </c:scaling>
        <c:delete val="0"/>
        <c:axPos val="r"/>
        <c:numFmt formatCode="0.00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891544"/>
        <c:crosses val="max"/>
        <c:crossBetween val="between"/>
      </c:valAx>
      <c:catAx>
        <c:axId val="441891544"/>
        <c:scaling>
          <c:orientation val="minMax"/>
        </c:scaling>
        <c:delete val="1"/>
        <c:axPos val="b"/>
        <c:majorTickMark val="out"/>
        <c:minorTickMark val="none"/>
        <c:tickLblPos val="nextTo"/>
        <c:crossAx val="441894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chart" Target="../charts/chart3.xml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9.pn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png"/><Relationship Id="rId4" Type="http://schemas.openxmlformats.org/officeDocument/2006/relationships/chart" Target="../charts/chart4.xml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9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Aptos Narrow"/>
                </a:rPr>
                <a:t>Price 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678008</xdr:colOff>
      <xdr:row>37</xdr:row>
      <xdr:rowOff>865</xdr:rowOff>
    </xdr:from>
    <xdr:to>
      <xdr:col>7</xdr:col>
      <xdr:colOff>170445</xdr:colOff>
      <xdr:row>39</xdr:row>
      <xdr:rowOff>137680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22FE5DC-1142-129B-5A6C-29CA10748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5608" y="7382740"/>
          <a:ext cx="1883212" cy="51781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28</xdr:row>
          <xdr:rowOff>144780</xdr:rowOff>
        </xdr:from>
        <xdr:to>
          <xdr:col>7</xdr:col>
          <xdr:colOff>350520</xdr:colOff>
          <xdr:row>31</xdr:row>
          <xdr:rowOff>99060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Price Python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31</xdr:row>
          <xdr:rowOff>160020</xdr:rowOff>
        </xdr:from>
        <xdr:to>
          <xdr:col>7</xdr:col>
          <xdr:colOff>350520</xdr:colOff>
          <xdr:row>33</xdr:row>
          <xdr:rowOff>190500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Tree Memory Allocation Price (No div)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228601</xdr:colOff>
      <xdr:row>37</xdr:row>
      <xdr:rowOff>19050</xdr:rowOff>
    </xdr:from>
    <xdr:to>
      <xdr:col>4</xdr:col>
      <xdr:colOff>76200</xdr:colOff>
      <xdr:row>39</xdr:row>
      <xdr:rowOff>168741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CF8D2A10-9C4F-FC2C-439B-E4731A9735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8676" y="7400925"/>
          <a:ext cx="2905124" cy="5306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60960</xdr:colOff>
          <xdr:row>3</xdr:row>
          <xdr:rowOff>99060</xdr:rowOff>
        </xdr:from>
        <xdr:to>
          <xdr:col>20</xdr:col>
          <xdr:colOff>541020</xdr:colOff>
          <xdr:row>10</xdr:row>
          <xdr:rowOff>175260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Génération des graphiques des grecs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205840</xdr:colOff>
      <xdr:row>1</xdr:row>
      <xdr:rowOff>116773</xdr:rowOff>
    </xdr:from>
    <xdr:to>
      <xdr:col>7</xdr:col>
      <xdr:colOff>469076</xdr:colOff>
      <xdr:row>18</xdr:row>
      <xdr:rowOff>35664</xdr:rowOff>
    </xdr:to>
    <xdr:pic>
      <xdr:nvPicPr>
        <xdr:cNvPr id="18" name="Chart 1">
          <a:extLst>
            <a:ext uri="{FF2B5EF4-FFF2-40B4-BE49-F238E27FC236}">
              <a16:creationId xmlns:a16="http://schemas.microsoft.com/office/drawing/2014/main" id="{C22543A4-A857-642B-B607-79E3EA1CE3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840" y="299653"/>
          <a:ext cx="4530436" cy="3027851"/>
        </a:xfrm>
        <a:prstGeom prst="rect">
          <a:avLst/>
        </a:prstGeom>
      </xdr:spPr>
    </xdr:pic>
    <xdr:clientData/>
  </xdr:twoCellAnchor>
  <xdr:twoCellAnchor editAs="oneCell">
    <xdr:from>
      <xdr:col>8</xdr:col>
      <xdr:colOff>425650</xdr:colOff>
      <xdr:row>1</xdr:row>
      <xdr:rowOff>139240</xdr:rowOff>
    </xdr:from>
    <xdr:to>
      <xdr:col>16</xdr:col>
      <xdr:colOff>124692</xdr:colOff>
      <xdr:row>18</xdr:row>
      <xdr:rowOff>61725</xdr:rowOff>
    </xdr:to>
    <xdr:pic>
      <xdr:nvPicPr>
        <xdr:cNvPr id="20" name="Chart 2">
          <a:extLst>
            <a:ext uri="{FF2B5EF4-FFF2-40B4-BE49-F238E27FC236}">
              <a16:creationId xmlns:a16="http://schemas.microsoft.com/office/drawing/2014/main" id="{0E5FC42D-38F8-FF74-333A-DE4F01AAA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450" y="322120"/>
          <a:ext cx="4575842" cy="3031445"/>
        </a:xfrm>
        <a:prstGeom prst="rect">
          <a:avLst/>
        </a:prstGeom>
      </xdr:spPr>
    </xdr:pic>
    <xdr:clientData/>
  </xdr:twoCellAnchor>
  <xdr:twoCellAnchor editAs="oneCell">
    <xdr:from>
      <xdr:col>0</xdr:col>
      <xdr:colOff>96982</xdr:colOff>
      <xdr:row>19</xdr:row>
      <xdr:rowOff>14546</xdr:rowOff>
    </xdr:from>
    <xdr:to>
      <xdr:col>7</xdr:col>
      <xdr:colOff>500019</xdr:colOff>
      <xdr:row>36</xdr:row>
      <xdr:rowOff>96981</xdr:rowOff>
    </xdr:to>
    <xdr:pic>
      <xdr:nvPicPr>
        <xdr:cNvPr id="22" name="Chart 3">
          <a:extLst>
            <a:ext uri="{FF2B5EF4-FFF2-40B4-BE49-F238E27FC236}">
              <a16:creationId xmlns:a16="http://schemas.microsoft.com/office/drawing/2014/main" id="{8ABF246B-6710-E694-3B32-17201D3260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982" y="3489266"/>
          <a:ext cx="4670237" cy="3191395"/>
        </a:xfrm>
        <a:prstGeom prst="rect">
          <a:avLst/>
        </a:prstGeom>
      </xdr:spPr>
    </xdr:pic>
    <xdr:clientData/>
  </xdr:twoCellAnchor>
  <xdr:twoCellAnchor editAs="oneCell">
    <xdr:from>
      <xdr:col>8</xdr:col>
      <xdr:colOff>562332</xdr:colOff>
      <xdr:row>19</xdr:row>
      <xdr:rowOff>26890</xdr:rowOff>
    </xdr:from>
    <xdr:to>
      <xdr:col>16</xdr:col>
      <xdr:colOff>243677</xdr:colOff>
      <xdr:row>36</xdr:row>
      <xdr:rowOff>20727</xdr:rowOff>
    </xdr:to>
    <xdr:pic>
      <xdr:nvPicPr>
        <xdr:cNvPr id="24" name="Chart 4">
          <a:extLst>
            <a:ext uri="{FF2B5EF4-FFF2-40B4-BE49-F238E27FC236}">
              <a16:creationId xmlns:a16="http://schemas.microsoft.com/office/drawing/2014/main" id="{4B3A5D6D-0C0B-BB70-4B27-73165F6D4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9132" y="3501610"/>
          <a:ext cx="4558145" cy="3102797"/>
        </a:xfrm>
        <a:prstGeom prst="rect">
          <a:avLst/>
        </a:prstGeom>
      </xdr:spPr>
    </xdr:pic>
    <xdr:clientData/>
  </xdr:twoCellAnchor>
  <xdr:twoCellAnchor editAs="oneCell">
    <xdr:from>
      <xdr:col>4</xdr:col>
      <xdr:colOff>156557</xdr:colOff>
      <xdr:row>37</xdr:row>
      <xdr:rowOff>80356</xdr:rowOff>
    </xdr:from>
    <xdr:to>
      <xdr:col>11</xdr:col>
      <xdr:colOff>499564</xdr:colOff>
      <xdr:row>54</xdr:row>
      <xdr:rowOff>69272</xdr:rowOff>
    </xdr:to>
    <xdr:pic>
      <xdr:nvPicPr>
        <xdr:cNvPr id="26" name="Chart 5">
          <a:extLst>
            <a:ext uri="{FF2B5EF4-FFF2-40B4-BE49-F238E27FC236}">
              <a16:creationId xmlns:a16="http://schemas.microsoft.com/office/drawing/2014/main" id="{C538060C-0A27-F160-A220-3D523AE4DC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57" y="6846916"/>
          <a:ext cx="4610207" cy="30978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937260</xdr:colOff>
          <xdr:row>0</xdr:row>
          <xdr:rowOff>76200</xdr:rowOff>
        </xdr:from>
        <xdr:to>
          <xdr:col>5</xdr:col>
          <xdr:colOff>1211580</xdr:colOff>
          <xdr:row>2</xdr:row>
          <xdr:rowOff>137160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Convergence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9193</xdr:colOff>
      <xdr:row>3</xdr:row>
      <xdr:rowOff>105954</xdr:rowOff>
    </xdr:from>
    <xdr:to>
      <xdr:col>14</xdr:col>
      <xdr:colOff>237067</xdr:colOff>
      <xdr:row>16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D88F15-1143-2230-D786-F0CD78ACAB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342901</xdr:colOff>
      <xdr:row>3</xdr:row>
      <xdr:rowOff>101600</xdr:rowOff>
    </xdr:from>
    <xdr:to>
      <xdr:col>21</xdr:col>
      <xdr:colOff>522941</xdr:colOff>
      <xdr:row>16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2AF326-29F3-4832-A3D7-51743E1A0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7863</xdr:colOff>
      <xdr:row>16</xdr:row>
      <xdr:rowOff>171753</xdr:rowOff>
    </xdr:from>
    <xdr:to>
      <xdr:col>14</xdr:col>
      <xdr:colOff>237068</xdr:colOff>
      <xdr:row>29</xdr:row>
      <xdr:rowOff>139701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D653263-12D9-4598-BB10-3F2D529B5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345926</xdr:colOff>
      <xdr:row>17</xdr:row>
      <xdr:rowOff>1815</xdr:rowOff>
    </xdr:from>
    <xdr:to>
      <xdr:col>21</xdr:col>
      <xdr:colOff>522941</xdr:colOff>
      <xdr:row>29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A8F7B0F-567B-4DB3-83E8-7A95594D1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403860</xdr:colOff>
          <xdr:row>31</xdr:row>
          <xdr:rowOff>22860</xdr:rowOff>
        </xdr:from>
        <xdr:to>
          <xdr:col>19</xdr:col>
          <xdr:colOff>259080</xdr:colOff>
          <xdr:row>33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Python Graphs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35</xdr:row>
      <xdr:rowOff>0</xdr:rowOff>
    </xdr:from>
    <xdr:to>
      <xdr:col>7</xdr:col>
      <xdr:colOff>63500</xdr:colOff>
      <xdr:row>35</xdr:row>
      <xdr:rowOff>88900</xdr:rowOff>
    </xdr:to>
    <xdr:pic>
      <xdr:nvPicPr>
        <xdr:cNvPr id="31" name="ConvPlot">
          <a:extLst>
            <a:ext uri="{FF2B5EF4-FFF2-40B4-BE49-F238E27FC236}">
              <a16:creationId xmlns:a16="http://schemas.microsoft.com/office/drawing/2014/main" id="{1F19301C-C3B2-77C3-848E-940972FCE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1220" y="640080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35</xdr:row>
      <xdr:rowOff>0</xdr:rowOff>
    </xdr:from>
    <xdr:to>
      <xdr:col>15</xdr:col>
      <xdr:colOff>63500</xdr:colOff>
      <xdr:row>35</xdr:row>
      <xdr:rowOff>88900</xdr:rowOff>
    </xdr:to>
    <xdr:pic>
      <xdr:nvPicPr>
        <xdr:cNvPr id="33" name="TimePlot">
          <a:extLst>
            <a:ext uri="{FF2B5EF4-FFF2-40B4-BE49-F238E27FC236}">
              <a16:creationId xmlns:a16="http://schemas.microsoft.com/office/drawing/2014/main" id="{99F68F6E-B9FF-3994-C6D2-671BB9606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2320" y="640080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48</xdr:row>
      <xdr:rowOff>0</xdr:rowOff>
    </xdr:from>
    <xdr:to>
      <xdr:col>7</xdr:col>
      <xdr:colOff>63500</xdr:colOff>
      <xdr:row>48</xdr:row>
      <xdr:rowOff>88900</xdr:rowOff>
    </xdr:to>
    <xdr:pic>
      <xdr:nvPicPr>
        <xdr:cNvPr id="35" name="GapPlot">
          <a:extLst>
            <a:ext uri="{FF2B5EF4-FFF2-40B4-BE49-F238E27FC236}">
              <a16:creationId xmlns:a16="http://schemas.microsoft.com/office/drawing/2014/main" id="{27773573-06DB-B164-0B1D-52D0135413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1220" y="877824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48</xdr:row>
      <xdr:rowOff>0</xdr:rowOff>
    </xdr:from>
    <xdr:to>
      <xdr:col>15</xdr:col>
      <xdr:colOff>63500</xdr:colOff>
      <xdr:row>48</xdr:row>
      <xdr:rowOff>88900</xdr:rowOff>
    </xdr:to>
    <xdr:pic>
      <xdr:nvPicPr>
        <xdr:cNvPr id="37" name="GapStepPlot">
          <a:extLst>
            <a:ext uri="{FF2B5EF4-FFF2-40B4-BE49-F238E27FC236}">
              <a16:creationId xmlns:a16="http://schemas.microsoft.com/office/drawing/2014/main" id="{EF0EC48E-7FBE-ED31-914D-8626CF038A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2320" y="877824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6</xdr:col>
      <xdr:colOff>322730</xdr:colOff>
      <xdr:row>34</xdr:row>
      <xdr:rowOff>98612</xdr:rowOff>
    </xdr:from>
    <xdr:to>
      <xdr:col>14</xdr:col>
      <xdr:colOff>448235</xdr:colOff>
      <xdr:row>50</xdr:row>
      <xdr:rowOff>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44AF193-1787-3E5E-B3B6-BF92F0B00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9110" y="6316532"/>
          <a:ext cx="5116605" cy="2827468"/>
        </a:xfrm>
        <a:prstGeom prst="rect">
          <a:avLst/>
        </a:prstGeom>
      </xdr:spPr>
    </xdr:pic>
    <xdr:clientData/>
  </xdr:twoCellAnchor>
  <xdr:twoCellAnchor editAs="oneCell">
    <xdr:from>
      <xdr:col>14</xdr:col>
      <xdr:colOff>522416</xdr:colOff>
      <xdr:row>34</xdr:row>
      <xdr:rowOff>123399</xdr:rowOff>
    </xdr:from>
    <xdr:to>
      <xdr:col>22</xdr:col>
      <xdr:colOff>166004</xdr:colOff>
      <xdr:row>50</xdr:row>
      <xdr:rowOff>53787</xdr:rowOff>
    </xdr:to>
    <xdr:pic>
      <xdr:nvPicPr>
        <xdr:cNvPr id="10" name="Picture 2">
          <a:extLst>
            <a:ext uri="{FF2B5EF4-FFF2-40B4-BE49-F238E27FC236}">
              <a16:creationId xmlns:a16="http://schemas.microsoft.com/office/drawing/2014/main" id="{8BB8EFC2-FF25-221F-111A-7A20C370B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39896" y="6341319"/>
          <a:ext cx="4642308" cy="2856468"/>
        </a:xfrm>
        <a:prstGeom prst="rect">
          <a:avLst/>
        </a:prstGeom>
      </xdr:spPr>
    </xdr:pic>
    <xdr:clientData/>
  </xdr:twoCellAnchor>
  <xdr:twoCellAnchor editAs="oneCell">
    <xdr:from>
      <xdr:col>6</xdr:col>
      <xdr:colOff>398110</xdr:colOff>
      <xdr:row>50</xdr:row>
      <xdr:rowOff>129047</xdr:rowOff>
    </xdr:from>
    <xdr:to>
      <xdr:col>14</xdr:col>
      <xdr:colOff>421340</xdr:colOff>
      <xdr:row>66</xdr:row>
      <xdr:rowOff>116541</xdr:rowOff>
    </xdr:to>
    <xdr:pic>
      <xdr:nvPicPr>
        <xdr:cNvPr id="13" name="Picture 7">
          <a:extLst>
            <a:ext uri="{FF2B5EF4-FFF2-40B4-BE49-F238E27FC236}">
              <a16:creationId xmlns:a16="http://schemas.microsoft.com/office/drawing/2014/main" id="{18146F1B-6B55-79CB-062D-020C2A0EB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4490" y="9273047"/>
          <a:ext cx="5014330" cy="2913574"/>
        </a:xfrm>
        <a:prstGeom prst="rect">
          <a:avLst/>
        </a:prstGeom>
      </xdr:spPr>
    </xdr:pic>
    <xdr:clientData/>
  </xdr:twoCellAnchor>
  <xdr:twoCellAnchor editAs="oneCell">
    <xdr:from>
      <xdr:col>14</xdr:col>
      <xdr:colOff>578863</xdr:colOff>
      <xdr:row>50</xdr:row>
      <xdr:rowOff>157013</xdr:rowOff>
    </xdr:from>
    <xdr:to>
      <xdr:col>22</xdr:col>
      <xdr:colOff>376518</xdr:colOff>
      <xdr:row>67</xdr:row>
      <xdr:rowOff>44823</xdr:rowOff>
    </xdr:to>
    <xdr:pic>
      <xdr:nvPicPr>
        <xdr:cNvPr id="16" name="Picture 8">
          <a:extLst>
            <a:ext uri="{FF2B5EF4-FFF2-40B4-BE49-F238E27FC236}">
              <a16:creationId xmlns:a16="http://schemas.microsoft.com/office/drawing/2014/main" id="{0F530987-16EF-428B-4452-27B309B21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6343" y="9301013"/>
          <a:ext cx="4796375" cy="29967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1036320</xdr:colOff>
          <xdr:row>0</xdr:row>
          <xdr:rowOff>76200</xdr:rowOff>
        </xdr:from>
        <xdr:to>
          <xdr:col>5</xdr:col>
          <xdr:colOff>1066800</xdr:colOff>
          <xdr:row>2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Gap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517213</xdr:colOff>
      <xdr:row>4</xdr:row>
      <xdr:rowOff>174686</xdr:rowOff>
    </xdr:from>
    <xdr:to>
      <xdr:col>20</xdr:col>
      <xdr:colOff>200025</xdr:colOff>
      <xdr:row>27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A026A9-8E4F-4770-CD46-35DDAED2DC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10D1C-ED11-4C99-9C61-AA7CC52F6925}">
  <sheetPr codeName="Sheet2">
    <tabColor theme="4" tint="0.59999389629810485"/>
  </sheetPr>
  <dimension ref="B1:O39"/>
  <sheetViews>
    <sheetView topLeftCell="A12" zoomScale="90" zoomScaleNormal="90" workbookViewId="0">
      <selection activeCell="E10" sqref="E10"/>
    </sheetView>
  </sheetViews>
  <sheetFormatPr defaultColWidth="9" defaultRowHeight="14.4" x14ac:dyDescent="0.3"/>
  <cols>
    <col min="1" max="1" width="9" style="6" customWidth="1"/>
    <col min="2" max="2" width="10.33203125" style="6" customWidth="1"/>
    <col min="3" max="3" width="13.88671875" style="6" customWidth="1"/>
    <col min="4" max="4" width="21.6640625" style="6" customWidth="1"/>
    <col min="5" max="5" width="14.88671875" style="6" customWidth="1"/>
    <col min="6" max="6" width="12" style="6" bestFit="1" customWidth="1"/>
    <col min="7" max="11" width="9" style="6"/>
    <col min="12" max="12" width="8.33203125" style="6" customWidth="1"/>
    <col min="13" max="13" width="9" style="6"/>
    <col min="14" max="14" width="8" style="6" customWidth="1"/>
    <col min="15" max="16384" width="9" style="6"/>
  </cols>
  <sheetData>
    <row r="1" spans="2:15" ht="14.4" customHeight="1" x14ac:dyDescent="0.3">
      <c r="B1" s="79" t="s">
        <v>35</v>
      </c>
      <c r="C1" s="80"/>
      <c r="D1" s="80"/>
      <c r="E1" s="81"/>
    </row>
    <row r="2" spans="2:15" ht="14.4" customHeight="1" x14ac:dyDescent="0.3">
      <c r="B2" s="82"/>
      <c r="C2" s="83"/>
      <c r="D2" s="83"/>
      <c r="E2" s="84"/>
    </row>
    <row r="3" spans="2:15" ht="14.4" customHeight="1" thickBot="1" x14ac:dyDescent="0.35">
      <c r="B3" s="85"/>
      <c r="C3" s="86"/>
      <c r="D3" s="86"/>
      <c r="E3" s="87"/>
    </row>
    <row r="5" spans="2:15" ht="15" thickBot="1" x14ac:dyDescent="0.35"/>
    <row r="6" spans="2:15" ht="14.4" customHeight="1" x14ac:dyDescent="0.3">
      <c r="B6" s="68" t="s">
        <v>0</v>
      </c>
      <c r="C6" s="73" t="s">
        <v>10</v>
      </c>
      <c r="D6" s="31" t="s">
        <v>12</v>
      </c>
      <c r="E6" s="17">
        <v>100</v>
      </c>
      <c r="J6" s="71" t="s">
        <v>16</v>
      </c>
      <c r="K6" s="72"/>
      <c r="L6" s="72"/>
      <c r="M6" s="47" t="s">
        <v>66</v>
      </c>
      <c r="N6" s="47"/>
      <c r="O6" s="48"/>
    </row>
    <row r="7" spans="2:15" ht="15" customHeight="1" x14ac:dyDescent="0.3">
      <c r="B7" s="69"/>
      <c r="C7" s="74"/>
      <c r="D7" s="32" t="s">
        <v>22</v>
      </c>
      <c r="E7" s="18">
        <v>0.2</v>
      </c>
      <c r="J7" s="51"/>
      <c r="K7" s="52"/>
      <c r="L7" s="52"/>
      <c r="M7" s="49"/>
      <c r="N7" s="49"/>
      <c r="O7" s="50"/>
    </row>
    <row r="8" spans="2:15" ht="15" customHeight="1" x14ac:dyDescent="0.3">
      <c r="B8" s="69"/>
      <c r="C8" s="74"/>
      <c r="D8" s="32" t="s">
        <v>23</v>
      </c>
      <c r="E8" s="18">
        <v>0.03</v>
      </c>
      <c r="J8" s="51" t="s">
        <v>15</v>
      </c>
      <c r="K8" s="52"/>
      <c r="L8" s="52"/>
      <c r="M8" s="49" t="s">
        <v>67</v>
      </c>
      <c r="N8" s="49"/>
      <c r="O8" s="50"/>
    </row>
    <row r="9" spans="2:15" ht="15" customHeight="1" thickBot="1" x14ac:dyDescent="0.35">
      <c r="B9" s="69"/>
      <c r="C9" s="74"/>
      <c r="D9" s="32" t="s">
        <v>13</v>
      </c>
      <c r="E9" s="19">
        <v>0</v>
      </c>
      <c r="J9" s="53"/>
      <c r="K9" s="54"/>
      <c r="L9" s="54"/>
      <c r="M9" s="55"/>
      <c r="N9" s="55"/>
      <c r="O9" s="56"/>
    </row>
    <row r="10" spans="2:15" ht="15" customHeight="1" thickBot="1" x14ac:dyDescent="0.35">
      <c r="B10" s="69"/>
      <c r="C10" s="75"/>
      <c r="D10" s="32" t="s">
        <v>3</v>
      </c>
      <c r="E10" s="106">
        <v>45458</v>
      </c>
      <c r="I10" s="15"/>
      <c r="J10" s="57"/>
      <c r="K10" s="58"/>
      <c r="L10" s="58"/>
      <c r="M10" s="58"/>
      <c r="N10" s="58"/>
      <c r="O10" s="59"/>
    </row>
    <row r="11" spans="2:15" ht="15.6" customHeight="1" x14ac:dyDescent="0.3">
      <c r="B11" s="69"/>
      <c r="C11" s="73" t="s">
        <v>11</v>
      </c>
      <c r="D11" s="101" t="s">
        <v>4</v>
      </c>
      <c r="E11" s="102">
        <v>45352</v>
      </c>
      <c r="I11" s="15"/>
      <c r="J11" s="60"/>
      <c r="K11" s="61"/>
      <c r="L11" s="61"/>
      <c r="M11" s="61"/>
      <c r="N11" s="61"/>
      <c r="O11" s="62"/>
    </row>
    <row r="12" spans="2:15" ht="15.6" customHeight="1" x14ac:dyDescent="0.3">
      <c r="B12" s="69"/>
      <c r="C12" s="74"/>
      <c r="D12" s="32" t="s">
        <v>44</v>
      </c>
      <c r="E12" s="20">
        <v>45652</v>
      </c>
      <c r="I12" s="15"/>
      <c r="J12" s="60"/>
      <c r="K12" s="61"/>
      <c r="L12" s="61"/>
      <c r="M12" s="61"/>
      <c r="N12" s="61"/>
      <c r="O12" s="62"/>
    </row>
    <row r="13" spans="2:15" ht="15.6" customHeight="1" x14ac:dyDescent="0.3">
      <c r="B13" s="69"/>
      <c r="C13" s="74"/>
      <c r="D13" s="32" t="s">
        <v>24</v>
      </c>
      <c r="E13" s="37">
        <f>(IEndDate-IStartDate)/365</f>
        <v>0.82191780821917804</v>
      </c>
      <c r="J13" s="60"/>
      <c r="K13" s="61"/>
      <c r="L13" s="61"/>
      <c r="M13" s="61"/>
      <c r="N13" s="61"/>
      <c r="O13" s="62"/>
    </row>
    <row r="14" spans="2:15" ht="14.4" customHeight="1" thickBot="1" x14ac:dyDescent="0.35">
      <c r="B14" s="69"/>
      <c r="C14" s="74"/>
      <c r="D14" s="32" t="s">
        <v>14</v>
      </c>
      <c r="E14" s="19">
        <v>101</v>
      </c>
      <c r="J14" s="63"/>
      <c r="K14" s="64"/>
      <c r="L14" s="64"/>
      <c r="M14" s="64"/>
      <c r="N14" s="64"/>
      <c r="O14" s="65"/>
    </row>
    <row r="15" spans="2:15" ht="14.4" customHeight="1" x14ac:dyDescent="0.3">
      <c r="B15" s="69"/>
      <c r="C15" s="74"/>
      <c r="D15" s="32" t="s">
        <v>1</v>
      </c>
      <c r="E15" s="19" t="s">
        <v>53</v>
      </c>
    </row>
    <row r="16" spans="2:15" ht="14.4" customHeight="1" thickBot="1" x14ac:dyDescent="0.35">
      <c r="B16" s="69"/>
      <c r="C16" s="75"/>
      <c r="D16" s="103" t="s">
        <v>25</v>
      </c>
      <c r="E16" s="104" t="s">
        <v>5</v>
      </c>
    </row>
    <row r="17" spans="2:15" ht="14.4" customHeight="1" thickBot="1" x14ac:dyDescent="0.35">
      <c r="B17" s="69"/>
      <c r="C17" s="76" t="s">
        <v>26</v>
      </c>
      <c r="D17" s="32" t="s">
        <v>61</v>
      </c>
      <c r="E17" s="19" t="s">
        <v>6</v>
      </c>
      <c r="F17" s="29"/>
    </row>
    <row r="18" spans="2:15" ht="16.649999999999999" customHeight="1" x14ac:dyDescent="0.3">
      <c r="B18" s="69"/>
      <c r="C18" s="77"/>
      <c r="D18" s="32" t="s">
        <v>62</v>
      </c>
      <c r="E18" s="100">
        <f>1000</f>
        <v>1000</v>
      </c>
      <c r="L18" s="71" t="s">
        <v>56</v>
      </c>
      <c r="M18" s="72"/>
      <c r="N18" s="72" t="s">
        <v>57</v>
      </c>
      <c r="O18" s="90"/>
    </row>
    <row r="19" spans="2:15" ht="16.649999999999999" customHeight="1" x14ac:dyDescent="0.3">
      <c r="B19" s="69"/>
      <c r="C19" s="77"/>
      <c r="D19" s="32" t="s">
        <v>60</v>
      </c>
      <c r="E19" s="99">
        <f>0</f>
        <v>0</v>
      </c>
      <c r="F19" s="30"/>
      <c r="L19" s="51"/>
      <c r="M19" s="52"/>
      <c r="N19" s="52"/>
      <c r="O19" s="91"/>
    </row>
    <row r="20" spans="2:15" ht="15.75" customHeight="1" thickBot="1" x14ac:dyDescent="0.35">
      <c r="B20" s="69"/>
      <c r="C20" s="77"/>
      <c r="D20" s="32" t="s">
        <v>27</v>
      </c>
      <c r="E20" s="28" t="s">
        <v>66</v>
      </c>
      <c r="L20" s="53"/>
      <c r="M20" s="54"/>
      <c r="N20" s="54"/>
      <c r="O20" s="92"/>
    </row>
    <row r="21" spans="2:15" ht="18.75" customHeight="1" thickBot="1" x14ac:dyDescent="0.35">
      <c r="B21" s="70"/>
      <c r="C21" s="78"/>
      <c r="D21" s="33" t="s">
        <v>58</v>
      </c>
      <c r="E21" s="105">
        <f>10^-20</f>
        <v>9.9999999999999995E-21</v>
      </c>
      <c r="J21" s="71" t="s">
        <v>48</v>
      </c>
      <c r="K21" s="90"/>
      <c r="L21" s="66">
        <v>0.57043638073116565</v>
      </c>
      <c r="M21" s="66"/>
      <c r="N21" s="66">
        <v>0.5</v>
      </c>
      <c r="O21" s="67"/>
    </row>
    <row r="22" spans="2:15" ht="15" thickBot="1" x14ac:dyDescent="0.35">
      <c r="F22" s="34"/>
      <c r="J22" s="51"/>
      <c r="K22" s="91"/>
      <c r="L22" s="66"/>
      <c r="M22" s="66"/>
      <c r="N22" s="66"/>
      <c r="O22" s="67"/>
    </row>
    <row r="23" spans="2:15" ht="18" customHeight="1" x14ac:dyDescent="0.3">
      <c r="B23" s="41" t="s">
        <v>17</v>
      </c>
      <c r="C23" s="44" t="s">
        <v>7</v>
      </c>
      <c r="D23" s="16" t="s">
        <v>29</v>
      </c>
      <c r="E23" s="21">
        <v>7.925345363293907</v>
      </c>
      <c r="J23" s="51" t="s">
        <v>49</v>
      </c>
      <c r="K23" s="91"/>
      <c r="L23" s="66">
        <v>2.0136966070158416E-2</v>
      </c>
      <c r="M23" s="66"/>
      <c r="N23" s="66">
        <v>2.2002188192037815E-2</v>
      </c>
      <c r="O23" s="67"/>
    </row>
    <row r="24" spans="2:15" ht="18.75" customHeight="1" x14ac:dyDescent="0.3">
      <c r="B24" s="42"/>
      <c r="C24" s="45"/>
      <c r="D24" s="27" t="s">
        <v>30</v>
      </c>
      <c r="E24" s="22">
        <v>7.9244584022644498</v>
      </c>
      <c r="J24" s="51"/>
      <c r="K24" s="91"/>
      <c r="L24" s="66"/>
      <c r="M24" s="66"/>
      <c r="N24" s="66"/>
      <c r="O24" s="67"/>
    </row>
    <row r="25" spans="2:15" ht="18" customHeight="1" thickBot="1" x14ac:dyDescent="0.35">
      <c r="B25" s="42"/>
      <c r="C25" s="46"/>
      <c r="D25" s="27" t="s">
        <v>63</v>
      </c>
      <c r="E25" s="23">
        <f>(3*IVol^2)/(INbSteps*8*SQRT(2*PI())*SQRT(EXP(IVol^2)-1))</f>
        <v>2.9621967976797475E-5</v>
      </c>
      <c r="J25" s="51" t="s">
        <v>52</v>
      </c>
      <c r="K25" s="91"/>
      <c r="L25" s="66">
        <v>35.665650428734708</v>
      </c>
      <c r="M25" s="66"/>
      <c r="N25" s="66">
        <v>36.167980589651208</v>
      </c>
      <c r="O25" s="67"/>
    </row>
    <row r="26" spans="2:15" ht="16.350000000000001" customHeight="1" x14ac:dyDescent="0.3">
      <c r="B26" s="42"/>
      <c r="C26" s="44" t="s">
        <v>28</v>
      </c>
      <c r="D26" s="27" t="s">
        <v>31</v>
      </c>
      <c r="E26" s="24">
        <v>1.09375</v>
      </c>
      <c r="J26" s="51"/>
      <c r="K26" s="91"/>
      <c r="L26" s="66"/>
      <c r="M26" s="66"/>
      <c r="N26" s="66"/>
      <c r="O26" s="67"/>
    </row>
    <row r="27" spans="2:15" ht="19.5" customHeight="1" x14ac:dyDescent="0.3">
      <c r="B27" s="42"/>
      <c r="C27" s="45"/>
      <c r="D27" s="27" t="s">
        <v>32</v>
      </c>
      <c r="E27" s="24">
        <v>0.203125</v>
      </c>
      <c r="J27" s="51" t="s">
        <v>50</v>
      </c>
      <c r="K27" s="91"/>
      <c r="L27" s="66">
        <v>-5.8127297153482971</v>
      </c>
      <c r="M27" s="66"/>
      <c r="N27" s="66">
        <v>-5.878538267308012</v>
      </c>
      <c r="O27" s="67"/>
    </row>
    <row r="28" spans="2:15" ht="15.6" thickBot="1" x14ac:dyDescent="0.35">
      <c r="B28" s="42"/>
      <c r="C28" s="46"/>
      <c r="D28" s="27" t="s">
        <v>33</v>
      </c>
      <c r="E28" s="25">
        <f>ITimeTree+IPriceTime</f>
        <v>1.296875</v>
      </c>
      <c r="J28" s="51"/>
      <c r="K28" s="91"/>
      <c r="L28" s="66"/>
      <c r="M28" s="66"/>
      <c r="N28" s="66"/>
      <c r="O28" s="67"/>
    </row>
    <row r="29" spans="2:15" ht="14.4" customHeight="1" x14ac:dyDescent="0.3">
      <c r="B29" s="42"/>
      <c r="C29" s="44" t="s">
        <v>45</v>
      </c>
      <c r="D29" s="38" t="s">
        <v>29</v>
      </c>
      <c r="E29" s="21">
        <v>7.9253453633825943</v>
      </c>
      <c r="J29" s="51" t="s">
        <v>51</v>
      </c>
      <c r="K29" s="91"/>
      <c r="L29" s="66">
        <v>40.365150554875619</v>
      </c>
      <c r="M29" s="66"/>
      <c r="N29" s="66">
        <v>40.49590764110814</v>
      </c>
      <c r="O29" s="67"/>
    </row>
    <row r="30" spans="2:15" ht="14.4" customHeight="1" thickBot="1" x14ac:dyDescent="0.35">
      <c r="B30" s="42"/>
      <c r="C30" s="45"/>
      <c r="D30" s="39" t="s">
        <v>31</v>
      </c>
      <c r="E30" s="24">
        <v>1.2987716197967529</v>
      </c>
      <c r="J30" s="53"/>
      <c r="K30" s="92"/>
      <c r="L30" s="88"/>
      <c r="M30" s="88"/>
      <c r="N30" s="88"/>
      <c r="O30" s="89"/>
    </row>
    <row r="31" spans="2:15" ht="15" x14ac:dyDescent="0.3">
      <c r="B31" s="42"/>
      <c r="C31" s="45"/>
      <c r="D31" s="39" t="s">
        <v>32</v>
      </c>
      <c r="E31" s="24">
        <v>0.23470258712768555</v>
      </c>
    </row>
    <row r="32" spans="2:15" ht="19.5" customHeight="1" thickBot="1" x14ac:dyDescent="0.35">
      <c r="B32" s="42"/>
      <c r="C32" s="45"/>
      <c r="D32" s="39" t="s">
        <v>46</v>
      </c>
      <c r="E32" s="25">
        <f>IPythonTimeTree+IPythonPriceTime</f>
        <v>1.5334742069244385</v>
      </c>
    </row>
    <row r="33" spans="2:5" ht="18.75" customHeight="1" x14ac:dyDescent="0.3">
      <c r="B33" s="42"/>
      <c r="C33" s="45"/>
      <c r="D33" s="38" t="s">
        <v>55</v>
      </c>
      <c r="E33" s="21">
        <v>7.9253453627626049</v>
      </c>
    </row>
    <row r="34" spans="2:5" ht="15.6" thickBot="1" x14ac:dyDescent="0.35">
      <c r="B34" s="43"/>
      <c r="C34" s="46"/>
      <c r="D34" s="40" t="s">
        <v>54</v>
      </c>
      <c r="E34" s="26">
        <v>0.77678999999999998</v>
      </c>
    </row>
    <row r="36" spans="2:5" x14ac:dyDescent="0.3">
      <c r="B36" s="36" t="s">
        <v>65</v>
      </c>
    </row>
    <row r="39" spans="2:5" x14ac:dyDescent="0.3">
      <c r="B39" s="36" t="s">
        <v>59</v>
      </c>
      <c r="E39" s="35" t="s">
        <v>64</v>
      </c>
    </row>
  </sheetData>
  <protectedRanges>
    <protectedRange sqref="E6:E10" name="Market"/>
    <protectedRange sqref="E11:E12" name="Dates"/>
    <protectedRange sqref="E14:E17" name="Option"/>
    <protectedRange sqref="F19 E18 E20" name="Model"/>
    <protectedRange sqref="E23:E28" name="Output"/>
    <protectedRange sqref="M6:O9" name="ParamPrice"/>
    <protectedRange sqref="L21 N21:O30 L23 M22 L25 M24 L27 M26 L29 M28 M30" name="Greeks"/>
  </protectedRanges>
  <dataConsolidate/>
  <mergeCells count="31">
    <mergeCell ref="B1:E3"/>
    <mergeCell ref="J6:L7"/>
    <mergeCell ref="N29:O30"/>
    <mergeCell ref="J21:K22"/>
    <mergeCell ref="J23:K24"/>
    <mergeCell ref="J25:K26"/>
    <mergeCell ref="J27:K28"/>
    <mergeCell ref="J29:K30"/>
    <mergeCell ref="L21:M22"/>
    <mergeCell ref="L23:M24"/>
    <mergeCell ref="L25:M26"/>
    <mergeCell ref="L27:M28"/>
    <mergeCell ref="L29:M30"/>
    <mergeCell ref="N18:O20"/>
    <mergeCell ref="N21:O22"/>
    <mergeCell ref="N23:O24"/>
    <mergeCell ref="B23:B34"/>
    <mergeCell ref="C29:C34"/>
    <mergeCell ref="C26:C28"/>
    <mergeCell ref="M6:O7"/>
    <mergeCell ref="J8:L9"/>
    <mergeCell ref="M8:O9"/>
    <mergeCell ref="J10:O14"/>
    <mergeCell ref="N25:O26"/>
    <mergeCell ref="N27:O28"/>
    <mergeCell ref="B6:B21"/>
    <mergeCell ref="L18:M20"/>
    <mergeCell ref="C23:C25"/>
    <mergeCell ref="C6:C10"/>
    <mergeCell ref="C11:C16"/>
    <mergeCell ref="C17:C21"/>
  </mergeCells>
  <conditionalFormatting sqref="B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4">
    <dataValidation type="list" allowBlank="1" showInputMessage="1" showErrorMessage="1" sqref="E15" xr:uid="{81C0AB66-2C42-4075-8658-E2E9F45DA347}">
      <formula1>"Call,Put"</formula1>
    </dataValidation>
    <dataValidation type="list" allowBlank="1" showInputMessage="1" showErrorMessage="1" sqref="E16" xr:uid="{ABE1D4CC-1999-48E4-AA77-9D6A48AA6A5A}">
      <formula1>"European,American"</formula1>
    </dataValidation>
    <dataValidation type="list" allowBlank="1" showInputMessage="1" showErrorMessage="1" sqref="M6:O9 E20" xr:uid="{E89C065D-7D10-486C-93D3-6AC1322A3062}">
      <formula1>"Yes,No"</formula1>
    </dataValidation>
    <dataValidation type="list" allowBlank="1" showInputMessage="1" showErrorMessage="1" sqref="E17" xr:uid="{6F6651EE-9A17-4E76-8DFF-1A26C240CF5D}">
      <formula1>"Step,Precision"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Main.PriceTree">
                <anchor moveWithCells="1" sizeWithCells="1">
                  <from>
                    <xdr:col>9</xdr:col>
                    <xdr:colOff>7620</xdr:colOff>
                    <xdr:row>9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python_price">
                <anchor moveWithCells="1" sizeWithCells="1">
                  <from>
                    <xdr:col>5</xdr:col>
                    <xdr:colOff>114300</xdr:colOff>
                    <xdr:row>28</xdr:row>
                    <xdr:rowOff>144780</xdr:rowOff>
                  </from>
                  <to>
                    <xdr:col>7</xdr:col>
                    <xdr:colOff>350520</xdr:colOff>
                    <xdr:row>31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6" name="Button 5">
              <controlPr defaultSize="0" print="0" autoFill="0" autoPict="0" macro="[0]!python_tree_memory_price">
                <anchor moveWithCells="1" sizeWithCells="1">
                  <from>
                    <xdr:col>5</xdr:col>
                    <xdr:colOff>114300</xdr:colOff>
                    <xdr:row>31</xdr:row>
                    <xdr:rowOff>160020</xdr:rowOff>
                  </from>
                  <to>
                    <xdr:col>7</xdr:col>
                    <xdr:colOff>350520</xdr:colOff>
                    <xdr:row>33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3B4D-E378-4433-80BF-08E5F37FCA62}">
  <sheetPr codeName="Sheet5">
    <tabColor rgb="FFA4EAAC"/>
  </sheetPr>
  <dimension ref="A1:CV48"/>
  <sheetViews>
    <sheetView zoomScale="85" zoomScaleNormal="85" workbookViewId="0">
      <selection activeCell="I33" sqref="I33"/>
    </sheetView>
  </sheetViews>
  <sheetFormatPr defaultColWidth="9.109375" defaultRowHeight="14.4" x14ac:dyDescent="0.3"/>
  <cols>
    <col min="1" max="1" width="14.33203125" style="12" customWidth="1"/>
    <col min="2" max="16384" width="9.109375" style="12"/>
  </cols>
  <sheetData>
    <row r="1" spans="1:100" x14ac:dyDescent="0.3">
      <c r="A1" s="93" t="s">
        <v>19</v>
      </c>
      <c r="B1" s="93"/>
      <c r="C1" s="93"/>
    </row>
    <row r="2" spans="1:100" x14ac:dyDescent="0.3">
      <c r="A2" s="93"/>
      <c r="B2" s="93"/>
      <c r="C2" s="93"/>
    </row>
    <row r="3" spans="1:100" x14ac:dyDescent="0.3">
      <c r="A3" s="93"/>
      <c r="B3" s="93"/>
      <c r="C3" s="93"/>
      <c r="CV3" s="12">
        <v>304.22862660703288</v>
      </c>
    </row>
    <row r="48" spans="10:10" x14ac:dyDescent="0.3">
      <c r="J48" s="14"/>
    </row>
  </sheetData>
  <mergeCells count="1">
    <mergeCell ref="A1:C3"/>
  </mergeCells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57F4D-C6E7-4D71-B847-9A040D27AB30}">
  <sheetPr codeName="Sheet6">
    <tabColor rgb="FFA4EAAC"/>
  </sheetPr>
  <dimension ref="A1:CV3"/>
  <sheetViews>
    <sheetView zoomScale="85" zoomScaleNormal="85" workbookViewId="0">
      <selection activeCell="H33" sqref="H33"/>
    </sheetView>
  </sheetViews>
  <sheetFormatPr defaultColWidth="9.109375" defaultRowHeight="14.4" x14ac:dyDescent="0.3"/>
  <cols>
    <col min="1" max="1" width="14.5546875" style="12" customWidth="1"/>
    <col min="2" max="16384" width="9.109375" style="12"/>
  </cols>
  <sheetData>
    <row r="1" spans="1:100" x14ac:dyDescent="0.3">
      <c r="A1" s="93" t="s">
        <v>18</v>
      </c>
      <c r="B1" s="93"/>
      <c r="C1" s="93"/>
    </row>
    <row r="2" spans="1:100" x14ac:dyDescent="0.3">
      <c r="A2" s="93"/>
      <c r="B2" s="93"/>
      <c r="C2" s="93"/>
    </row>
    <row r="3" spans="1:100" x14ac:dyDescent="0.3">
      <c r="A3" s="93"/>
      <c r="B3" s="93"/>
      <c r="C3" s="93"/>
      <c r="CV3" s="12">
        <v>0</v>
      </c>
    </row>
  </sheetData>
  <mergeCells count="1">
    <mergeCell ref="A1:C3"/>
  </mergeCells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6C693-E044-4E04-AACD-BC4B68C129C6}">
  <sheetPr codeName="Feuil1">
    <tabColor rgb="FFA4EAAC"/>
  </sheetPr>
  <dimension ref="A1:CV4"/>
  <sheetViews>
    <sheetView zoomScale="70" zoomScaleNormal="70" workbookViewId="0">
      <selection activeCell="C43" sqref="C43"/>
    </sheetView>
  </sheetViews>
  <sheetFormatPr defaultColWidth="11.44140625" defaultRowHeight="14.4" x14ac:dyDescent="0.3"/>
  <cols>
    <col min="1" max="1" width="13.88671875" style="12" customWidth="1"/>
    <col min="2" max="16384" width="11.44140625" style="12"/>
  </cols>
  <sheetData>
    <row r="1" spans="1:100" x14ac:dyDescent="0.3">
      <c r="A1" s="93" t="s">
        <v>21</v>
      </c>
      <c r="B1" s="93"/>
      <c r="C1" s="93"/>
    </row>
    <row r="2" spans="1:100" x14ac:dyDescent="0.3">
      <c r="A2" s="93"/>
      <c r="B2" s="93"/>
      <c r="C2" s="93"/>
    </row>
    <row r="3" spans="1:100" x14ac:dyDescent="0.3">
      <c r="A3" s="93"/>
      <c r="B3" s="93"/>
      <c r="C3" s="93"/>
    </row>
    <row r="4" spans="1:100" x14ac:dyDescent="0.3">
      <c r="CV4" s="12">
        <v>1.8414687115318153E-9</v>
      </c>
    </row>
  </sheetData>
  <mergeCells count="1">
    <mergeCell ref="A1:C3"/>
  </mergeCells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D92C9-2F47-437B-8D45-FD2D7D9739CC}">
  <sheetPr codeName="Sheet4">
    <tabColor theme="5" tint="0.59999389629810485"/>
  </sheetPr>
  <dimension ref="V16"/>
  <sheetViews>
    <sheetView topLeftCell="A4" zoomScale="85" zoomScaleNormal="85" workbookViewId="0">
      <selection activeCell="S19" sqref="S19"/>
    </sheetView>
  </sheetViews>
  <sheetFormatPr defaultColWidth="8.88671875" defaultRowHeight="14.4" x14ac:dyDescent="0.3"/>
  <cols>
    <col min="1" max="16384" width="8.88671875" style="3"/>
  </cols>
  <sheetData>
    <row r="16" spans="22:22" x14ac:dyDescent="0.3">
      <c r="V16" s="3" t="s">
        <v>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generate_greeks_graphs">
                <anchor moveWithCells="1" sizeWithCells="1">
                  <from>
                    <xdr:col>17</xdr:col>
                    <xdr:colOff>60960</xdr:colOff>
                    <xdr:row>3</xdr:row>
                    <xdr:rowOff>99060</xdr:rowOff>
                  </from>
                  <to>
                    <xdr:col>20</xdr:col>
                    <xdr:colOff>541020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9AB1-39C3-4E02-B137-1C28B1AE1CC1}">
  <sheetPr codeName="Sheet1">
    <tabColor rgb="FFFFFF99"/>
  </sheetPr>
  <dimension ref="A1:O56"/>
  <sheetViews>
    <sheetView topLeftCell="A30" zoomScale="85" zoomScaleNormal="85" workbookViewId="0">
      <selection activeCell="E36" sqref="E36"/>
    </sheetView>
  </sheetViews>
  <sheetFormatPr defaultColWidth="9.109375" defaultRowHeight="14.4" x14ac:dyDescent="0.3"/>
  <cols>
    <col min="1" max="2" width="9.109375" style="3"/>
    <col min="3" max="4" width="13.33203125" style="3" customWidth="1"/>
    <col min="5" max="5" width="15.6640625" style="3" customWidth="1"/>
    <col min="6" max="6" width="17.109375" style="3" customWidth="1"/>
    <col min="7" max="7" width="9.109375" style="3" customWidth="1"/>
    <col min="8" max="9" width="9.109375" style="3"/>
    <col min="10" max="10" width="9" style="3" customWidth="1"/>
    <col min="11" max="16384" width="9.109375" style="3"/>
  </cols>
  <sheetData>
    <row r="1" spans="1:10" x14ac:dyDescent="0.3">
      <c r="A1" s="94" t="s">
        <v>34</v>
      </c>
      <c r="B1" s="94"/>
      <c r="C1" s="94"/>
      <c r="H1" s="94" t="s">
        <v>37</v>
      </c>
      <c r="I1" s="94"/>
      <c r="J1" s="94"/>
    </row>
    <row r="2" spans="1:10" x14ac:dyDescent="0.3">
      <c r="A2" s="94"/>
      <c r="B2" s="94"/>
      <c r="C2" s="94"/>
      <c r="H2" s="94"/>
      <c r="I2" s="94"/>
      <c r="J2" s="94"/>
    </row>
    <row r="3" spans="1:10" x14ac:dyDescent="0.3">
      <c r="A3" s="94"/>
      <c r="B3" s="94"/>
      <c r="C3" s="94"/>
      <c r="H3" s="94"/>
      <c r="I3" s="94"/>
      <c r="J3" s="94"/>
    </row>
    <row r="4" spans="1:10" ht="12.45" customHeight="1" x14ac:dyDescent="0.3">
      <c r="A4" s="7"/>
      <c r="B4" s="7"/>
      <c r="C4" s="7"/>
    </row>
    <row r="5" spans="1:10" ht="16.2" thickBot="1" x14ac:dyDescent="0.35">
      <c r="A5" s="95" t="s">
        <v>36</v>
      </c>
      <c r="B5" s="95"/>
      <c r="C5" s="95"/>
      <c r="D5" s="95"/>
      <c r="E5" s="95"/>
      <c r="F5" s="95"/>
    </row>
    <row r="6" spans="1:10" ht="14.4" customHeight="1" x14ac:dyDescent="0.3">
      <c r="A6" s="76" t="s">
        <v>6</v>
      </c>
      <c r="B6" s="76" t="s">
        <v>7</v>
      </c>
      <c r="C6" s="76" t="s">
        <v>2</v>
      </c>
      <c r="D6" s="76" t="s">
        <v>20</v>
      </c>
      <c r="E6" s="76" t="s">
        <v>8</v>
      </c>
      <c r="F6" s="76" t="s">
        <v>9</v>
      </c>
    </row>
    <row r="7" spans="1:10" ht="14.4" customHeight="1" thickBot="1" x14ac:dyDescent="0.35">
      <c r="A7" s="78"/>
      <c r="B7" s="78"/>
      <c r="C7" s="78"/>
      <c r="D7" s="78"/>
      <c r="E7" s="78"/>
      <c r="F7" s="78"/>
    </row>
    <row r="8" spans="1:10" x14ac:dyDescent="0.3">
      <c r="A8" s="4">
        <f>1</f>
        <v>1</v>
      </c>
      <c r="B8" s="4">
        <v>6.4111543193924039</v>
      </c>
      <c r="C8" s="4">
        <v>0</v>
      </c>
      <c r="D8" s="4">
        <v>7.9244584022644498</v>
      </c>
      <c r="E8" s="5">
        <f>IF(D8&lt;&gt;"" &amp; B8&lt;&gt;"",D8-B8,"")</f>
        <v>1.5133040828720459</v>
      </c>
      <c r="F8" s="5">
        <f>IF($E8&lt;&gt;"", $E8*$A8, "")</f>
        <v>1.5133040828720459</v>
      </c>
    </row>
    <row r="9" spans="1:10" x14ac:dyDescent="0.3">
      <c r="A9" s="2">
        <v>5</v>
      </c>
      <c r="B9" s="4">
        <v>7.7439234021276286</v>
      </c>
      <c r="C9" s="2">
        <v>0</v>
      </c>
      <c r="D9" s="4">
        <v>7.9244584022644498</v>
      </c>
      <c r="E9" s="5">
        <f t="shared" ref="E9:E56" si="0">IF(D9&lt;&gt;"" &amp; B9&lt;&gt;"",D9-B9,"")</f>
        <v>0.18053500013682111</v>
      </c>
      <c r="F9" s="1">
        <f t="shared" ref="F9:F56" si="1">IF($E9&lt;&gt;"", $E9*$A9, "")</f>
        <v>0.90267500068410556</v>
      </c>
    </row>
    <row r="10" spans="1:10" x14ac:dyDescent="0.3">
      <c r="A10" s="2">
        <v>10</v>
      </c>
      <c r="B10" s="4">
        <v>7.8760813936667278</v>
      </c>
      <c r="C10" s="2">
        <v>0</v>
      </c>
      <c r="D10" s="4">
        <v>7.9244584022644498</v>
      </c>
      <c r="E10" s="5">
        <f t="shared" si="0"/>
        <v>4.8377008597721982E-2</v>
      </c>
      <c r="F10" s="1">
        <f t="shared" si="1"/>
        <v>0.48377008597721982</v>
      </c>
    </row>
    <row r="11" spans="1:10" x14ac:dyDescent="0.3">
      <c r="A11" s="2">
        <v>20</v>
      </c>
      <c r="B11" s="4">
        <v>7.9227284913859286</v>
      </c>
      <c r="C11" s="2">
        <v>0</v>
      </c>
      <c r="D11" s="4">
        <v>7.9244584022644498</v>
      </c>
      <c r="E11" s="5">
        <f t="shared" si="0"/>
        <v>1.7299108785211459E-3</v>
      </c>
      <c r="F11" s="1">
        <f t="shared" si="1"/>
        <v>3.4598217570422918E-2</v>
      </c>
    </row>
    <row r="12" spans="1:10" x14ac:dyDescent="0.3">
      <c r="A12" s="2">
        <v>30</v>
      </c>
      <c r="B12" s="4">
        <v>7.9325628174417844</v>
      </c>
      <c r="C12" s="2">
        <v>3.90625E-3</v>
      </c>
      <c r="D12" s="4">
        <v>7.9244584022644498</v>
      </c>
      <c r="E12" s="5">
        <f t="shared" si="0"/>
        <v>-8.1044151773346229E-3</v>
      </c>
      <c r="F12" s="1">
        <f t="shared" si="1"/>
        <v>-0.24313245532003869</v>
      </c>
    </row>
    <row r="13" spans="1:10" x14ac:dyDescent="0.3">
      <c r="A13" s="2">
        <v>50</v>
      </c>
      <c r="B13" s="4">
        <v>7.9360523685376529</v>
      </c>
      <c r="C13" s="2">
        <v>3.90625E-3</v>
      </c>
      <c r="D13" s="4">
        <v>7.9244584022644498</v>
      </c>
      <c r="E13" s="5">
        <f t="shared" si="0"/>
        <v>-1.1593966273203193E-2</v>
      </c>
      <c r="F13" s="1">
        <f t="shared" si="1"/>
        <v>-0.57969831366015967</v>
      </c>
    </row>
    <row r="14" spans="1:10" x14ac:dyDescent="0.3">
      <c r="A14" s="2">
        <v>75</v>
      </c>
      <c r="B14" s="4">
        <v>7.9350348409941054</v>
      </c>
      <c r="C14" s="2">
        <v>3.125E-2</v>
      </c>
      <c r="D14" s="4">
        <v>7.9244584022644498</v>
      </c>
      <c r="E14" s="5">
        <f t="shared" si="0"/>
        <v>-1.0576438729655635E-2</v>
      </c>
      <c r="F14" s="1">
        <f t="shared" si="1"/>
        <v>-0.79323290472417263</v>
      </c>
    </row>
    <row r="15" spans="1:10" x14ac:dyDescent="0.3">
      <c r="A15" s="2">
        <v>100</v>
      </c>
      <c r="B15" s="4">
        <v>7.9332578409381078</v>
      </c>
      <c r="C15" s="2">
        <v>3.90625E-2</v>
      </c>
      <c r="D15" s="4">
        <v>7.9244584022644498</v>
      </c>
      <c r="E15" s="5">
        <f t="shared" si="0"/>
        <v>-8.7994386736580665E-3</v>
      </c>
      <c r="F15" s="1">
        <f t="shared" si="1"/>
        <v>-0.87994386736580665</v>
      </c>
    </row>
    <row r="16" spans="1:10" x14ac:dyDescent="0.3">
      <c r="A16" s="2">
        <v>125</v>
      </c>
      <c r="B16" s="4">
        <v>7.9315462232868263</v>
      </c>
      <c r="C16" s="2">
        <v>5.859375E-2</v>
      </c>
      <c r="D16" s="4">
        <v>7.9244584022644498</v>
      </c>
      <c r="E16" s="5">
        <f t="shared" si="0"/>
        <v>-7.0878210223765947E-3</v>
      </c>
      <c r="F16" s="1">
        <f t="shared" si="1"/>
        <v>-0.88597762779707434</v>
      </c>
    </row>
    <row r="17" spans="1:10" x14ac:dyDescent="0.3">
      <c r="A17" s="2">
        <f>A16+25</f>
        <v>150</v>
      </c>
      <c r="B17" s="4">
        <v>7.9300239492371754</v>
      </c>
      <c r="C17" s="2">
        <v>7.8125E-2</v>
      </c>
      <c r="D17" s="4">
        <v>7.9244584022644498</v>
      </c>
      <c r="E17" s="5">
        <f t="shared" si="0"/>
        <v>-5.5655469727255991E-3</v>
      </c>
      <c r="F17" s="1">
        <f t="shared" si="1"/>
        <v>-0.83483204590883986</v>
      </c>
    </row>
    <row r="18" spans="1:10" x14ac:dyDescent="0.3">
      <c r="A18" s="2">
        <f t="shared" ref="A18:A31" si="2">A17+25</f>
        <v>175</v>
      </c>
      <c r="B18" s="4">
        <v>7.928689345264833</v>
      </c>
      <c r="C18" s="2">
        <v>0.1015625</v>
      </c>
      <c r="D18" s="4">
        <v>7.9244584022644498</v>
      </c>
      <c r="E18" s="5">
        <f t="shared" si="0"/>
        <v>-4.2309430003832915E-3</v>
      </c>
      <c r="F18" s="1">
        <f t="shared" si="1"/>
        <v>-0.74041502506707602</v>
      </c>
    </row>
    <row r="19" spans="1:10" ht="14.4" customHeight="1" x14ac:dyDescent="0.3">
      <c r="A19" s="2">
        <f t="shared" si="2"/>
        <v>200</v>
      </c>
      <c r="B19" s="4">
        <v>7.9275172450645419</v>
      </c>
      <c r="C19" s="2">
        <v>0.125</v>
      </c>
      <c r="D19" s="4">
        <v>7.9244584022644498</v>
      </c>
      <c r="E19" s="5">
        <f t="shared" si="0"/>
        <v>-3.0588428000921652E-3</v>
      </c>
      <c r="F19" s="1">
        <f t="shared" si="1"/>
        <v>-0.61176856001843305</v>
      </c>
    </row>
    <row r="20" spans="1:10" ht="14.4" customHeight="1" x14ac:dyDescent="0.3">
      <c r="A20" s="2">
        <f t="shared" si="2"/>
        <v>225</v>
      </c>
      <c r="B20" s="4">
        <v>7.926481354396234</v>
      </c>
      <c r="C20" s="2">
        <v>0.1484375</v>
      </c>
      <c r="D20" s="4">
        <v>7.9244584022644498</v>
      </c>
      <c r="E20" s="5">
        <f t="shared" si="0"/>
        <v>-2.0229521317842725E-3</v>
      </c>
      <c r="F20" s="1">
        <f t="shared" si="1"/>
        <v>-0.45516422965146131</v>
      </c>
    </row>
    <row r="21" spans="1:10" ht="15" customHeight="1" x14ac:dyDescent="0.3">
      <c r="A21" s="2">
        <f>A20+25</f>
        <v>250</v>
      </c>
      <c r="B21" s="4">
        <v>7.9255590572392469</v>
      </c>
      <c r="C21" s="2">
        <v>0.16015625</v>
      </c>
      <c r="D21" s="4">
        <v>7.9244584022644498</v>
      </c>
      <c r="E21" s="5">
        <f t="shared" si="0"/>
        <v>-1.1006549747971661E-3</v>
      </c>
      <c r="F21" s="1">
        <f>IF($E21&lt;&gt;"", $E21*$A21, "")</f>
        <v>-0.27516374369929153</v>
      </c>
    </row>
    <row r="22" spans="1:10" x14ac:dyDescent="0.3">
      <c r="A22" s="2">
        <f>A21+25</f>
        <v>275</v>
      </c>
      <c r="B22" s="4">
        <v>7.9247318869271508</v>
      </c>
      <c r="C22" s="2">
        <v>0.1875</v>
      </c>
      <c r="D22" s="4">
        <v>7.9244584022644498</v>
      </c>
      <c r="E22" s="5">
        <f t="shared" si="0"/>
        <v>-2.7348466270105121E-4</v>
      </c>
      <c r="F22" s="1">
        <f t="shared" si="1"/>
        <v>-7.5208282242789082E-2</v>
      </c>
    </row>
    <row r="23" spans="1:10" x14ac:dyDescent="0.3">
      <c r="A23" s="2">
        <f t="shared" si="2"/>
        <v>300</v>
      </c>
      <c r="B23" s="4">
        <v>7.9239849682773604</v>
      </c>
      <c r="C23" s="2">
        <v>0.21875</v>
      </c>
      <c r="D23" s="4">
        <v>7.9244584022644498</v>
      </c>
      <c r="E23" s="5">
        <f t="shared" si="0"/>
        <v>4.7343398708932227E-4</v>
      </c>
      <c r="F23" s="1">
        <f t="shared" si="1"/>
        <v>0.14203019612679668</v>
      </c>
    </row>
    <row r="24" spans="1:10" x14ac:dyDescent="0.3">
      <c r="A24" s="2">
        <f t="shared" si="2"/>
        <v>325</v>
      </c>
      <c r="B24" s="4">
        <v>7.9233063168472642</v>
      </c>
      <c r="C24" s="2">
        <v>0.234375</v>
      </c>
      <c r="D24" s="4">
        <v>7.9244584022644498</v>
      </c>
      <c r="E24" s="5">
        <f t="shared" si="0"/>
        <v>1.1520854171855888E-3</v>
      </c>
      <c r="F24" s="1">
        <f t="shared" si="1"/>
        <v>0.37442776058531635</v>
      </c>
    </row>
    <row r="25" spans="1:10" x14ac:dyDescent="0.3">
      <c r="A25" s="2">
        <f t="shared" si="2"/>
        <v>350</v>
      </c>
      <c r="B25" s="4">
        <v>7.922686222447421</v>
      </c>
      <c r="C25" s="2">
        <v>0.26171875</v>
      </c>
      <c r="D25" s="4">
        <v>7.9244584022644498</v>
      </c>
      <c r="E25" s="5">
        <f t="shared" si="0"/>
        <v>1.7721798170287073E-3</v>
      </c>
      <c r="F25" s="1">
        <f t="shared" si="1"/>
        <v>0.62026293596004756</v>
      </c>
    </row>
    <row r="26" spans="1:10" x14ac:dyDescent="0.3">
      <c r="A26" s="2">
        <f t="shared" si="2"/>
        <v>375</v>
      </c>
      <c r="B26" s="4">
        <v>7.9221167559101922</v>
      </c>
      <c r="C26" s="2">
        <v>0.2890625</v>
      </c>
      <c r="D26" s="4">
        <v>7.9244584022644498</v>
      </c>
      <c r="E26" s="5">
        <f t="shared" si="0"/>
        <v>2.3416463542575983E-3</v>
      </c>
      <c r="F26" s="1">
        <f t="shared" si="1"/>
        <v>0.87811738284659935</v>
      </c>
    </row>
    <row r="27" spans="1:10" x14ac:dyDescent="0.3">
      <c r="A27" s="2">
        <f t="shared" si="2"/>
        <v>400</v>
      </c>
      <c r="B27" s="4">
        <v>7.9215913871517323</v>
      </c>
      <c r="C27" s="2">
        <v>0.3125</v>
      </c>
      <c r="D27" s="4">
        <v>7.9244584022644498</v>
      </c>
      <c r="E27" s="5">
        <f t="shared" si="0"/>
        <v>2.8670151127174748E-3</v>
      </c>
      <c r="F27" s="1">
        <f t="shared" si="1"/>
        <v>1.1468060450869899</v>
      </c>
    </row>
    <row r="28" spans="1:10" x14ac:dyDescent="0.3">
      <c r="A28" s="2">
        <f t="shared" si="2"/>
        <v>425</v>
      </c>
      <c r="B28" s="4">
        <v>7.9211046923796253</v>
      </c>
      <c r="C28" s="2">
        <v>0.359375</v>
      </c>
      <c r="D28" s="4">
        <v>7.9244584022644498</v>
      </c>
      <c r="E28" s="5">
        <f t="shared" si="0"/>
        <v>3.3537098848244185E-3</v>
      </c>
      <c r="F28" s="1">
        <f t="shared" si="1"/>
        <v>1.4253267010503778</v>
      </c>
    </row>
    <row r="29" spans="1:10" x14ac:dyDescent="0.3">
      <c r="A29" s="2">
        <f t="shared" si="2"/>
        <v>450</v>
      </c>
      <c r="B29" s="4">
        <v>7.9206521294651138</v>
      </c>
      <c r="C29" s="2">
        <v>0.3828125</v>
      </c>
      <c r="D29" s="4">
        <v>7.9244584022644498</v>
      </c>
      <c r="E29" s="5">
        <f t="shared" si="0"/>
        <v>3.8062727993359857E-3</v>
      </c>
      <c r="F29" s="1">
        <f t="shared" si="1"/>
        <v>1.7128227597011936</v>
      </c>
    </row>
    <row r="30" spans="1:10" x14ac:dyDescent="0.3">
      <c r="A30" s="2">
        <f t="shared" si="2"/>
        <v>475</v>
      </c>
      <c r="B30" s="4">
        <v>7.9211590821592281</v>
      </c>
      <c r="C30" s="2">
        <v>0.41015625</v>
      </c>
      <c r="D30" s="4">
        <v>7.9244584022644498</v>
      </c>
      <c r="E30" s="5">
        <f t="shared" si="0"/>
        <v>3.2993201052216037E-3</v>
      </c>
      <c r="F30" s="1">
        <f t="shared" si="1"/>
        <v>1.5671770499802617</v>
      </c>
    </row>
    <row r="31" spans="1:10" x14ac:dyDescent="0.3">
      <c r="A31" s="2">
        <f t="shared" si="2"/>
        <v>500</v>
      </c>
      <c r="B31" s="4">
        <v>7.9218517835899025</v>
      </c>
      <c r="C31" s="2">
        <v>0.453125</v>
      </c>
      <c r="D31" s="4">
        <v>7.9244584022644498</v>
      </c>
      <c r="E31" s="5">
        <f t="shared" si="0"/>
        <v>2.6066186745472564E-3</v>
      </c>
      <c r="F31" s="1">
        <f t="shared" si="1"/>
        <v>1.3033093372736282</v>
      </c>
    </row>
    <row r="32" spans="1:10" x14ac:dyDescent="0.3">
      <c r="A32" s="2">
        <f>A31+50</f>
        <v>550</v>
      </c>
      <c r="B32" s="4">
        <v>7.922936996480753</v>
      </c>
      <c r="C32" s="2">
        <v>0.52734375</v>
      </c>
      <c r="D32" s="4">
        <v>7.9244584022644498</v>
      </c>
      <c r="E32" s="5">
        <f t="shared" si="0"/>
        <v>1.5214057836967498E-3</v>
      </c>
      <c r="F32" s="1">
        <f t="shared" si="1"/>
        <v>0.83677318103321241</v>
      </c>
      <c r="H32" s="94" t="s">
        <v>38</v>
      </c>
      <c r="I32" s="94"/>
      <c r="J32" s="94"/>
    </row>
    <row r="33" spans="1:15" x14ac:dyDescent="0.3">
      <c r="A33" s="2">
        <f t="shared" ref="A33:A41" si="3">A32+50</f>
        <v>600</v>
      </c>
      <c r="B33" s="4">
        <v>7.9237202552972494</v>
      </c>
      <c r="C33" s="2">
        <v>0.60546875</v>
      </c>
      <c r="D33" s="4">
        <v>7.9244584022644498</v>
      </c>
      <c r="E33" s="5">
        <f t="shared" si="0"/>
        <v>7.3814696720031492E-4</v>
      </c>
      <c r="F33" s="1">
        <f t="shared" si="1"/>
        <v>0.44288818032018895</v>
      </c>
      <c r="H33" s="94"/>
      <c r="I33" s="94"/>
      <c r="J33" s="94"/>
      <c r="K33" s="96" t="s">
        <v>39</v>
      </c>
      <c r="L33" s="97"/>
      <c r="M33" s="97"/>
      <c r="N33" s="97"/>
      <c r="O33" s="97"/>
    </row>
    <row r="34" spans="1:15" x14ac:dyDescent="0.3">
      <c r="A34" s="2">
        <f t="shared" si="3"/>
        <v>650</v>
      </c>
      <c r="B34" s="4">
        <v>7.9242848446377101</v>
      </c>
      <c r="C34" s="2">
        <v>0.66796875</v>
      </c>
      <c r="D34" s="4">
        <v>7.9244584022644498</v>
      </c>
      <c r="E34" s="5">
        <f t="shared" si="0"/>
        <v>1.7355762673965103E-4</v>
      </c>
      <c r="F34" s="1">
        <f t="shared" si="1"/>
        <v>0.11281245738077317</v>
      </c>
      <c r="H34" s="94"/>
      <c r="I34" s="94"/>
      <c r="J34" s="94"/>
    </row>
    <row r="35" spans="1:15" x14ac:dyDescent="0.3">
      <c r="A35" s="2">
        <f t="shared" si="3"/>
        <v>700</v>
      </c>
      <c r="B35" s="4">
        <v>7.9246878866685293</v>
      </c>
      <c r="C35" s="2">
        <v>0.734375</v>
      </c>
      <c r="D35" s="4">
        <v>7.9244584022644498</v>
      </c>
      <c r="E35" s="5">
        <f t="shared" si="0"/>
        <v>-2.2948440407954962E-4</v>
      </c>
      <c r="F35" s="1">
        <f t="shared" si="1"/>
        <v>-0.16063908285568473</v>
      </c>
      <c r="H35" s="3" t="s">
        <v>47</v>
      </c>
    </row>
    <row r="36" spans="1:15" x14ac:dyDescent="0.3">
      <c r="A36" s="2">
        <f t="shared" si="3"/>
        <v>750</v>
      </c>
      <c r="B36" s="4">
        <v>7.9249696005398</v>
      </c>
      <c r="C36" s="2">
        <v>0.81640625</v>
      </c>
      <c r="D36" s="4">
        <v>7.9244584022644498</v>
      </c>
      <c r="E36" s="5">
        <f t="shared" si="0"/>
        <v>-5.1119827535028861E-4</v>
      </c>
      <c r="F36" s="1">
        <f t="shared" si="1"/>
        <v>-0.38339870651271646</v>
      </c>
    </row>
    <row r="37" spans="1:15" x14ac:dyDescent="0.3">
      <c r="A37" s="2">
        <f t="shared" si="3"/>
        <v>800</v>
      </c>
      <c r="B37" s="4">
        <v>7.9251589416189709</v>
      </c>
      <c r="C37" s="2">
        <v>0.91796875</v>
      </c>
      <c r="D37" s="4">
        <v>7.9244584022644498</v>
      </c>
      <c r="E37" s="5">
        <f t="shared" si="0"/>
        <v>-7.0053935452119021E-4</v>
      </c>
      <c r="F37" s="1">
        <f t="shared" si="1"/>
        <v>-0.56043148361695216</v>
      </c>
    </row>
    <row r="38" spans="1:15" x14ac:dyDescent="0.3">
      <c r="A38" s="2">
        <f t="shared" si="3"/>
        <v>850</v>
      </c>
      <c r="B38" s="4">
        <v>7.9252771580370043</v>
      </c>
      <c r="C38" s="2">
        <v>1.01953125</v>
      </c>
      <c r="D38" s="4">
        <v>7.9244584022644498</v>
      </c>
      <c r="E38" s="5">
        <f t="shared" si="0"/>
        <v>-8.187557725545247E-4</v>
      </c>
      <c r="F38" s="1">
        <f t="shared" si="1"/>
        <v>-0.69594240667134599</v>
      </c>
    </row>
    <row r="39" spans="1:15" x14ac:dyDescent="0.3">
      <c r="A39" s="2">
        <f t="shared" si="3"/>
        <v>900</v>
      </c>
      <c r="B39" s="4">
        <v>7.9253401019741432</v>
      </c>
      <c r="C39" s="2">
        <v>1.16015625</v>
      </c>
      <c r="D39" s="4">
        <v>7.9244584022644498</v>
      </c>
      <c r="E39" s="5">
        <f t="shared" si="0"/>
        <v>-8.816997096934287E-4</v>
      </c>
      <c r="F39" s="1">
        <f t="shared" si="1"/>
        <v>-0.79352973872408583</v>
      </c>
    </row>
    <row r="40" spans="1:15" x14ac:dyDescent="0.3">
      <c r="A40" s="2">
        <f>A39+50</f>
        <v>950</v>
      </c>
      <c r="B40" s="4">
        <v>7.9253597715796538</v>
      </c>
      <c r="C40" s="2">
        <v>1.1796875</v>
      </c>
      <c r="D40" s="4">
        <v>7.9244584022644498</v>
      </c>
      <c r="E40" s="5">
        <f t="shared" si="0"/>
        <v>-9.0136931520401475E-4</v>
      </c>
      <c r="F40" s="1">
        <f t="shared" si="1"/>
        <v>-0.85630084944381402</v>
      </c>
    </row>
    <row r="41" spans="1:15" x14ac:dyDescent="0.3">
      <c r="A41" s="2">
        <f t="shared" si="3"/>
        <v>1000</v>
      </c>
      <c r="B41" s="4">
        <v>7.925345363293907</v>
      </c>
      <c r="C41" s="2">
        <v>1.28125</v>
      </c>
      <c r="D41" s="4">
        <v>7.9244584022644498</v>
      </c>
      <c r="E41" s="5">
        <f t="shared" si="0"/>
        <v>-8.8696102945728938E-4</v>
      </c>
      <c r="F41" s="1">
        <f t="shared" si="1"/>
        <v>-0.88696102945728938</v>
      </c>
    </row>
    <row r="42" spans="1:15" x14ac:dyDescent="0.3">
      <c r="A42" s="2">
        <f>A41+100</f>
        <v>1100</v>
      </c>
      <c r="B42" s="4">
        <v>7.9252412751636259</v>
      </c>
      <c r="C42" s="2">
        <v>1.625</v>
      </c>
      <c r="D42" s="4">
        <v>7.9244584022644498</v>
      </c>
      <c r="E42" s="5">
        <f t="shared" si="0"/>
        <v>-7.8287289917611247E-4</v>
      </c>
      <c r="F42" s="1">
        <f t="shared" si="1"/>
        <v>-0.86116018909372372</v>
      </c>
    </row>
    <row r="43" spans="1:15" x14ac:dyDescent="0.3">
      <c r="A43" s="2">
        <f t="shared" ref="A43:A56" si="4">A42+100</f>
        <v>1200</v>
      </c>
      <c r="B43" s="4">
        <v>7.9250684200004047</v>
      </c>
      <c r="C43" s="2">
        <v>1.73046875</v>
      </c>
      <c r="D43" s="4">
        <v>7.9244584022644498</v>
      </c>
      <c r="E43" s="5">
        <f t="shared" si="0"/>
        <v>-6.1001773595492637E-4</v>
      </c>
      <c r="F43" s="1">
        <f t="shared" si="1"/>
        <v>-0.73202128314591164</v>
      </c>
    </row>
    <row r="44" spans="1:15" x14ac:dyDescent="0.3">
      <c r="A44" s="2">
        <f t="shared" si="4"/>
        <v>1300</v>
      </c>
      <c r="B44" s="4">
        <v>7.9248523985223649</v>
      </c>
      <c r="C44" s="2">
        <v>1.93359375</v>
      </c>
      <c r="D44" s="4">
        <v>7.9244584022644498</v>
      </c>
      <c r="E44" s="5">
        <f t="shared" si="0"/>
        <v>-3.9399625791514126E-4</v>
      </c>
      <c r="F44" s="1">
        <f t="shared" si="1"/>
        <v>-0.51219513528968363</v>
      </c>
    </row>
    <row r="45" spans="1:15" x14ac:dyDescent="0.3">
      <c r="A45" s="2">
        <f t="shared" si="4"/>
        <v>1400</v>
      </c>
      <c r="B45" s="4">
        <v>7.924609792239429</v>
      </c>
      <c r="C45" s="2">
        <v>2.40625</v>
      </c>
      <c r="D45" s="4">
        <v>7.9244584022644498</v>
      </c>
      <c r="E45" s="5">
        <f t="shared" si="0"/>
        <v>-1.5138997497921025E-4</v>
      </c>
      <c r="F45" s="1">
        <f t="shared" si="1"/>
        <v>-0.21194596497089435</v>
      </c>
    </row>
    <row r="46" spans="1:15" x14ac:dyDescent="0.3">
      <c r="A46" s="2">
        <f t="shared" si="4"/>
        <v>1500</v>
      </c>
      <c r="B46" s="4">
        <v>7.9243515607073176</v>
      </c>
      <c r="C46" s="2">
        <v>2.47265625</v>
      </c>
      <c r="D46" s="4">
        <v>7.9244584022644498</v>
      </c>
      <c r="E46" s="5">
        <f t="shared" si="0"/>
        <v>1.0684155713214238E-4</v>
      </c>
      <c r="F46" s="1">
        <f t="shared" si="1"/>
        <v>0.16026233569821358</v>
      </c>
    </row>
    <row r="47" spans="1:15" x14ac:dyDescent="0.3">
      <c r="A47" s="2">
        <f t="shared" si="4"/>
        <v>1600</v>
      </c>
      <c r="B47" s="4">
        <v>7.9240850565855743</v>
      </c>
      <c r="C47" s="2">
        <v>2.5859375</v>
      </c>
      <c r="D47" s="4">
        <v>7.9244584022644498</v>
      </c>
      <c r="E47" s="5">
        <f t="shared" si="0"/>
        <v>3.7334567887548076E-4</v>
      </c>
      <c r="F47" s="1">
        <f t="shared" si="1"/>
        <v>0.59735308620076921</v>
      </c>
    </row>
    <row r="48" spans="1:15" x14ac:dyDescent="0.3">
      <c r="A48" s="2">
        <f t="shared" si="4"/>
        <v>1700</v>
      </c>
      <c r="B48" s="4">
        <v>7.9238152620970901</v>
      </c>
      <c r="C48" s="2">
        <v>3.0078125</v>
      </c>
      <c r="D48" s="4">
        <v>7.9244584022644498</v>
      </c>
      <c r="E48" s="5">
        <f t="shared" si="0"/>
        <v>6.4314016735966817E-4</v>
      </c>
      <c r="F48" s="1">
        <f t="shared" si="1"/>
        <v>1.0933382845114359</v>
      </c>
    </row>
    <row r="49" spans="1:6" x14ac:dyDescent="0.3">
      <c r="A49" s="2">
        <f t="shared" si="4"/>
        <v>1800</v>
      </c>
      <c r="B49" s="4">
        <v>7.92354557035413</v>
      </c>
      <c r="C49" s="2">
        <v>3.69921875</v>
      </c>
      <c r="D49" s="4">
        <v>7.9244584022644498</v>
      </c>
      <c r="E49" s="5">
        <f t="shared" si="0"/>
        <v>9.1283191031976685E-4</v>
      </c>
      <c r="F49" s="1">
        <f t="shared" si="1"/>
        <v>1.6430974385755803</v>
      </c>
    </row>
    <row r="50" spans="1:6" x14ac:dyDescent="0.3">
      <c r="A50" s="2">
        <f t="shared" si="4"/>
        <v>1900</v>
      </c>
      <c r="B50" s="2">
        <v>7.9237428994489685</v>
      </c>
      <c r="C50" s="2">
        <v>4.078125</v>
      </c>
      <c r="D50" s="4">
        <v>7.9244584022644498</v>
      </c>
      <c r="E50" s="5">
        <f t="shared" si="0"/>
        <v>7.1550281548127259E-4</v>
      </c>
      <c r="F50" s="1">
        <f t="shared" si="1"/>
        <v>1.3594553494144179</v>
      </c>
    </row>
    <row r="51" spans="1:6" x14ac:dyDescent="0.3">
      <c r="A51" s="2">
        <f t="shared" si="4"/>
        <v>2000</v>
      </c>
      <c r="B51" s="2">
        <v>7.9240235565193018</v>
      </c>
      <c r="C51" s="2">
        <v>4.60546875</v>
      </c>
      <c r="D51" s="4">
        <v>7.9244584022644498</v>
      </c>
      <c r="E51" s="5">
        <f t="shared" si="0"/>
        <v>4.3484574514796037E-4</v>
      </c>
      <c r="F51" s="1">
        <f t="shared" si="1"/>
        <v>0.86969149029592074</v>
      </c>
    </row>
    <row r="52" spans="1:6" x14ac:dyDescent="0.3">
      <c r="A52" s="2">
        <f t="shared" si="4"/>
        <v>2100</v>
      </c>
      <c r="B52" s="2">
        <v>7.9242442219647033</v>
      </c>
      <c r="C52" s="2">
        <v>4.35546875</v>
      </c>
      <c r="D52" s="4">
        <v>7.9244584022644498</v>
      </c>
      <c r="E52" s="5">
        <f t="shared" si="0"/>
        <v>2.1418029974640262E-4</v>
      </c>
      <c r="F52" s="1">
        <f t="shared" si="1"/>
        <v>0.44977862946744551</v>
      </c>
    </row>
    <row r="53" spans="1:6" x14ac:dyDescent="0.3">
      <c r="A53" s="2">
        <f t="shared" si="4"/>
        <v>2200</v>
      </c>
      <c r="B53" s="2">
        <v>7.9244153041337944</v>
      </c>
      <c r="C53" s="2">
        <v>4.7578125</v>
      </c>
      <c r="D53" s="4">
        <v>7.9244584022644498</v>
      </c>
      <c r="E53" s="5">
        <f t="shared" si="0"/>
        <v>4.3098130655394584E-5</v>
      </c>
      <c r="F53" s="1">
        <f t="shared" si="1"/>
        <v>9.4815887441868085E-2</v>
      </c>
    </row>
    <row r="54" spans="1:6" x14ac:dyDescent="0.3">
      <c r="A54" s="2">
        <f t="shared" si="4"/>
        <v>2300</v>
      </c>
      <c r="B54" s="2">
        <v>7.9245451635332884</v>
      </c>
      <c r="C54" s="2">
        <v>4.37890625</v>
      </c>
      <c r="D54" s="4">
        <v>7.9244584022644498</v>
      </c>
      <c r="E54" s="5">
        <f t="shared" si="0"/>
        <v>-8.6761268838664307E-5</v>
      </c>
      <c r="F54" s="1">
        <f t="shared" si="1"/>
        <v>-0.19955091832892791</v>
      </c>
    </row>
    <row r="55" spans="1:6" x14ac:dyDescent="0.3">
      <c r="A55" s="2">
        <f t="shared" si="4"/>
        <v>2400</v>
      </c>
      <c r="B55" s="2">
        <v>7.924640573340425</v>
      </c>
      <c r="C55" s="2">
        <v>4.6953125</v>
      </c>
      <c r="D55" s="4">
        <v>7.9244584022644498</v>
      </c>
      <c r="E55" s="5">
        <f t="shared" si="0"/>
        <v>-1.8217107597529036E-4</v>
      </c>
      <c r="F55" s="1">
        <f t="shared" si="1"/>
        <v>-0.43721058234069687</v>
      </c>
    </row>
    <row r="56" spans="1:6" x14ac:dyDescent="0.3">
      <c r="A56" s="2">
        <f t="shared" si="4"/>
        <v>2500</v>
      </c>
      <c r="B56" s="2">
        <v>7.9247070638946164</v>
      </c>
      <c r="C56" s="2">
        <v>4.9921875</v>
      </c>
      <c r="D56" s="4">
        <v>7.9244584022644498</v>
      </c>
      <c r="E56" s="5">
        <f t="shared" si="0"/>
        <v>-2.4866163016667997E-4</v>
      </c>
      <c r="F56" s="1">
        <f t="shared" si="1"/>
        <v>-0.62165407541669992</v>
      </c>
    </row>
  </sheetData>
  <mergeCells count="11">
    <mergeCell ref="A1:C3"/>
    <mergeCell ref="A5:F5"/>
    <mergeCell ref="H1:J3"/>
    <mergeCell ref="K33:O33"/>
    <mergeCell ref="H32:J34"/>
    <mergeCell ref="E6:E7"/>
    <mergeCell ref="F6:F7"/>
    <mergeCell ref="A6:A7"/>
    <mergeCell ref="B6:B7"/>
    <mergeCell ref="C6:C7"/>
    <mergeCell ref="D6:D7"/>
  </mergeCells>
  <conditionalFormatting sqref="A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tudyConvergence">
                <anchor moveWithCells="1" sizeWithCells="1">
                  <from>
                    <xdr:col>3</xdr:col>
                    <xdr:colOff>937260</xdr:colOff>
                    <xdr:row>0</xdr:row>
                    <xdr:rowOff>76200</xdr:rowOff>
                  </from>
                  <to>
                    <xdr:col>5</xdr:col>
                    <xdr:colOff>1211580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generate_python_graphs">
                <anchor moveWithCells="1" sizeWithCells="1">
                  <from>
                    <xdr:col>15</xdr:col>
                    <xdr:colOff>403860</xdr:colOff>
                    <xdr:row>31</xdr:row>
                    <xdr:rowOff>22860</xdr:rowOff>
                  </from>
                  <to>
                    <xdr:col>19</xdr:col>
                    <xdr:colOff>259080</xdr:colOff>
                    <xdr:row>33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0DCD2-8E52-43C3-9D62-9746184DD861}">
  <sheetPr codeName="Sheet3">
    <tabColor rgb="FFFFFF99"/>
  </sheetPr>
  <dimension ref="A1:H37"/>
  <sheetViews>
    <sheetView tabSelected="1" topLeftCell="A6" zoomScale="85" zoomScaleNormal="85" workbookViewId="0">
      <selection activeCell="F7" sqref="F7"/>
    </sheetView>
  </sheetViews>
  <sheetFormatPr defaultColWidth="9" defaultRowHeight="14.4" x14ac:dyDescent="0.3"/>
  <cols>
    <col min="1" max="1" width="16" style="3" customWidth="1"/>
    <col min="2" max="2" width="14.6640625" style="3" customWidth="1"/>
    <col min="3" max="3" width="13" style="3" customWidth="1"/>
    <col min="4" max="4" width="15.109375" style="3" customWidth="1"/>
    <col min="5" max="5" width="15.44140625" style="3" customWidth="1"/>
    <col min="6" max="6" width="15.109375" style="3" customWidth="1"/>
    <col min="7" max="16384" width="9" style="3"/>
  </cols>
  <sheetData>
    <row r="1" spans="1:8" x14ac:dyDescent="0.3">
      <c r="A1" s="98" t="s">
        <v>40</v>
      </c>
      <c r="B1" s="98"/>
      <c r="C1" s="98"/>
    </row>
    <row r="2" spans="1:8" x14ac:dyDescent="0.3">
      <c r="A2" s="98"/>
      <c r="B2" s="98"/>
      <c r="C2" s="98"/>
    </row>
    <row r="3" spans="1:8" x14ac:dyDescent="0.3">
      <c r="A3" s="98"/>
      <c r="B3" s="98"/>
      <c r="C3" s="98"/>
    </row>
    <row r="4" spans="1:8" x14ac:dyDescent="0.3">
      <c r="H4" s="13"/>
    </row>
    <row r="5" spans="1:8" ht="16.2" thickBot="1" x14ac:dyDescent="0.35">
      <c r="A5" s="95" t="s">
        <v>36</v>
      </c>
      <c r="B5" s="95"/>
      <c r="C5" s="95"/>
      <c r="D5" s="95"/>
      <c r="E5" s="95"/>
      <c r="F5" s="95"/>
    </row>
    <row r="6" spans="1:8" ht="27.75" customHeight="1" x14ac:dyDescent="0.3">
      <c r="A6" s="8" t="s">
        <v>14</v>
      </c>
      <c r="B6" s="8" t="s">
        <v>29</v>
      </c>
      <c r="C6" s="8" t="s">
        <v>30</v>
      </c>
      <c r="D6" s="8" t="s">
        <v>41</v>
      </c>
      <c r="E6" s="8" t="s">
        <v>42</v>
      </c>
      <c r="F6" s="8" t="s">
        <v>43</v>
      </c>
    </row>
    <row r="7" spans="1:8" x14ac:dyDescent="0.3">
      <c r="A7" s="10">
        <v>85</v>
      </c>
      <c r="B7" s="11">
        <v>18.359290297077333</v>
      </c>
      <c r="C7" s="9">
        <v>18.360000397259924</v>
      </c>
      <c r="D7" s="9"/>
      <c r="E7" s="9"/>
      <c r="F7" s="9">
        <f t="shared" ref="F7:F37" si="0">B7-C7</f>
        <v>-7.1010018259087815E-4</v>
      </c>
    </row>
    <row r="8" spans="1:8" x14ac:dyDescent="0.3">
      <c r="A8" s="10">
        <v>86</v>
      </c>
      <c r="B8" s="11">
        <v>17.547116518290395</v>
      </c>
      <c r="C8" s="9">
        <v>17.561562855381162</v>
      </c>
      <c r="D8" s="9">
        <f t="shared" ref="D8:D37" si="1">(B8-B7)/(A8-A7)</f>
        <v>-0.81217377878693853</v>
      </c>
      <c r="E8" s="9">
        <f t="shared" ref="E8:E37" si="2">(C8-C7)/(A8-A7)</f>
        <v>-0.79843754187876215</v>
      </c>
      <c r="F8" s="9">
        <f t="shared" si="0"/>
        <v>-1.4446337090767258E-2</v>
      </c>
    </row>
    <row r="9" spans="1:8" x14ac:dyDescent="0.3">
      <c r="A9" s="10">
        <v>87</v>
      </c>
      <c r="B9" s="11">
        <v>16.787150210512486</v>
      </c>
      <c r="C9" s="9">
        <v>16.780111525595807</v>
      </c>
      <c r="D9" s="9">
        <f t="shared" si="1"/>
        <v>-0.75996630777790841</v>
      </c>
      <c r="E9" s="9">
        <f t="shared" si="2"/>
        <v>-0.78145132978535514</v>
      </c>
      <c r="F9" s="9">
        <f t="shared" si="0"/>
        <v>7.0386849166794718E-3</v>
      </c>
    </row>
    <row r="10" spans="1:8" x14ac:dyDescent="0.3">
      <c r="A10" s="10">
        <v>88</v>
      </c>
      <c r="B10" s="11">
        <v>16.027183902734581</v>
      </c>
      <c r="C10" s="9">
        <v>16.016380566740658</v>
      </c>
      <c r="D10" s="9">
        <f t="shared" si="1"/>
        <v>-0.75996630777790486</v>
      </c>
      <c r="E10" s="9">
        <f t="shared" si="2"/>
        <v>-0.76373095885514886</v>
      </c>
      <c r="F10" s="9">
        <f t="shared" si="0"/>
        <v>1.0803335993923469E-2</v>
      </c>
    </row>
    <row r="11" spans="1:8" x14ac:dyDescent="0.3">
      <c r="A11" s="10">
        <v>89</v>
      </c>
      <c r="B11" s="11">
        <v>15.267217594956676</v>
      </c>
      <c r="C11" s="9">
        <v>15.271053312226293</v>
      </c>
      <c r="D11" s="9">
        <f t="shared" si="1"/>
        <v>-0.75996630777790486</v>
      </c>
      <c r="E11" s="9">
        <f t="shared" si="2"/>
        <v>-0.74532725451436477</v>
      </c>
      <c r="F11" s="9">
        <f t="shared" si="0"/>
        <v>-3.8357172696166231E-3</v>
      </c>
    </row>
    <row r="12" spans="1:8" x14ac:dyDescent="0.3">
      <c r="A12" s="10">
        <v>90</v>
      </c>
      <c r="B12" s="11">
        <v>14.529694547606152</v>
      </c>
      <c r="C12" s="9">
        <v>14.544756863651113</v>
      </c>
      <c r="D12" s="9">
        <f t="shared" si="1"/>
        <v>-0.73752304735052476</v>
      </c>
      <c r="E12" s="9">
        <f t="shared" si="2"/>
        <v>-0.72629644857518016</v>
      </c>
      <c r="F12" s="9">
        <f t="shared" si="0"/>
        <v>-1.5062316044961221E-2</v>
      </c>
    </row>
    <row r="13" spans="1:8" x14ac:dyDescent="0.3">
      <c r="A13" s="10">
        <v>91</v>
      </c>
      <c r="B13" s="11">
        <v>13.847202599172487</v>
      </c>
      <c r="C13" s="9">
        <v>13.83805740546765</v>
      </c>
      <c r="D13" s="9">
        <f t="shared" si="1"/>
        <v>-0.68249194843366467</v>
      </c>
      <c r="E13" s="9">
        <f t="shared" si="2"/>
        <v>-0.70669945818346314</v>
      </c>
      <c r="F13" s="9">
        <f t="shared" si="0"/>
        <v>9.14519370483724E-3</v>
      </c>
    </row>
    <row r="14" spans="1:8" x14ac:dyDescent="0.3">
      <c r="A14" s="10">
        <v>92</v>
      </c>
      <c r="B14" s="11">
        <v>13.164710650738822</v>
      </c>
      <c r="C14" s="9">
        <v>13.151456287533884</v>
      </c>
      <c r="D14" s="9">
        <f t="shared" si="1"/>
        <v>-0.68249194843366467</v>
      </c>
      <c r="E14" s="9">
        <f t="shared" si="2"/>
        <v>-0.68660111793376544</v>
      </c>
      <c r="F14" s="9">
        <f t="shared" si="0"/>
        <v>1.3254363204938002E-2</v>
      </c>
    </row>
    <row r="15" spans="1:8" x14ac:dyDescent="0.3">
      <c r="A15" s="10">
        <v>93</v>
      </c>
      <c r="B15" s="11">
        <v>12.482218702305161</v>
      </c>
      <c r="C15" s="9">
        <v>12.485386905557602</v>
      </c>
      <c r="D15" s="9">
        <f t="shared" si="1"/>
        <v>-0.68249194843366112</v>
      </c>
      <c r="E15" s="9">
        <f t="shared" si="2"/>
        <v>-0.66606938197628196</v>
      </c>
      <c r="F15" s="9">
        <f t="shared" si="0"/>
        <v>-3.1682032524411596E-3</v>
      </c>
    </row>
    <row r="16" spans="1:8" x14ac:dyDescent="0.3">
      <c r="A16" s="10">
        <v>94</v>
      </c>
      <c r="B16" s="11">
        <v>11.818697933764469</v>
      </c>
      <c r="C16" s="9">
        <v>11.840212393091004</v>
      </c>
      <c r="D16" s="9">
        <f t="shared" si="1"/>
        <v>-0.66352076854069253</v>
      </c>
      <c r="E16" s="9">
        <f t="shared" si="2"/>
        <v>-0.64517451246659796</v>
      </c>
      <c r="F16" s="9">
        <f t="shared" si="0"/>
        <v>-2.1514459326535729E-2</v>
      </c>
    </row>
    <row r="17" spans="1:6" x14ac:dyDescent="0.3">
      <c r="A17" s="10">
        <v>95</v>
      </c>
      <c r="B17" s="11">
        <v>11.224244584501069</v>
      </c>
      <c r="C17" s="9">
        <v>11.216224123241318</v>
      </c>
      <c r="D17" s="9">
        <f t="shared" si="1"/>
        <v>-0.5944533492634001</v>
      </c>
      <c r="E17" s="9">
        <f t="shared" si="2"/>
        <v>-0.62398826984968636</v>
      </c>
      <c r="F17" s="9">
        <f t="shared" si="0"/>
        <v>8.0204612597505331E-3</v>
      </c>
    </row>
    <row r="18" spans="1:6" x14ac:dyDescent="0.3">
      <c r="A18" s="10">
        <v>96</v>
      </c>
      <c r="B18" s="11">
        <v>10.629791235237674</v>
      </c>
      <c r="C18" s="9">
        <v>10.613641003953193</v>
      </c>
      <c r="D18" s="9">
        <f t="shared" si="1"/>
        <v>-0.59445334926339477</v>
      </c>
      <c r="E18" s="9">
        <f t="shared" si="2"/>
        <v>-0.60258311928812525</v>
      </c>
      <c r="F18" s="9">
        <f t="shared" si="0"/>
        <v>1.6150231284481009E-2</v>
      </c>
    </row>
    <row r="19" spans="1:6" x14ac:dyDescent="0.3">
      <c r="A19" s="10">
        <v>97</v>
      </c>
      <c r="B19" s="11">
        <v>10.035337885974277</v>
      </c>
      <c r="C19" s="9">
        <v>10.032609537845778</v>
      </c>
      <c r="D19" s="9">
        <f t="shared" si="1"/>
        <v>-0.59445334926339655</v>
      </c>
      <c r="E19" s="9">
        <f t="shared" si="2"/>
        <v>-0.58103146610741518</v>
      </c>
      <c r="F19" s="9">
        <f t="shared" si="0"/>
        <v>2.7283481284996469E-3</v>
      </c>
    </row>
    <row r="20" spans="1:6" x14ac:dyDescent="0.3">
      <c r="A20" s="10">
        <v>98</v>
      </c>
      <c r="B20" s="11">
        <v>9.4408845367108825</v>
      </c>
      <c r="C20" s="9">
        <v>9.4732046063337769</v>
      </c>
      <c r="D20" s="9">
        <f t="shared" si="1"/>
        <v>-0.59445334926339477</v>
      </c>
      <c r="E20" s="9">
        <f t="shared" si="2"/>
        <v>-0.55940493151200066</v>
      </c>
      <c r="F20" s="9">
        <f t="shared" si="0"/>
        <v>-3.2320069622894465E-2</v>
      </c>
    </row>
    <row r="21" spans="1:6" x14ac:dyDescent="0.3">
      <c r="A21" s="10">
        <v>99</v>
      </c>
      <c r="B21" s="11">
        <v>8.9365263292142938</v>
      </c>
      <c r="C21" s="9">
        <v>8.9354309282521687</v>
      </c>
      <c r="D21" s="9">
        <f t="shared" si="1"/>
        <v>-0.50435820749658866</v>
      </c>
      <c r="E21" s="9">
        <f t="shared" si="2"/>
        <v>-0.53777367808160825</v>
      </c>
      <c r="F21" s="9">
        <f t="shared" si="0"/>
        <v>1.0954009621251259E-3</v>
      </c>
    </row>
    <row r="22" spans="1:6" x14ac:dyDescent="0.3">
      <c r="A22" s="10">
        <v>100</v>
      </c>
      <c r="B22" s="11">
        <v>8.4362893488757837</v>
      </c>
      <c r="C22" s="9">
        <v>8.41922513549396</v>
      </c>
      <c r="D22" s="9">
        <f t="shared" si="1"/>
        <v>-0.50023698033851005</v>
      </c>
      <c r="E22" s="9">
        <f t="shared" si="2"/>
        <v>-0.51620579275820866</v>
      </c>
      <c r="F22" s="9">
        <f t="shared" si="0"/>
        <v>1.7064213381823734E-2</v>
      </c>
    </row>
    <row r="23" spans="1:6" x14ac:dyDescent="0.3">
      <c r="A23" s="10">
        <v>101</v>
      </c>
      <c r="B23" s="11">
        <v>7.9360523685372746</v>
      </c>
      <c r="C23" s="9">
        <v>7.9244584022644498</v>
      </c>
      <c r="D23" s="9">
        <f t="shared" si="1"/>
        <v>-0.50023698033850916</v>
      </c>
      <c r="E23" s="9">
        <f t="shared" si="2"/>
        <v>-0.49476673322951026</v>
      </c>
      <c r="F23" s="9">
        <f t="shared" si="0"/>
        <v>1.1593966272824829E-2</v>
      </c>
    </row>
    <row r="24" spans="1:6" x14ac:dyDescent="0.3">
      <c r="A24" s="10">
        <v>102</v>
      </c>
      <c r="B24" s="11">
        <v>7.4358153881987707</v>
      </c>
      <c r="C24" s="9">
        <v>7.450939560407086</v>
      </c>
      <c r="D24" s="9">
        <f t="shared" si="1"/>
        <v>-0.50023698033850383</v>
      </c>
      <c r="E24" s="9">
        <f t="shared" si="2"/>
        <v>-0.4735188418573637</v>
      </c>
      <c r="F24" s="9">
        <f t="shared" si="0"/>
        <v>-1.5124172208315301E-2</v>
      </c>
    </row>
    <row r="25" spans="1:6" x14ac:dyDescent="0.3">
      <c r="A25" s="10">
        <v>103</v>
      </c>
      <c r="B25" s="11">
        <v>6.9833969871854533</v>
      </c>
      <c r="C25" s="9">
        <v>6.9984186307805025</v>
      </c>
      <c r="D25" s="9">
        <f t="shared" si="1"/>
        <v>-0.45241840101331743</v>
      </c>
      <c r="E25" s="9">
        <f t="shared" si="2"/>
        <v>-0.45252092962658352</v>
      </c>
      <c r="F25" s="9">
        <f t="shared" si="0"/>
        <v>-1.5021643595049206E-2</v>
      </c>
    </row>
    <row r="26" spans="1:6" x14ac:dyDescent="0.3">
      <c r="A26" s="10">
        <v>104</v>
      </c>
      <c r="B26" s="11">
        <v>6.5781143550130219</v>
      </c>
      <c r="C26" s="9">
        <v>6.5665906997417283</v>
      </c>
      <c r="D26" s="9">
        <f t="shared" si="1"/>
        <v>-0.40528263217243143</v>
      </c>
      <c r="E26" s="9">
        <f t="shared" si="2"/>
        <v>-0.43182793103877426</v>
      </c>
      <c r="F26" s="9">
        <f t="shared" si="0"/>
        <v>1.152365527129362E-2</v>
      </c>
    </row>
    <row r="27" spans="1:6" x14ac:dyDescent="0.3">
      <c r="A27" s="10">
        <v>105</v>
      </c>
      <c r="B27" s="11">
        <v>6.1728317228405913</v>
      </c>
      <c r="C27" s="9">
        <v>6.1551000702738792</v>
      </c>
      <c r="D27" s="9">
        <f t="shared" si="1"/>
        <v>-0.40528263217243055</v>
      </c>
      <c r="E27" s="9">
        <f t="shared" si="2"/>
        <v>-0.41149062946784909</v>
      </c>
      <c r="F27" s="9">
        <f t="shared" si="0"/>
        <v>1.7731652566712164E-2</v>
      </c>
    </row>
    <row r="28" spans="1:6" x14ac:dyDescent="0.3">
      <c r="A28" s="10">
        <v>106</v>
      </c>
      <c r="B28" s="11">
        <v>5.767549090668159</v>
      </c>
      <c r="C28" s="9">
        <v>5.7635446190239383</v>
      </c>
      <c r="D28" s="9">
        <f t="shared" si="1"/>
        <v>-0.40528263217243232</v>
      </c>
      <c r="E28" s="9">
        <f t="shared" si="2"/>
        <v>-0.39155545124994084</v>
      </c>
      <c r="F28" s="9">
        <f t="shared" si="0"/>
        <v>4.0044716442206862E-3</v>
      </c>
    </row>
    <row r="29" spans="1:6" x14ac:dyDescent="0.3">
      <c r="A29" s="10">
        <v>107</v>
      </c>
      <c r="B29" s="11">
        <v>5.3622664584957276</v>
      </c>
      <c r="C29" s="9">
        <v>5.391480293314153</v>
      </c>
      <c r="D29" s="9">
        <f t="shared" si="1"/>
        <v>-0.40528263217243143</v>
      </c>
      <c r="E29" s="9">
        <f t="shared" si="2"/>
        <v>-0.37206432570978532</v>
      </c>
      <c r="F29" s="9">
        <f t="shared" si="0"/>
        <v>-2.9213834818425433E-2</v>
      </c>
    </row>
    <row r="30" spans="1:6" x14ac:dyDescent="0.3">
      <c r="A30" s="10">
        <v>108</v>
      </c>
      <c r="B30" s="11">
        <v>5.0334729301748693</v>
      </c>
      <c r="C30" s="9">
        <v>5.0384256858815908</v>
      </c>
      <c r="D30" s="9">
        <f t="shared" si="1"/>
        <v>-0.32879352832085829</v>
      </c>
      <c r="E30" s="9">
        <f t="shared" si="2"/>
        <v>-0.35305460743256223</v>
      </c>
      <c r="F30" s="9">
        <f t="shared" si="0"/>
        <v>-4.95275570672149E-3</v>
      </c>
    </row>
    <row r="31" spans="1:6" x14ac:dyDescent="0.3">
      <c r="A31" s="10">
        <v>109</v>
      </c>
      <c r="B31" s="11">
        <v>4.7183137069541923</v>
      </c>
      <c r="C31" s="9">
        <v>4.7038666295059599</v>
      </c>
      <c r="D31" s="9">
        <f t="shared" si="1"/>
        <v>-0.31515922322067702</v>
      </c>
      <c r="E31" s="9">
        <f t="shared" si="2"/>
        <v>-0.33455905637563088</v>
      </c>
      <c r="F31" s="9">
        <f t="shared" si="0"/>
        <v>1.4447077448232371E-2</v>
      </c>
    </row>
    <row r="32" spans="1:6" x14ac:dyDescent="0.3">
      <c r="A32" s="10">
        <v>110</v>
      </c>
      <c r="B32" s="11">
        <v>4.4031544837335161</v>
      </c>
      <c r="C32" s="9">
        <v>4.3872607586361445</v>
      </c>
      <c r="D32" s="9">
        <f t="shared" si="1"/>
        <v>-0.31515922322067613</v>
      </c>
      <c r="E32" s="9">
        <f t="shared" si="2"/>
        <v>-0.3166058708698154</v>
      </c>
      <c r="F32" s="9">
        <f t="shared" si="0"/>
        <v>1.5893725097371636E-2</v>
      </c>
    </row>
    <row r="33" spans="1:6" x14ac:dyDescent="0.3">
      <c r="A33" s="10">
        <v>111</v>
      </c>
      <c r="B33" s="11">
        <v>4.0879952605128391</v>
      </c>
      <c r="C33" s="9">
        <v>4.0880419904567429</v>
      </c>
      <c r="D33" s="9">
        <f t="shared" si="1"/>
        <v>-0.31515922322067702</v>
      </c>
      <c r="E33" s="9">
        <f t="shared" si="2"/>
        <v>-0.29921876817940163</v>
      </c>
      <c r="F33" s="9">
        <f t="shared" si="0"/>
        <v>-4.6729943903756066E-5</v>
      </c>
    </row>
    <row r="34" spans="1:6" x14ac:dyDescent="0.3">
      <c r="A34" s="10">
        <v>112</v>
      </c>
      <c r="B34" s="11">
        <v>3.7728360372921603</v>
      </c>
      <c r="C34" s="9">
        <v>3.8056248833988846</v>
      </c>
      <c r="D34" s="9">
        <f t="shared" si="1"/>
        <v>-0.3151592232206788</v>
      </c>
      <c r="E34" s="9">
        <f t="shared" si="2"/>
        <v>-0.28241710705785827</v>
      </c>
      <c r="F34" s="9">
        <f t="shared" si="0"/>
        <v>-3.2788846106724279E-2</v>
      </c>
    </row>
    <row r="35" spans="1:6" x14ac:dyDescent="0.3">
      <c r="A35" s="10">
        <v>113</v>
      </c>
      <c r="B35" s="11">
        <v>3.5368172883457927</v>
      </c>
      <c r="C35" s="9">
        <v>3.5394088367579752</v>
      </c>
      <c r="D35" s="9">
        <f t="shared" si="1"/>
        <v>-0.23601874894636765</v>
      </c>
      <c r="E35" s="9">
        <f t="shared" si="2"/>
        <v>-0.26621604664090937</v>
      </c>
      <c r="F35" s="9">
        <f t="shared" si="0"/>
        <v>-2.5915484121825649E-3</v>
      </c>
    </row>
    <row r="36" spans="1:6" x14ac:dyDescent="0.3">
      <c r="A36" s="10">
        <v>114</v>
      </c>
      <c r="B36" s="11">
        <v>3.3022136434377942</v>
      </c>
      <c r="C36" s="9">
        <v>3.2887821007151232</v>
      </c>
      <c r="D36" s="9">
        <f t="shared" si="1"/>
        <v>-0.23460364490799845</v>
      </c>
      <c r="E36" s="9">
        <f t="shared" si="2"/>
        <v>-0.25062673604285202</v>
      </c>
      <c r="F36" s="9">
        <f t="shared" si="0"/>
        <v>1.3431542722670997E-2</v>
      </c>
    </row>
    <row r="37" spans="1:6" x14ac:dyDescent="0.3">
      <c r="A37" s="10">
        <v>115</v>
      </c>
      <c r="B37" s="11">
        <v>3.0676099985297935</v>
      </c>
      <c r="C37" s="9">
        <v>3.0531255715657637</v>
      </c>
      <c r="D37" s="9">
        <f t="shared" si="1"/>
        <v>-0.23460364490800067</v>
      </c>
      <c r="E37" s="9">
        <f t="shared" si="2"/>
        <v>-0.23565652914935953</v>
      </c>
      <c r="F37" s="9">
        <f t="shared" si="0"/>
        <v>1.4484426964029851E-2</v>
      </c>
    </row>
  </sheetData>
  <mergeCells count="2">
    <mergeCell ref="A1:C3"/>
    <mergeCell ref="A5:F5"/>
  </mergeCells>
  <conditionalFormatting sqref="A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tudyGap">
                <anchor moveWithCells="1" sizeWithCells="1">
                  <from>
                    <xdr:col>3</xdr:col>
                    <xdr:colOff>1036320</xdr:colOff>
                    <xdr:row>0</xdr:row>
                    <xdr:rowOff>76200</xdr:rowOff>
                  </from>
                  <to>
                    <xdr:col>5</xdr:col>
                    <xdr:colOff>1066800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43</vt:i4>
      </vt:variant>
    </vt:vector>
  </HeadingPairs>
  <TitlesOfParts>
    <vt:vector size="50" baseType="lpstr">
      <vt:lpstr>Interface</vt:lpstr>
      <vt:lpstr>UnderlyingPlot</vt:lpstr>
      <vt:lpstr>OptionPricePlot</vt:lpstr>
      <vt:lpstr>NodeProbaPlot</vt:lpstr>
      <vt:lpstr>Greeks</vt:lpstr>
      <vt:lpstr>Convergence Study</vt:lpstr>
      <vt:lpstr>Gap Study</vt:lpstr>
      <vt:lpstr>begin_plot</vt:lpstr>
      <vt:lpstr>begin_proba_plot</vt:lpstr>
      <vt:lpstr>begin_undl_plot</vt:lpstr>
      <vt:lpstr>BSDelta</vt:lpstr>
      <vt:lpstr>BSGamma</vt:lpstr>
      <vt:lpstr>BSRho</vt:lpstr>
      <vt:lpstr>BSTheta</vt:lpstr>
      <vt:lpstr>BSVega</vt:lpstr>
      <vt:lpstr>IBSPrice</vt:lpstr>
      <vt:lpstr>IDelta</vt:lpstr>
      <vt:lpstr>IDiv</vt:lpstr>
      <vt:lpstr>IDivDate</vt:lpstr>
      <vt:lpstr>IEndDate</vt:lpstr>
      <vt:lpstr>IExerciseType</vt:lpstr>
      <vt:lpstr>IGamma</vt:lpstr>
      <vt:lpstr>IGreeks</vt:lpstr>
      <vt:lpstr>IMaturity</vt:lpstr>
      <vt:lpstr>INbSteps</vt:lpstr>
      <vt:lpstr>IOptionType</vt:lpstr>
      <vt:lpstr>IPrecision</vt:lpstr>
      <vt:lpstr>IPriceTime</vt:lpstr>
      <vt:lpstr>IPrunning</vt:lpstr>
      <vt:lpstr>IPrunningTreshold</vt:lpstr>
      <vt:lpstr>IPythonPrice</vt:lpstr>
      <vt:lpstr>IPythonPriceTime</vt:lpstr>
      <vt:lpstr>IPythonPriceTreeMemory</vt:lpstr>
      <vt:lpstr>IPythonTimeTree</vt:lpstr>
      <vt:lpstr>IPythonTimeTreeMemory</vt:lpstr>
      <vt:lpstr>IPythonTotalTime</vt:lpstr>
      <vt:lpstr>IRate</vt:lpstr>
      <vt:lpstr>IRho</vt:lpstr>
      <vt:lpstr>IShowTree</vt:lpstr>
      <vt:lpstr>ISpot</vt:lpstr>
      <vt:lpstr>IStartDate</vt:lpstr>
      <vt:lpstr>IStrike</vt:lpstr>
      <vt:lpstr>ITheta</vt:lpstr>
      <vt:lpstr>ITimeTree</vt:lpstr>
      <vt:lpstr>ITotalTime</vt:lpstr>
      <vt:lpstr>ITreePrice</vt:lpstr>
      <vt:lpstr>IVega</vt:lpstr>
      <vt:lpstr>IVol</vt:lpstr>
      <vt:lpstr>StepRange</vt:lpstr>
      <vt:lpstr>StrikeRange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DUFOUR Baptiste</cp:lastModifiedBy>
  <dcterms:created xsi:type="dcterms:W3CDTF">2024-09-02T18:05:29Z</dcterms:created>
  <dcterms:modified xsi:type="dcterms:W3CDTF">2024-10-31T10:11:02Z</dcterms:modified>
</cp:coreProperties>
</file>