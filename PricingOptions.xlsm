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F4ACC49C-E6B3-4799-880A-213C695C779A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0" l="1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<sst xmlns="http://schemas.openxmlformats.org/spreadsheetml/2006/main" count="67" uniqueCount="59">
  <si>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</si>
  <si>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</si>
  <si>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</si>
  <si>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</si>
  <si>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</si>
  <si>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</si>
  <si>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</si>
  <si>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</si>
  <si>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</si>
  <si>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</si>
  <si>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</si>
  <si>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</si>
  <si>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</si>
  <si>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</si>
  <si>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</si>
  <si>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</si>
  <si>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</si>
  <si>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</si>
  <si>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</si>
  <si>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</si>
  <si>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</si>
  <si>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</si>
  <si>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</si>
  <si>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</si>
  <si>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</si>
  <si>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</si>
  <si>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</si>
  <si>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</si>
  <si>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</si>
  <si>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</si>
  <si>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</si>
  <si>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</si>
  <si>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</si>
  <si>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</si>
  <si>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</si>
  <si>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</si>
  <si>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</si>
  <si>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</si>
  <si>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</si>
  <si>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</si>
  <si>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</si>
  <si>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</si>
  <si>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</si>
  <si>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</si>
  <si>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</si>
  <si>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</si>
  <si>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</si>
  <si>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</si>
  <si>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</si>
  <si>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No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</si>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</sst>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6.6708878553784512</c:v>
                </c:pt>
                <c:pt idx="2">
                  <c:v>8.0823177908755763</c:v>
                </c:pt>
                <c:pt idx="3">
                  <c:v>8.2243918032271512</c:v>
                </c:pt>
                <c:pt idx="4">
                  <c:v>8.2756850519386091</c:v>
                </c:pt>
                <c:pt idx="5">
                  <c:v>8.2870378827587334</c:v>
                </c:pt>
                <c:pt idx="6">
                  <c:v>8.2917339057349562</c:v>
                </c:pt>
                <c:pt idx="7">
                  <c:v>8.2913172499047239</c:v>
                </c:pt>
                <c:pt idx="8">
                  <c:v>8.2898402820699886</c:v>
                </c:pt>
                <c:pt idx="9">
                  <c:v>8.2883086669381107</c:v>
                </c:pt>
                <c:pt idx="10">
                  <c:v>8.2869054142532175</c:v>
                </c:pt>
                <c:pt idx="11">
                  <c:v>8.2856551986719911</c:v>
                </c:pt>
                <c:pt idx="12">
                  <c:v>8.2845460566813056</c:v>
                </c:pt>
                <c:pt idx="13">
                  <c:v>8.2835593483487688</c:v>
                </c:pt>
                <c:pt idx="14">
                  <c:v>8.2826749208012096</c:v>
                </c:pt>
                <c:pt idx="15">
                  <c:v>8.2818790633374313</c:v>
                </c:pt>
                <c:pt idx="16">
                  <c:v>8.2811575999934615</c:v>
                </c:pt>
                <c:pt idx="17">
                  <c:v>8.2805002611490313</c:v>
                </c:pt>
                <c:pt idx="18">
                  <c:v>8.2798986069773335</c:v>
                </c:pt>
                <c:pt idx="19">
                  <c:v>8.2793451052809388</c:v>
                </c:pt>
                <c:pt idx="20">
                  <c:v>8.2788324984013748</c:v>
                </c:pt>
                <c:pt idx="21">
                  <c:v>8.2783570602199479</c:v>
                </c:pt>
                <c:pt idx="22">
                  <c:v>8.2779143948831582</c:v>
                </c:pt>
                <c:pt idx="23">
                  <c:v>8.2775011851181866</c:v>
                </c:pt>
                <c:pt idx="24">
                  <c:v>8.2771121016200997</c:v>
                </c:pt>
                <c:pt idx="25">
                  <c:v>8.278280627731645</c:v>
                </c:pt>
                <c:pt idx="26">
                  <c:v>8.2792340292222608</c:v>
                </c:pt>
                <c:pt idx="27">
                  <c:v>8.2799429743084811</c:v>
                </c:pt>
                <c:pt idx="28">
                  <c:v>8.2804673406733436</c:v>
                </c:pt>
                <c:pt idx="29">
                  <c:v>8.2808544721972464</c:v>
                </c:pt>
                <c:pt idx="30">
                  <c:v>8.2811355728208191</c:v>
                </c:pt>
                <c:pt idx="31">
                  <c:v>8.2813344011572383</c:v>
                </c:pt>
                <c:pt idx="32">
                  <c:v>8.281467780693692</c:v>
                </c:pt>
                <c:pt idx="33">
                  <c:v>8.2815510659222848</c:v>
                </c:pt>
                <c:pt idx="34">
                  <c:v>8.2815925319382213</c:v>
                </c:pt>
                <c:pt idx="35">
                  <c:v>8.2815842913366264</c:v>
                </c:pt>
                <c:pt idx="36">
                  <c:v>8.2814884634375741</c:v>
                </c:pt>
                <c:pt idx="37">
                  <c:v>8.2813377792616301</c:v>
                </c:pt>
                <c:pt idx="38">
                  <c:v>8.2811464162281752</c:v>
                </c:pt>
                <c:pt idx="39">
                  <c:v>8.2809351202195085</c:v>
                </c:pt>
                <c:pt idx="40">
                  <c:v>8.2807066724992691</c:v>
                </c:pt>
                <c:pt idx="41">
                  <c:v>8.2804690898514774</c:v>
                </c:pt>
                <c:pt idx="42">
                  <c:v>8.2802262780156219</c:v>
                </c:pt>
                <c:pt idx="43">
                  <c:v>8.2799839558016046</c:v>
                </c:pt>
                <c:pt idx="44">
                  <c:v>8.2797401600079148</c:v>
                </c:pt>
                <c:pt idx="45">
                  <c:v>8.2799676081270164</c:v>
                </c:pt>
                <c:pt idx="46">
                  <c:v>8.2801986175162945</c:v>
                </c:pt>
                <c:pt idx="47">
                  <c:v>8.2803816493856388</c:v>
                </c:pt>
                <c:pt idx="48">
                  <c:v>8.2805270746438673</c:v>
                </c:pt>
                <c:pt idx="49">
                  <c:v>8.280638401097983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8.280822968326218</c:v>
                </c:pt>
                <c:pt idx="2">
                  <c:v>8.280822968326218</c:v>
                </c:pt>
                <c:pt idx="3">
                  <c:v>8.280822968326218</c:v>
                </c:pt>
                <c:pt idx="4">
                  <c:v>8.280822968326218</c:v>
                </c:pt>
                <c:pt idx="5">
                  <c:v>8.280822968326218</c:v>
                </c:pt>
                <c:pt idx="6">
                  <c:v>8.280822968326218</c:v>
                </c:pt>
                <c:pt idx="7">
                  <c:v>8.280822968326218</c:v>
                </c:pt>
                <c:pt idx="8">
                  <c:v>8.280822968326218</c:v>
                </c:pt>
                <c:pt idx="9">
                  <c:v>8.280822968326218</c:v>
                </c:pt>
                <c:pt idx="10">
                  <c:v>8.280822968326218</c:v>
                </c:pt>
                <c:pt idx="11">
                  <c:v>8.280822968326218</c:v>
                </c:pt>
                <c:pt idx="12">
                  <c:v>8.280822968326218</c:v>
                </c:pt>
                <c:pt idx="13">
                  <c:v>8.280822968326218</c:v>
                </c:pt>
                <c:pt idx="14">
                  <c:v>8.280822968326218</c:v>
                </c:pt>
                <c:pt idx="15">
                  <c:v>8.280822968326218</c:v>
                </c:pt>
                <c:pt idx="16">
                  <c:v>8.280822968326218</c:v>
                </c:pt>
                <c:pt idx="17">
                  <c:v>8.280822968326218</c:v>
                </c:pt>
                <c:pt idx="18">
                  <c:v>8.280822968326218</c:v>
                </c:pt>
                <c:pt idx="19">
                  <c:v>8.280822968326218</c:v>
                </c:pt>
                <c:pt idx="20">
                  <c:v>8.280822968326218</c:v>
                </c:pt>
                <c:pt idx="21">
                  <c:v>8.280822968326218</c:v>
                </c:pt>
                <c:pt idx="22">
                  <c:v>8.280822968326218</c:v>
                </c:pt>
                <c:pt idx="23">
                  <c:v>8.280822968326218</c:v>
                </c:pt>
                <c:pt idx="24">
                  <c:v>8.280822968326218</c:v>
                </c:pt>
                <c:pt idx="25">
                  <c:v>8.280822968326218</c:v>
                </c:pt>
                <c:pt idx="26">
                  <c:v>8.280822968326218</c:v>
                </c:pt>
                <c:pt idx="27">
                  <c:v>8.280822968326218</c:v>
                </c:pt>
                <c:pt idx="28">
                  <c:v>8.280822968326218</c:v>
                </c:pt>
                <c:pt idx="29">
                  <c:v>8.280822968326218</c:v>
                </c:pt>
                <c:pt idx="30">
                  <c:v>8.280822968326218</c:v>
                </c:pt>
                <c:pt idx="31">
                  <c:v>8.280822968326218</c:v>
                </c:pt>
                <c:pt idx="32">
                  <c:v>8.280822968326218</c:v>
                </c:pt>
                <c:pt idx="33">
                  <c:v>8.280822968326218</c:v>
                </c:pt>
                <c:pt idx="34">
                  <c:v>8.280822968326218</c:v>
                </c:pt>
                <c:pt idx="35">
                  <c:v>8.280822968326218</c:v>
                </c:pt>
                <c:pt idx="36">
                  <c:v>8.280822968326218</c:v>
                </c:pt>
                <c:pt idx="37">
                  <c:v>8.280822968326218</c:v>
                </c:pt>
                <c:pt idx="38">
                  <c:v>8.280822968326218</c:v>
                </c:pt>
                <c:pt idx="39">
                  <c:v>8.280822968326218</c:v>
                </c:pt>
                <c:pt idx="40">
                  <c:v>8.280822968326218</c:v>
                </c:pt>
                <c:pt idx="41">
                  <c:v>8.280822968326218</c:v>
                </c:pt>
                <c:pt idx="42">
                  <c:v>8.280822968326218</c:v>
                </c:pt>
                <c:pt idx="43">
                  <c:v>8.280822968326218</c:v>
                </c:pt>
                <c:pt idx="44">
                  <c:v>8.280822968326218</c:v>
                </c:pt>
                <c:pt idx="45">
                  <c:v>8.280822968326218</c:v>
                </c:pt>
                <c:pt idx="46">
                  <c:v>8.280822968326218</c:v>
                </c:pt>
                <c:pt idx="47">
                  <c:v>8.280822968326218</c:v>
                </c:pt>
                <c:pt idx="48">
                  <c:v>8.280822968326218</c:v>
                </c:pt>
                <c:pt idx="49">
                  <c:v>8.280822968326218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1.953125E-2</c:v>
                </c:pt>
                <c:pt idx="5">
                  <c:v>0</c:v>
                </c:pt>
                <c:pt idx="6">
                  <c:v>2.734375E-2</c:v>
                </c:pt>
                <c:pt idx="7">
                  <c:v>1.953125E-2</c:v>
                </c:pt>
                <c:pt idx="8">
                  <c:v>2.734375E-2</c:v>
                </c:pt>
                <c:pt idx="9">
                  <c:v>5.078125E-2</c:v>
                </c:pt>
                <c:pt idx="10">
                  <c:v>6.25E-2</c:v>
                </c:pt>
                <c:pt idx="11">
                  <c:v>6.25E-2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0.125</c:v>
                </c:pt>
                <c:pt idx="15">
                  <c:v>0.140625</c:v>
                </c:pt>
                <c:pt idx="16">
                  <c:v>0.15625</c:v>
                </c:pt>
                <c:pt idx="17">
                  <c:v>0.1875</c:v>
                </c:pt>
                <c:pt idx="18">
                  <c:v>0.203125</c:v>
                </c:pt>
                <c:pt idx="19">
                  <c:v>0.21875</c:v>
                </c:pt>
                <c:pt idx="20">
                  <c:v>0.25</c:v>
                </c:pt>
                <c:pt idx="21">
                  <c:v>0.25</c:v>
                </c:pt>
                <c:pt idx="22">
                  <c:v>0.28125</c:v>
                </c:pt>
                <c:pt idx="23">
                  <c:v>0.296875</c:v>
                </c:pt>
                <c:pt idx="24">
                  <c:v>0.328125</c:v>
                </c:pt>
                <c:pt idx="25">
                  <c:v>0.375</c:v>
                </c:pt>
                <c:pt idx="26">
                  <c:v>0.4375</c:v>
                </c:pt>
                <c:pt idx="27">
                  <c:v>0.484375</c:v>
                </c:pt>
                <c:pt idx="28">
                  <c:v>0.546875</c:v>
                </c:pt>
                <c:pt idx="29">
                  <c:v>0.59765625</c:v>
                </c:pt>
                <c:pt idx="30">
                  <c:v>0.671875</c:v>
                </c:pt>
                <c:pt idx="31">
                  <c:v>0.71875</c:v>
                </c:pt>
                <c:pt idx="32">
                  <c:v>0.78125</c:v>
                </c:pt>
                <c:pt idx="33">
                  <c:v>0.84375</c:v>
                </c:pt>
                <c:pt idx="34">
                  <c:v>0.91015625</c:v>
                </c:pt>
                <c:pt idx="35">
                  <c:v>1.046875</c:v>
                </c:pt>
                <c:pt idx="36">
                  <c:v>1.1875</c:v>
                </c:pt>
                <c:pt idx="37">
                  <c:v>1.33203125</c:v>
                </c:pt>
                <c:pt idx="38">
                  <c:v>1.56640625</c:v>
                </c:pt>
                <c:pt idx="39">
                  <c:v>1.640625</c:v>
                </c:pt>
                <c:pt idx="40">
                  <c:v>1.796875</c:v>
                </c:pt>
                <c:pt idx="41">
                  <c:v>1.984375</c:v>
                </c:pt>
                <c:pt idx="42">
                  <c:v>2.12890625</c:v>
                </c:pt>
                <c:pt idx="43">
                  <c:v>2.328125</c:v>
                </c:pt>
                <c:pt idx="44">
                  <c:v>2.5</c:v>
                </c:pt>
                <c:pt idx="45">
                  <c:v>2.69140625</c:v>
                </c:pt>
                <c:pt idx="46">
                  <c:v>2.859375</c:v>
                </c:pt>
                <c:pt idx="47">
                  <c:v>3.08203125</c:v>
                </c:pt>
                <c:pt idx="48">
                  <c:v>3.28125</c:v>
                </c:pt>
                <c:pt idx="49">
                  <c:v>3.4375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0.19850517745064167</c:v>
                </c:pt>
                <c:pt idx="3">
                  <c:v>5.643116509906676E-2</c:v>
                </c:pt>
                <c:pt idx="4">
                  <c:v>5.1379163876088541E-3</c:v>
                </c:pt>
                <c:pt idx="5">
                  <c:v>6.2149144325154282E-3</c:v>
                </c:pt>
                <c:pt idx="6">
                  <c:v>1.0910937408738164E-2</c:v>
                </c:pt>
                <c:pt idx="7">
                  <c:v>1.0494281578505849E-2</c:v>
                </c:pt>
                <c:pt idx="8">
                  <c:v>9.0173137437705719E-3</c:v>
                </c:pt>
                <c:pt idx="9">
                  <c:v>7.4856986118927438E-3</c:v>
                </c:pt>
                <c:pt idx="10">
                  <c:v>6.0824459269994691E-3</c:v>
                </c:pt>
                <c:pt idx="11">
                  <c:v>4.8322303457730698E-3</c:v>
                </c:pt>
                <c:pt idx="12">
                  <c:v>3.7230883550876115E-3</c:v>
                </c:pt>
                <c:pt idx="13">
                  <c:v>2.7363800225508328E-3</c:v>
                </c:pt>
                <c:pt idx="14">
                  <c:v>1.8519524749915917E-3</c:v>
                </c:pt>
                <c:pt idx="15">
                  <c:v>1.0560950112132872E-3</c:v>
                </c:pt>
                <c:pt idx="16">
                  <c:v>3.3463166724345683E-4</c:v>
                </c:pt>
                <c:pt idx="17">
                  <c:v>3.2270717718674291E-4</c:v>
                </c:pt>
                <c:pt idx="18">
                  <c:v>9.2436134888451704E-4</c:v>
                </c:pt>
                <c:pt idx="19">
                  <c:v>1.477863045279193E-3</c:v>
                </c:pt>
                <c:pt idx="20">
                  <c:v>1.9904699248431967E-3</c:v>
                </c:pt>
                <c:pt idx="21">
                  <c:v>2.4659081062701205E-3</c:v>
                </c:pt>
                <c:pt idx="22">
                  <c:v>2.9085734430598364E-3</c:v>
                </c:pt>
                <c:pt idx="23">
                  <c:v>3.321783208031448E-3</c:v>
                </c:pt>
                <c:pt idx="24">
                  <c:v>3.7108667061183098E-3</c:v>
                </c:pt>
                <c:pt idx="25">
                  <c:v>2.5423405945730337E-3</c:v>
                </c:pt>
                <c:pt idx="26">
                  <c:v>1.5889391039571876E-3</c:v>
                </c:pt>
                <c:pt idx="27">
                  <c:v>8.7999401773686259E-4</c:v>
                </c:pt>
                <c:pt idx="28">
                  <c:v>3.556276528744462E-4</c:v>
                </c:pt>
                <c:pt idx="29">
                  <c:v>3.150387102834884E-5</c:v>
                </c:pt>
                <c:pt idx="30">
                  <c:v>3.1260449460113193E-4</c:v>
                </c:pt>
                <c:pt idx="31">
                  <c:v>5.1143283102028647E-4</c:v>
                </c:pt>
                <c:pt idx="32">
                  <c:v>6.448123674740458E-4</c:v>
                </c:pt>
                <c:pt idx="33">
                  <c:v>7.2809759606684565E-4</c:v>
                </c:pt>
                <c:pt idx="34">
                  <c:v>7.6956361200331003E-4</c:v>
                </c:pt>
                <c:pt idx="35">
                  <c:v>7.6132301040843231E-4</c:v>
                </c:pt>
                <c:pt idx="36">
                  <c:v>6.6549511135605144E-4</c:v>
                </c:pt>
                <c:pt idx="37">
                  <c:v>5.148109354120578E-4</c:v>
                </c:pt>
                <c:pt idx="38">
                  <c:v>3.2344790195715234E-4</c:v>
                </c:pt>
                <c:pt idx="39">
                  <c:v>1.121518932905019E-4</c:v>
                </c:pt>
                <c:pt idx="40">
                  <c:v>1.1629582694894225E-4</c:v>
                </c:pt>
                <c:pt idx="41">
                  <c:v>3.5387847474055434E-4</c:v>
                </c:pt>
                <c:pt idx="42">
                  <c:v>5.966903105960597E-4</c:v>
                </c:pt>
                <c:pt idx="43">
                  <c:v>8.3901252461338061E-4</c:v>
                </c:pt>
                <c:pt idx="44">
                  <c:v>1.0828083183032078E-3</c:v>
                </c:pt>
                <c:pt idx="45">
                  <c:v>8.5536019920162687E-4</c:v>
                </c:pt>
                <c:pt idx="46">
                  <c:v>6.2435080992351288E-4</c:v>
                </c:pt>
                <c:pt idx="47">
                  <c:v>4.4131894057919396E-4</c:v>
                </c:pt>
                <c:pt idx="48">
                  <c:v>2.95893682350723E-4</c:v>
                </c:pt>
                <c:pt idx="49">
                  <c:v>1.8456722823501082E-4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0.99252588725320834</c:v>
                </c:pt>
                <c:pt idx="3">
                  <c:v>0.5643116509906676</c:v>
                </c:pt>
                <c:pt idx="4">
                  <c:v>0.10275832775217708</c:v>
                </c:pt>
                <c:pt idx="5">
                  <c:v>0.18644743297546285</c:v>
                </c:pt>
                <c:pt idx="6">
                  <c:v>0.54554687043690819</c:v>
                </c:pt>
                <c:pt idx="7">
                  <c:v>0.78707111838793864</c:v>
                </c:pt>
                <c:pt idx="8">
                  <c:v>0.90173137437705719</c:v>
                </c:pt>
                <c:pt idx="9">
                  <c:v>0.93571232648659297</c:v>
                </c:pt>
                <c:pt idx="10">
                  <c:v>0.91236688904992036</c:v>
                </c:pt>
                <c:pt idx="11">
                  <c:v>0.84564031051028721</c:v>
                </c:pt>
                <c:pt idx="12">
                  <c:v>0.7446176710175223</c:v>
                </c:pt>
                <c:pt idx="13">
                  <c:v>0.61568550507393738</c:v>
                </c:pt>
                <c:pt idx="14">
                  <c:v>0.46298811874789791</c:v>
                </c:pt>
                <c:pt idx="15">
                  <c:v>0.29042612808365398</c:v>
                </c:pt>
                <c:pt idx="16">
                  <c:v>0.10038950017303705</c:v>
                </c:pt>
                <c:pt idx="17">
                  <c:v>0.10487983258569145</c:v>
                </c:pt>
                <c:pt idx="18">
                  <c:v>0.32352647210958096</c:v>
                </c:pt>
                <c:pt idx="19">
                  <c:v>0.55419864197969737</c:v>
                </c:pt>
                <c:pt idx="20">
                  <c:v>0.79618796993727869</c:v>
                </c:pt>
                <c:pt idx="21">
                  <c:v>1.0480109451648012</c:v>
                </c:pt>
                <c:pt idx="22">
                  <c:v>1.3088580493769264</c:v>
                </c:pt>
                <c:pt idx="23">
                  <c:v>1.5778470238149378</c:v>
                </c:pt>
                <c:pt idx="24">
                  <c:v>1.8554333530591549</c:v>
                </c:pt>
                <c:pt idx="25">
                  <c:v>1.3982873270151686</c:v>
                </c:pt>
                <c:pt idx="26">
                  <c:v>0.95336346237431258</c:v>
                </c:pt>
                <c:pt idx="27">
                  <c:v>0.57199611152896068</c:v>
                </c:pt>
                <c:pt idx="28">
                  <c:v>0.24893935701211234</c:v>
                </c:pt>
                <c:pt idx="29">
                  <c:v>2.362790327126163E-2</c:v>
                </c:pt>
                <c:pt idx="30">
                  <c:v>0.25008359568090555</c:v>
                </c:pt>
                <c:pt idx="31">
                  <c:v>0.4347179063672435</c:v>
                </c:pt>
                <c:pt idx="32">
                  <c:v>0.58033113072664122</c:v>
                </c:pt>
                <c:pt idx="33">
                  <c:v>0.69169271626350337</c:v>
                </c:pt>
                <c:pt idx="34">
                  <c:v>0.76956361200331003</c:v>
                </c:pt>
                <c:pt idx="35">
                  <c:v>0.83745531144927554</c:v>
                </c:pt>
                <c:pt idx="36">
                  <c:v>0.79859413362726173</c:v>
                </c:pt>
                <c:pt idx="37">
                  <c:v>0.66925421603567514</c:v>
                </c:pt>
                <c:pt idx="38">
                  <c:v>0.45282706274001328</c:v>
                </c:pt>
                <c:pt idx="39">
                  <c:v>0.16822783993575285</c:v>
                </c:pt>
                <c:pt idx="40">
                  <c:v>0.1860733231183076</c:v>
                </c:pt>
                <c:pt idx="41">
                  <c:v>0.60159340705894238</c:v>
                </c:pt>
                <c:pt idx="42">
                  <c:v>1.0740425590729075</c:v>
                </c:pt>
                <c:pt idx="43">
                  <c:v>1.5941237967654232</c:v>
                </c:pt>
                <c:pt idx="44">
                  <c:v>2.1656166366064156</c:v>
                </c:pt>
                <c:pt idx="45">
                  <c:v>1.7962564183234164</c:v>
                </c:pt>
                <c:pt idx="46">
                  <c:v>1.3735717818317283</c:v>
                </c:pt>
                <c:pt idx="47">
                  <c:v>1.0150335633321461</c:v>
                </c:pt>
                <c:pt idx="48">
                  <c:v>0.71014483764173519</c:v>
                </c:pt>
                <c:pt idx="49">
                  <c:v>0.46141807058752704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12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png"/><Relationship Id="rId10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45720</xdr:rowOff>
        </xdr:from>
        <xdr:to>
          <xdr:col>7</xdr:col>
          <xdr:colOff>502920</xdr:colOff>
          <xdr:row>28</xdr:row>
          <xdr:rowOff>160020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544286</xdr:colOff>
      <xdr:row>33</xdr:row>
      <xdr:rowOff>173426</xdr:rowOff>
    </xdr:from>
    <xdr:to>
      <xdr:col>14</xdr:col>
      <xdr:colOff>209813</xdr:colOff>
      <xdr:row>46</xdr:row>
      <xdr:rowOff>100870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67400" y="6280312"/>
          <a:ext cx="4629413" cy="2333187"/>
        </a:xfrm>
        <a:prstGeom prst="rect">
          <a:avLst/>
        </a:prstGeom>
      </xdr:spPr>
    </xdr:pic>
    <xdr:clientData/>
  </xdr:twoCellAnchor>
  <xdr:twoCellAnchor editAs="oneCell">
    <xdr:from>
      <xdr:col>14</xdr:col>
      <xdr:colOff>298298</xdr:colOff>
      <xdr:row>34</xdr:row>
      <xdr:rowOff>132364</xdr:rowOff>
    </xdr:from>
    <xdr:to>
      <xdr:col>21</xdr:col>
      <xdr:colOff>569416</xdr:colOff>
      <xdr:row>47</xdr:row>
      <xdr:rowOff>24096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85298" y="6424307"/>
          <a:ext cx="4614518" cy="2297475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105996</xdr:rowOff>
    </xdr:from>
    <xdr:to>
      <xdr:col>14</xdr:col>
      <xdr:colOff>308749</xdr:colOff>
      <xdr:row>59</xdr:row>
      <xdr:rowOff>77934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86323" y="8618625"/>
          <a:ext cx="4609426" cy="2377680"/>
        </a:xfrm>
        <a:prstGeom prst="rect">
          <a:avLst/>
        </a:prstGeom>
      </xdr:spPr>
    </xdr:pic>
    <xdr:clientData/>
  </xdr:twoCellAnchor>
  <xdr:twoCellAnchor editAs="oneCell">
    <xdr:from>
      <xdr:col>14</xdr:col>
      <xdr:colOff>283028</xdr:colOff>
      <xdr:row>46</xdr:row>
      <xdr:rowOff>67366</xdr:rowOff>
    </xdr:from>
    <xdr:to>
      <xdr:col>21</xdr:col>
      <xdr:colOff>549122</xdr:colOff>
      <xdr:row>59</xdr:row>
      <xdr:rowOff>53291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570028" y="8579995"/>
          <a:ext cx="4609494" cy="23916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11" name="ConvPlot">
          <a:extLst>
            <a:ext uri="{FF2B5EF4-FFF2-40B4-BE49-F238E27FC236}">
              <a16:creationId xmlns:a16="http://schemas.microsoft.com/office/drawing/2014/main" id="{DFC9EA43-BFBB-420A-5B41-AE044DB47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13" name="TimePlot">
          <a:extLst>
            <a:ext uri="{FF2B5EF4-FFF2-40B4-BE49-F238E27FC236}">
              <a16:creationId xmlns:a16="http://schemas.microsoft.com/office/drawing/2014/main" id="{68662639-4592-DC05-6DFF-91AD21C66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15" name="GapPlot">
          <a:extLst>
            <a:ext uri="{FF2B5EF4-FFF2-40B4-BE49-F238E27FC236}">
              <a16:creationId xmlns:a16="http://schemas.microsoft.com/office/drawing/2014/main" id="{BDBFEAC0-B353-B089-A760-D1F5C7BAB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17" name="GapStepPlot">
          <a:extLst>
            <a:ext uri="{FF2B5EF4-FFF2-40B4-BE49-F238E27FC236}">
              <a16:creationId xmlns:a16="http://schemas.microsoft.com/office/drawing/2014/main" id="{2E8F287E-C327-1A98-2FB0-0F19CA57D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abSelected="1" topLeftCell="A15" zoomScale="110" zoomScaleNormal="110" workbookViewId="0">
      <selection activeCell="F34" sqref="F34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50" t="s">
        <v>37</v>
      </c>
      <c r="C1" s="50"/>
      <c r="D1" s="50"/>
      <c r="E1" s="50"/>
    </row>
    <row r="2" spans="2:15" ht="14.4" customHeight="1" x14ac:dyDescent="0.3">
      <c r="B2" s="50"/>
      <c r="C2" s="50"/>
      <c r="D2" s="50"/>
      <c r="E2" s="50"/>
    </row>
    <row r="3" spans="2:15" ht="14.4" customHeight="1" x14ac:dyDescent="0.3">
      <c r="B3" s="50"/>
      <c r="C3" s="50"/>
      <c r="D3" s="50"/>
      <c r="E3" s="50"/>
    </row>
    <row r="6" spans="2:15" ht="14.4" customHeight="1" x14ac:dyDescent="0.3">
      <c r="B6" s="46" t="s">
        <v>0</v>
      </c>
      <c r="C6" s="52" t="s">
        <v>11</v>
      </c>
      <c r="D6" s="11" t="s">
        <v>13</v>
      </c>
      <c r="E6" s="1">
        <v>100</v>
      </c>
      <c r="J6" s="48" t="s">
        <v>17</v>
      </c>
      <c r="K6" s="48"/>
      <c r="L6" s="48"/>
      <c r="M6" s="47" t="s">
        <v>49</v>
      </c>
      <c r="N6" s="47"/>
      <c r="O6" s="47"/>
    </row>
    <row r="7" spans="2:15" x14ac:dyDescent="0.3">
      <c r="B7" s="46"/>
      <c r="C7" s="52"/>
      <c r="D7" s="11" t="s">
        <v>23</v>
      </c>
      <c r="E7" s="2">
        <v>0.21</v>
      </c>
      <c r="J7" s="48"/>
      <c r="K7" s="48"/>
      <c r="L7" s="48"/>
      <c r="M7" s="47"/>
      <c r="N7" s="47"/>
      <c r="O7" s="47"/>
    </row>
    <row r="8" spans="2:15" x14ac:dyDescent="0.3">
      <c r="B8" s="46"/>
      <c r="C8" s="52"/>
      <c r="D8" s="11" t="s">
        <v>24</v>
      </c>
      <c r="E8" s="2">
        <v>0.03</v>
      </c>
      <c r="J8" s="48" t="s">
        <v>16</v>
      </c>
      <c r="K8" s="48"/>
      <c r="L8" s="48"/>
      <c r="M8" s="47" t="s">
        <v>48</v>
      </c>
      <c r="N8" s="47"/>
      <c r="O8" s="47"/>
    </row>
    <row r="9" spans="2:15" x14ac:dyDescent="0.3">
      <c r="B9" s="46"/>
      <c r="C9" s="52"/>
      <c r="D9" s="11" t="s">
        <v>14</v>
      </c>
      <c r="E9" s="1">
        <v>0</v>
      </c>
      <c r="J9" s="48"/>
      <c r="K9" s="48"/>
      <c r="L9" s="48"/>
      <c r="M9" s="47"/>
      <c r="N9" s="47"/>
      <c r="O9" s="47"/>
    </row>
    <row r="10" spans="2:15" x14ac:dyDescent="0.3">
      <c r="B10" s="46"/>
      <c r="C10" s="52"/>
      <c r="D10" s="11" t="s">
        <v>3</v>
      </c>
      <c r="E10" s="3">
        <v>45458</v>
      </c>
      <c r="I10" s="26"/>
      <c r="J10" s="49"/>
      <c r="K10" s="49"/>
      <c r="L10" s="49"/>
      <c r="M10" s="49"/>
      <c r="N10" s="49"/>
      <c r="O10" s="49"/>
    </row>
    <row r="11" spans="2:15" ht="15.6" customHeight="1" x14ac:dyDescent="0.3">
      <c r="B11" s="46"/>
      <c r="C11" s="53" t="s">
        <v>12</v>
      </c>
      <c r="D11" s="11" t="s">
        <v>4</v>
      </c>
      <c r="E11" s="3">
        <v>45352</v>
      </c>
      <c r="I11" s="26"/>
      <c r="J11" s="49"/>
      <c r="K11" s="49"/>
      <c r="L11" s="49"/>
      <c r="M11" s="49"/>
      <c r="N11" s="49"/>
      <c r="O11" s="49"/>
    </row>
    <row r="12" spans="2:15" ht="15.6" customHeight="1" x14ac:dyDescent="0.3">
      <c r="B12" s="46"/>
      <c r="C12" s="54"/>
      <c r="D12" s="11" t="s">
        <v>47</v>
      </c>
      <c r="E12" s="3">
        <v>45652</v>
      </c>
      <c r="I12" s="26"/>
      <c r="J12" s="49"/>
      <c r="K12" s="49"/>
      <c r="L12" s="49"/>
      <c r="M12" s="49"/>
      <c r="N12" s="49"/>
      <c r="O12" s="49"/>
    </row>
    <row r="13" spans="2:15" ht="15.6" customHeight="1" x14ac:dyDescent="0.3">
      <c r="B13" s="46"/>
      <c r="C13" s="54"/>
      <c r="D13" s="11" t="s">
        <v>25</v>
      </c>
      <c r="E13" s="27">
        <f>(IEndDate-IStartDate)/365</f>
        <v>0.82191780821917804</v>
      </c>
      <c r="J13" s="49"/>
      <c r="K13" s="49"/>
      <c r="L13" s="49"/>
      <c r="M13" s="49"/>
      <c r="N13" s="49"/>
      <c r="O13" s="49"/>
    </row>
    <row r="14" spans="2:15" ht="14.4" customHeight="1" x14ac:dyDescent="0.3">
      <c r="B14" s="46"/>
      <c r="C14" s="54"/>
      <c r="D14" s="11" t="s">
        <v>15</v>
      </c>
      <c r="E14" s="1">
        <v>101</v>
      </c>
      <c r="J14" s="49"/>
      <c r="K14" s="49"/>
      <c r="L14" s="49"/>
      <c r="M14" s="49"/>
      <c r="N14" s="49"/>
      <c r="O14" s="49"/>
    </row>
    <row r="15" spans="2:15" ht="14.4" customHeight="1" x14ac:dyDescent="0.3">
      <c r="B15" s="46"/>
      <c r="C15" s="54"/>
      <c r="D15" s="11" t="s">
        <v>1</v>
      </c>
      <c r="E15" s="1" t="s">
        <v>5</v>
      </c>
    </row>
    <row r="16" spans="2:15" ht="14.4" customHeight="1" x14ac:dyDescent="0.3">
      <c r="B16" s="46"/>
      <c r="C16" s="55"/>
      <c r="D16" s="11" t="s">
        <v>26</v>
      </c>
      <c r="E16" s="1" t="s">
        <v>6</v>
      </c>
      <c r="J16" s="40" t="s">
        <v>53</v>
      </c>
      <c r="K16" s="41"/>
      <c r="L16" s="42"/>
      <c r="M16" s="34">
        <v>0.57221801267610672</v>
      </c>
      <c r="N16" s="35"/>
      <c r="O16" s="36"/>
    </row>
    <row r="17" spans="2:15" ht="16.649999999999999" customHeight="1" x14ac:dyDescent="0.3">
      <c r="B17" s="46"/>
      <c r="C17" s="51" t="s">
        <v>27</v>
      </c>
      <c r="D17" s="11" t="s">
        <v>28</v>
      </c>
      <c r="E17" s="1">
        <v>50</v>
      </c>
      <c r="J17" s="43"/>
      <c r="K17" s="44"/>
      <c r="L17" s="45"/>
      <c r="M17" s="37"/>
      <c r="N17" s="38"/>
      <c r="O17" s="39"/>
    </row>
    <row r="18" spans="2:15" x14ac:dyDescent="0.3">
      <c r="B18" s="46"/>
      <c r="C18" s="51"/>
      <c r="D18" s="11" t="s">
        <v>29</v>
      </c>
      <c r="E18" s="4">
        <v>1E-8</v>
      </c>
      <c r="J18" s="40" t="s">
        <v>54</v>
      </c>
      <c r="K18" s="41"/>
      <c r="L18" s="42"/>
      <c r="M18" s="34">
        <v>2.0334739473427947E-2</v>
      </c>
      <c r="N18" s="35"/>
      <c r="O18" s="36"/>
    </row>
    <row r="19" spans="2:15" ht="18.75" customHeight="1" x14ac:dyDescent="0.3">
      <c r="J19" s="43"/>
      <c r="K19" s="44"/>
      <c r="L19" s="45"/>
      <c r="M19" s="37"/>
      <c r="N19" s="38"/>
      <c r="O19" s="39"/>
    </row>
    <row r="20" spans="2:15" ht="15.6" x14ac:dyDescent="0.3">
      <c r="B20" s="31" t="s">
        <v>18</v>
      </c>
      <c r="C20" s="28" t="s">
        <v>8</v>
      </c>
      <c r="D20" s="12" t="s">
        <v>31</v>
      </c>
      <c r="E20" s="13">
        <v>8.2815925319382213</v>
      </c>
      <c r="J20" s="40" t="s">
        <v>57</v>
      </c>
      <c r="K20" s="41"/>
      <c r="L20" s="42"/>
      <c r="M20" s="34">
        <v>35.650595721039522</v>
      </c>
      <c r="N20" s="35"/>
      <c r="O20" s="36"/>
    </row>
    <row r="21" spans="2:15" ht="18" customHeight="1" x14ac:dyDescent="0.3">
      <c r="B21" s="32"/>
      <c r="C21" s="29"/>
      <c r="D21" s="12" t="s">
        <v>32</v>
      </c>
      <c r="E21" s="13">
        <v>8.2808229683262251</v>
      </c>
      <c r="J21" s="43"/>
      <c r="K21" s="44"/>
      <c r="L21" s="45"/>
      <c r="M21" s="37"/>
      <c r="N21" s="38"/>
      <c r="O21" s="39"/>
    </row>
    <row r="22" spans="2:15" ht="18.75" customHeight="1" x14ac:dyDescent="0.3">
      <c r="B22" s="32"/>
      <c r="C22" s="30"/>
      <c r="D22" s="12" t="s">
        <v>42</v>
      </c>
      <c r="E22" s="16">
        <f>(3*IVol^2)/(INbSteps*8*SQRT(2*PI())*SQRT(EXP(IVol^2)-1))</f>
        <v>6.214195774394191E-4</v>
      </c>
      <c r="J22" s="40" t="s">
        <v>55</v>
      </c>
      <c r="K22" s="41"/>
      <c r="L22" s="42"/>
      <c r="M22" s="34">
        <v>6.0224071636030274</v>
      </c>
      <c r="N22" s="35"/>
      <c r="O22" s="36"/>
    </row>
    <row r="23" spans="2:15" ht="18" customHeight="1" x14ac:dyDescent="0.3">
      <c r="B23" s="32"/>
      <c r="C23" s="28" t="s">
        <v>30</v>
      </c>
      <c r="D23" s="12" t="s">
        <v>33</v>
      </c>
      <c r="E23" s="14">
        <v>0.8671875</v>
      </c>
      <c r="J23" s="43"/>
      <c r="K23" s="44"/>
      <c r="L23" s="45"/>
      <c r="M23" s="37"/>
      <c r="N23" s="38"/>
      <c r="O23" s="39"/>
    </row>
    <row r="24" spans="2:15" ht="16.350000000000001" customHeight="1" x14ac:dyDescent="0.3">
      <c r="B24" s="32"/>
      <c r="C24" s="29"/>
      <c r="D24" s="12" t="s">
        <v>34</v>
      </c>
      <c r="E24" s="14">
        <v>0.171875</v>
      </c>
      <c r="J24" s="40" t="s">
        <v>56</v>
      </c>
      <c r="K24" s="41"/>
      <c r="L24" s="42"/>
      <c r="M24" s="34">
        <v>40.218502947625808</v>
      </c>
      <c r="N24" s="35"/>
      <c r="O24" s="36"/>
    </row>
    <row r="25" spans="2:15" ht="16.350000000000001" customHeight="1" x14ac:dyDescent="0.3">
      <c r="B25" s="32"/>
      <c r="C25" s="30"/>
      <c r="D25" s="12" t="s">
        <v>35</v>
      </c>
      <c r="E25" s="15">
        <f>ITimeTree+IPriceTime</f>
        <v>1.0390625</v>
      </c>
      <c r="J25" s="43"/>
      <c r="K25" s="44"/>
      <c r="L25" s="45"/>
      <c r="M25" s="37"/>
      <c r="N25" s="38"/>
      <c r="O25" s="39"/>
    </row>
    <row r="26" spans="2:15" ht="15.6" x14ac:dyDescent="0.3">
      <c r="B26" s="32"/>
      <c r="C26" s="28" t="s">
        <v>50</v>
      </c>
      <c r="D26" s="12" t="s">
        <v>31</v>
      </c>
      <c r="E26" s="13">
        <v>8.2917339057350894</v>
      </c>
    </row>
    <row r="27" spans="2:15" x14ac:dyDescent="0.3">
      <c r="B27" s="32"/>
      <c r="C27" s="29"/>
      <c r="D27" s="12" t="s">
        <v>33</v>
      </c>
      <c r="E27" s="14">
        <v>1.0089874267578125E-2</v>
      </c>
    </row>
    <row r="28" spans="2:15" x14ac:dyDescent="0.3">
      <c r="B28" s="32"/>
      <c r="C28" s="29"/>
      <c r="D28" s="12" t="s">
        <v>34</v>
      </c>
      <c r="E28" s="14">
        <v>1.9996166229248047E-3</v>
      </c>
    </row>
    <row r="29" spans="2:15" ht="15.6" x14ac:dyDescent="0.3">
      <c r="B29" s="33"/>
      <c r="C29" s="30"/>
      <c r="D29" s="12" t="s">
        <v>51</v>
      </c>
      <c r="E29" s="15">
        <f>IPythonTimeTree+IPythonPriceTime</f>
        <v>1.208949089050293E-2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58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J16:L17"/>
    <mergeCell ref="M16:O17"/>
    <mergeCell ref="B1:E3"/>
    <mergeCell ref="J6:L7"/>
    <mergeCell ref="C20:C22"/>
    <mergeCell ref="C17:C18"/>
    <mergeCell ref="C6:C10"/>
    <mergeCell ref="C11:C16"/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38100</xdr:colOff>
                    <xdr:row>25</xdr:row>
                    <xdr:rowOff>45720</xdr:rowOff>
                  </from>
                  <to>
                    <xdr:col>7</xdr:col>
                    <xdr:colOff>502920</xdr:colOff>
                    <xdr:row>28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C33" sqref="C33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6" t="s">
        <v>20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H34" sqref="H3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6" t="s">
        <v>19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4:XFD1048576 A1 D1:XFD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K5" sqref="K5:K2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6" t="s">
        <v>22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43" zoomScale="70" zoomScaleNormal="70" workbookViewId="0">
      <selection activeCell="AB45" sqref="AB45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36</v>
      </c>
      <c r="B1" s="57"/>
      <c r="C1" s="57"/>
      <c r="H1" s="57" t="s">
        <v>39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38</v>
      </c>
      <c r="B5" s="58"/>
      <c r="C5" s="58"/>
      <c r="D5" s="58"/>
      <c r="E5" s="58"/>
      <c r="F5" s="58"/>
    </row>
    <row r="6" spans="1:10" ht="14.4" customHeight="1" x14ac:dyDescent="0.3">
      <c r="A6" s="61" t="s">
        <v>7</v>
      </c>
      <c r="B6" s="61" t="s">
        <v>8</v>
      </c>
      <c r="C6" s="61" t="s">
        <v>2</v>
      </c>
      <c r="D6" s="61" t="s">
        <v>21</v>
      </c>
      <c r="E6" s="61" t="s">
        <v>9</v>
      </c>
      <c r="F6" s="61" t="s">
        <v>10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6.6708878553784512</v>
      </c>
      <c r="C8" s="8">
        <v>0</v>
      </c>
      <c r="D8" s="8">
        <v>8.280822968326218</v>
      </c>
      <c r="E8" s="9">
        <f>IF(D8&lt;&gt;"" &amp; B8&lt;&gt;"",ABS(B8-D8),"")</f>
        <v>1.6099351129477668</v>
      </c>
      <c r="F8" s="9">
        <f>IF($E8&lt;&gt;"", $E8*$A8, "")</f>
        <v>1.6099351129477668</v>
      </c>
    </row>
    <row r="9" spans="1:10" x14ac:dyDescent="0.3">
      <c r="A9" s="6">
        <v>5</v>
      </c>
      <c r="B9" s="8">
        <v>8.0823177908755763</v>
      </c>
      <c r="C9" s="6">
        <v>0</v>
      </c>
      <c r="D9" s="8">
        <v>8.280822968326218</v>
      </c>
      <c r="E9" s="9">
        <f t="shared" ref="E9:E56" si="0">IF(D9&lt;&gt;"" &amp; B9&lt;&gt;"",ABS(B9-D9),"")</f>
        <v>0.19850517745064167</v>
      </c>
      <c r="F9" s="5">
        <f t="shared" ref="F9:F56" si="1">IF($E9&lt;&gt;"", $E9*$A9, "")</f>
        <v>0.99252588725320834</v>
      </c>
    </row>
    <row r="10" spans="1:10" x14ac:dyDescent="0.3">
      <c r="A10" s="6">
        <v>10</v>
      </c>
      <c r="B10" s="8">
        <v>8.2243918032271512</v>
      </c>
      <c r="C10" s="6">
        <v>0</v>
      </c>
      <c r="D10" s="8">
        <v>8.280822968326218</v>
      </c>
      <c r="E10" s="9">
        <f t="shared" si="0"/>
        <v>5.643116509906676E-2</v>
      </c>
      <c r="F10" s="5">
        <f t="shared" si="1"/>
        <v>0.5643116509906676</v>
      </c>
    </row>
    <row r="11" spans="1:10" x14ac:dyDescent="0.3">
      <c r="A11" s="6">
        <v>20</v>
      </c>
      <c r="B11" s="8">
        <v>8.2756850519386091</v>
      </c>
      <c r="C11" s="6">
        <v>1.953125E-2</v>
      </c>
      <c r="D11" s="8">
        <v>8.280822968326218</v>
      </c>
      <c r="E11" s="9">
        <f t="shared" si="0"/>
        <v>5.1379163876088541E-3</v>
      </c>
      <c r="F11" s="5">
        <f t="shared" si="1"/>
        <v>0.10275832775217708</v>
      </c>
    </row>
    <row r="12" spans="1:10" x14ac:dyDescent="0.3">
      <c r="A12" s="6">
        <v>30</v>
      </c>
      <c r="B12" s="8">
        <v>8.2870378827587334</v>
      </c>
      <c r="C12" s="6">
        <v>0</v>
      </c>
      <c r="D12" s="8">
        <v>8.280822968326218</v>
      </c>
      <c r="E12" s="9">
        <f t="shared" si="0"/>
        <v>6.2149144325154282E-3</v>
      </c>
      <c r="F12" s="5">
        <f t="shared" si="1"/>
        <v>0.18644743297546285</v>
      </c>
    </row>
    <row r="13" spans="1:10" x14ac:dyDescent="0.3">
      <c r="A13" s="6">
        <v>50</v>
      </c>
      <c r="B13" s="8">
        <v>8.2917339057349562</v>
      </c>
      <c r="C13" s="6">
        <v>2.734375E-2</v>
      </c>
      <c r="D13" s="8">
        <v>8.280822968326218</v>
      </c>
      <c r="E13" s="9">
        <f t="shared" si="0"/>
        <v>1.0910937408738164E-2</v>
      </c>
      <c r="F13" s="5">
        <f t="shared" si="1"/>
        <v>0.54554687043690819</v>
      </c>
    </row>
    <row r="14" spans="1:10" x14ac:dyDescent="0.3">
      <c r="A14" s="6">
        <v>75</v>
      </c>
      <c r="B14" s="8">
        <v>8.2913172499047239</v>
      </c>
      <c r="C14" s="6">
        <v>1.953125E-2</v>
      </c>
      <c r="D14" s="8">
        <v>8.280822968326218</v>
      </c>
      <c r="E14" s="9">
        <f t="shared" si="0"/>
        <v>1.0494281578505849E-2</v>
      </c>
      <c r="F14" s="5">
        <f t="shared" si="1"/>
        <v>0.78707111838793864</v>
      </c>
    </row>
    <row r="15" spans="1:10" x14ac:dyDescent="0.3">
      <c r="A15" s="6">
        <v>100</v>
      </c>
      <c r="B15" s="8">
        <v>8.2898402820699886</v>
      </c>
      <c r="C15" s="6">
        <v>2.734375E-2</v>
      </c>
      <c r="D15" s="8">
        <v>8.280822968326218</v>
      </c>
      <c r="E15" s="9">
        <f t="shared" si="0"/>
        <v>9.0173137437705719E-3</v>
      </c>
      <c r="F15" s="5">
        <f t="shared" si="1"/>
        <v>0.90173137437705719</v>
      </c>
    </row>
    <row r="16" spans="1:10" x14ac:dyDescent="0.3">
      <c r="A16" s="6">
        <v>125</v>
      </c>
      <c r="B16" s="8">
        <v>8.2883086669381107</v>
      </c>
      <c r="C16" s="6">
        <v>5.078125E-2</v>
      </c>
      <c r="D16" s="8">
        <v>8.280822968326218</v>
      </c>
      <c r="E16" s="9">
        <f t="shared" si="0"/>
        <v>7.4856986118927438E-3</v>
      </c>
      <c r="F16" s="5">
        <f t="shared" si="1"/>
        <v>0.93571232648659297</v>
      </c>
    </row>
    <row r="17" spans="1:10" x14ac:dyDescent="0.3">
      <c r="A17" s="6">
        <f>A16+25</f>
        <v>150</v>
      </c>
      <c r="B17" s="8">
        <v>8.2869054142532175</v>
      </c>
      <c r="C17" s="6">
        <v>6.25E-2</v>
      </c>
      <c r="D17" s="8">
        <v>8.280822968326218</v>
      </c>
      <c r="E17" s="9">
        <f t="shared" si="0"/>
        <v>6.0824459269994691E-3</v>
      </c>
      <c r="F17" s="5">
        <f t="shared" si="1"/>
        <v>0.91236688904992036</v>
      </c>
    </row>
    <row r="18" spans="1:10" x14ac:dyDescent="0.3">
      <c r="A18" s="6">
        <f t="shared" ref="A18:A31" si="2">A17+25</f>
        <v>175</v>
      </c>
      <c r="B18" s="8">
        <v>8.2856551986719911</v>
      </c>
      <c r="C18" s="6">
        <v>6.25E-2</v>
      </c>
      <c r="D18" s="8">
        <v>8.280822968326218</v>
      </c>
      <c r="E18" s="9">
        <f t="shared" si="0"/>
        <v>4.8322303457730698E-3</v>
      </c>
      <c r="F18" s="5">
        <f t="shared" si="1"/>
        <v>0.84564031051028721</v>
      </c>
    </row>
    <row r="19" spans="1:10" ht="14.4" customHeight="1" x14ac:dyDescent="0.3">
      <c r="A19" s="6">
        <f t="shared" si="2"/>
        <v>200</v>
      </c>
      <c r="B19" s="8">
        <v>8.2845460566813056</v>
      </c>
      <c r="C19" s="6">
        <v>9.375E-2</v>
      </c>
      <c r="D19" s="8">
        <v>8.280822968326218</v>
      </c>
      <c r="E19" s="9">
        <f t="shared" si="0"/>
        <v>3.7230883550876115E-3</v>
      </c>
      <c r="F19" s="5">
        <f t="shared" si="1"/>
        <v>0.7446176710175223</v>
      </c>
    </row>
    <row r="20" spans="1:10" ht="14.4" customHeight="1" x14ac:dyDescent="0.3">
      <c r="A20" s="6">
        <f t="shared" si="2"/>
        <v>225</v>
      </c>
      <c r="B20" s="8">
        <v>8.2835593483487688</v>
      </c>
      <c r="C20" s="6">
        <v>0.109375</v>
      </c>
      <c r="D20" s="8">
        <v>8.280822968326218</v>
      </c>
      <c r="E20" s="9">
        <f t="shared" si="0"/>
        <v>2.7363800225508328E-3</v>
      </c>
      <c r="F20" s="5">
        <f t="shared" si="1"/>
        <v>0.61568550507393738</v>
      </c>
    </row>
    <row r="21" spans="1:10" ht="15" customHeight="1" x14ac:dyDescent="0.3">
      <c r="A21" s="6">
        <f>A20+25</f>
        <v>250</v>
      </c>
      <c r="B21" s="8">
        <v>8.2826749208012096</v>
      </c>
      <c r="C21" s="6">
        <v>0.125</v>
      </c>
      <c r="D21" s="8">
        <v>8.280822968326218</v>
      </c>
      <c r="E21" s="9">
        <f t="shared" si="0"/>
        <v>1.8519524749915917E-3</v>
      </c>
      <c r="F21" s="5">
        <f>IF($E21&lt;&gt;"", $E21*$A21, "")</f>
        <v>0.46298811874789791</v>
      </c>
    </row>
    <row r="22" spans="1:10" x14ac:dyDescent="0.3">
      <c r="A22" s="6">
        <f>A21+25</f>
        <v>275</v>
      </c>
      <c r="B22" s="8">
        <v>8.2818790633374313</v>
      </c>
      <c r="C22" s="6">
        <v>0.140625</v>
      </c>
      <c r="D22" s="8">
        <v>8.280822968326218</v>
      </c>
      <c r="E22" s="9">
        <f t="shared" si="0"/>
        <v>1.0560950112132872E-3</v>
      </c>
      <c r="F22" s="5">
        <f t="shared" si="1"/>
        <v>0.29042612808365398</v>
      </c>
    </row>
    <row r="23" spans="1:10" x14ac:dyDescent="0.3">
      <c r="A23" s="6">
        <f t="shared" si="2"/>
        <v>300</v>
      </c>
      <c r="B23" s="8">
        <v>8.2811575999934615</v>
      </c>
      <c r="C23" s="6">
        <v>0.15625</v>
      </c>
      <c r="D23" s="8">
        <v>8.280822968326218</v>
      </c>
      <c r="E23" s="9">
        <f t="shared" si="0"/>
        <v>3.3463166724345683E-4</v>
      </c>
      <c r="F23" s="5">
        <f t="shared" si="1"/>
        <v>0.10038950017303705</v>
      </c>
    </row>
    <row r="24" spans="1:10" x14ac:dyDescent="0.3">
      <c r="A24" s="6">
        <f t="shared" si="2"/>
        <v>325</v>
      </c>
      <c r="B24" s="8">
        <v>8.2805002611490313</v>
      </c>
      <c r="C24" s="6">
        <v>0.1875</v>
      </c>
      <c r="D24" s="8">
        <v>8.280822968326218</v>
      </c>
      <c r="E24" s="9">
        <f t="shared" si="0"/>
        <v>3.2270717718674291E-4</v>
      </c>
      <c r="F24" s="5">
        <f t="shared" si="1"/>
        <v>0.10487983258569145</v>
      </c>
    </row>
    <row r="25" spans="1:10" x14ac:dyDescent="0.3">
      <c r="A25" s="6">
        <f t="shared" si="2"/>
        <v>350</v>
      </c>
      <c r="B25" s="8">
        <v>8.2798986069773335</v>
      </c>
      <c r="C25" s="6">
        <v>0.203125</v>
      </c>
      <c r="D25" s="8">
        <v>8.280822968326218</v>
      </c>
      <c r="E25" s="9">
        <f t="shared" si="0"/>
        <v>9.2436134888451704E-4</v>
      </c>
      <c r="F25" s="5">
        <f t="shared" si="1"/>
        <v>0.32352647210958096</v>
      </c>
    </row>
    <row r="26" spans="1:10" x14ac:dyDescent="0.3">
      <c r="A26" s="6">
        <f t="shared" si="2"/>
        <v>375</v>
      </c>
      <c r="B26" s="8">
        <v>8.2793451052809388</v>
      </c>
      <c r="C26" s="6">
        <v>0.21875</v>
      </c>
      <c r="D26" s="8">
        <v>8.280822968326218</v>
      </c>
      <c r="E26" s="9">
        <f t="shared" si="0"/>
        <v>1.477863045279193E-3</v>
      </c>
      <c r="F26" s="5">
        <f t="shared" si="1"/>
        <v>0.55419864197969737</v>
      </c>
    </row>
    <row r="27" spans="1:10" x14ac:dyDescent="0.3">
      <c r="A27" s="6">
        <f t="shared" si="2"/>
        <v>400</v>
      </c>
      <c r="B27" s="8">
        <v>8.2788324984013748</v>
      </c>
      <c r="C27" s="6">
        <v>0.25</v>
      </c>
      <c r="D27" s="8">
        <v>8.280822968326218</v>
      </c>
      <c r="E27" s="9">
        <f t="shared" si="0"/>
        <v>1.9904699248431967E-3</v>
      </c>
      <c r="F27" s="5">
        <f t="shared" si="1"/>
        <v>0.79618796993727869</v>
      </c>
    </row>
    <row r="28" spans="1:10" x14ac:dyDescent="0.3">
      <c r="A28" s="6">
        <f t="shared" si="2"/>
        <v>425</v>
      </c>
      <c r="B28" s="8">
        <v>8.2783570602199479</v>
      </c>
      <c r="C28" s="6">
        <v>0.25</v>
      </c>
      <c r="D28" s="8">
        <v>8.280822968326218</v>
      </c>
      <c r="E28" s="9">
        <f t="shared" si="0"/>
        <v>2.4659081062701205E-3</v>
      </c>
      <c r="F28" s="5">
        <f t="shared" si="1"/>
        <v>1.0480109451648012</v>
      </c>
    </row>
    <row r="29" spans="1:10" x14ac:dyDescent="0.3">
      <c r="A29" s="6">
        <f t="shared" si="2"/>
        <v>450</v>
      </c>
      <c r="B29" s="8">
        <v>8.2779143948831582</v>
      </c>
      <c r="C29" s="6">
        <v>0.28125</v>
      </c>
      <c r="D29" s="8">
        <v>8.280822968326218</v>
      </c>
      <c r="E29" s="9">
        <f t="shared" si="0"/>
        <v>2.9085734430598364E-3</v>
      </c>
      <c r="F29" s="5">
        <f t="shared" si="1"/>
        <v>1.3088580493769264</v>
      </c>
    </row>
    <row r="30" spans="1:10" x14ac:dyDescent="0.3">
      <c r="A30" s="6">
        <f t="shared" si="2"/>
        <v>475</v>
      </c>
      <c r="B30" s="8">
        <v>8.2775011851181866</v>
      </c>
      <c r="C30" s="6">
        <v>0.296875</v>
      </c>
      <c r="D30" s="8">
        <v>8.280822968326218</v>
      </c>
      <c r="E30" s="9">
        <f t="shared" si="0"/>
        <v>3.321783208031448E-3</v>
      </c>
      <c r="F30" s="5">
        <f t="shared" si="1"/>
        <v>1.5778470238149378</v>
      </c>
    </row>
    <row r="31" spans="1:10" x14ac:dyDescent="0.3">
      <c r="A31" s="6">
        <f t="shared" si="2"/>
        <v>500</v>
      </c>
      <c r="B31" s="8">
        <v>8.2771121016200997</v>
      </c>
      <c r="C31" s="6">
        <v>0.328125</v>
      </c>
      <c r="D31" s="8">
        <v>8.280822968326218</v>
      </c>
      <c r="E31" s="9">
        <f t="shared" si="0"/>
        <v>3.7108667061183098E-3</v>
      </c>
      <c r="F31" s="5">
        <f t="shared" si="1"/>
        <v>1.8554333530591549</v>
      </c>
    </row>
    <row r="32" spans="1:10" x14ac:dyDescent="0.3">
      <c r="A32" s="6">
        <f>A31+50</f>
        <v>550</v>
      </c>
      <c r="B32" s="8">
        <v>8.278280627731645</v>
      </c>
      <c r="C32" s="6">
        <v>0.375</v>
      </c>
      <c r="D32" s="8">
        <v>8.280822968326218</v>
      </c>
      <c r="E32" s="9">
        <f t="shared" si="0"/>
        <v>2.5423405945730337E-3</v>
      </c>
      <c r="F32" s="5">
        <f t="shared" si="1"/>
        <v>1.3982873270151686</v>
      </c>
      <c r="H32" s="57" t="s">
        <v>40</v>
      </c>
      <c r="I32" s="57"/>
      <c r="J32" s="57"/>
    </row>
    <row r="33" spans="1:15" x14ac:dyDescent="0.3">
      <c r="A33" s="6">
        <f t="shared" ref="A33:A41" si="3">A32+50</f>
        <v>600</v>
      </c>
      <c r="B33" s="8">
        <v>8.2792340292222608</v>
      </c>
      <c r="C33" s="6">
        <v>0.4375</v>
      </c>
      <c r="D33" s="8">
        <v>8.280822968326218</v>
      </c>
      <c r="E33" s="9">
        <f t="shared" si="0"/>
        <v>1.5889391039571876E-3</v>
      </c>
      <c r="F33" s="5">
        <f t="shared" si="1"/>
        <v>0.95336346237431258</v>
      </c>
      <c r="H33" s="57"/>
      <c r="I33" s="57"/>
      <c r="J33" s="57"/>
      <c r="K33" s="59" t="s">
        <v>41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8.2799429743084811</v>
      </c>
      <c r="C34" s="6">
        <v>0.484375</v>
      </c>
      <c r="D34" s="8">
        <v>8.280822968326218</v>
      </c>
      <c r="E34" s="9">
        <f t="shared" si="0"/>
        <v>8.7999401773686259E-4</v>
      </c>
      <c r="F34" s="5">
        <f t="shared" si="1"/>
        <v>0.57199611152896068</v>
      </c>
      <c r="H34" s="57"/>
      <c r="I34" s="57"/>
      <c r="J34" s="57"/>
    </row>
    <row r="35" spans="1:15" x14ac:dyDescent="0.3">
      <c r="A35" s="6">
        <f t="shared" si="3"/>
        <v>700</v>
      </c>
      <c r="B35" s="8">
        <v>8.2804673406733436</v>
      </c>
      <c r="C35" s="6">
        <v>0.546875</v>
      </c>
      <c r="D35" s="8">
        <v>8.280822968326218</v>
      </c>
      <c r="E35" s="9">
        <f t="shared" si="0"/>
        <v>3.556276528744462E-4</v>
      </c>
      <c r="F35" s="5">
        <f t="shared" si="1"/>
        <v>0.24893935701211234</v>
      </c>
      <c r="H35" s="7" t="s">
        <v>52</v>
      </c>
    </row>
    <row r="36" spans="1:15" x14ac:dyDescent="0.3">
      <c r="A36" s="6">
        <f t="shared" si="3"/>
        <v>750</v>
      </c>
      <c r="B36" s="8">
        <v>8.2808544721972464</v>
      </c>
      <c r="C36" s="6">
        <v>0.59765625</v>
      </c>
      <c r="D36" s="8">
        <v>8.280822968326218</v>
      </c>
      <c r="E36" s="9">
        <f t="shared" si="0"/>
        <v>3.150387102834884E-5</v>
      </c>
      <c r="F36" s="5">
        <f t="shared" si="1"/>
        <v>2.362790327126163E-2</v>
      </c>
    </row>
    <row r="37" spans="1:15" x14ac:dyDescent="0.3">
      <c r="A37" s="6">
        <f t="shared" si="3"/>
        <v>800</v>
      </c>
      <c r="B37" s="8">
        <v>8.2811355728208191</v>
      </c>
      <c r="C37" s="6">
        <v>0.671875</v>
      </c>
      <c r="D37" s="8">
        <v>8.280822968326218</v>
      </c>
      <c r="E37" s="9">
        <f t="shared" si="0"/>
        <v>3.1260449460113193E-4</v>
      </c>
      <c r="F37" s="5">
        <f t="shared" si="1"/>
        <v>0.25008359568090555</v>
      </c>
    </row>
    <row r="38" spans="1:15" x14ac:dyDescent="0.3">
      <c r="A38" s="6">
        <f t="shared" si="3"/>
        <v>850</v>
      </c>
      <c r="B38" s="8">
        <v>8.2813344011572383</v>
      </c>
      <c r="C38" s="6">
        <v>0.71875</v>
      </c>
      <c r="D38" s="8">
        <v>8.280822968326218</v>
      </c>
      <c r="E38" s="9">
        <f t="shared" si="0"/>
        <v>5.1143283102028647E-4</v>
      </c>
      <c r="F38" s="5">
        <f t="shared" si="1"/>
        <v>0.4347179063672435</v>
      </c>
    </row>
    <row r="39" spans="1:15" x14ac:dyDescent="0.3">
      <c r="A39" s="6">
        <f t="shared" si="3"/>
        <v>900</v>
      </c>
      <c r="B39" s="8">
        <v>8.281467780693692</v>
      </c>
      <c r="C39" s="6">
        <v>0.78125</v>
      </c>
      <c r="D39" s="8">
        <v>8.280822968326218</v>
      </c>
      <c r="E39" s="9">
        <f t="shared" si="0"/>
        <v>6.448123674740458E-4</v>
      </c>
      <c r="F39" s="5">
        <f t="shared" si="1"/>
        <v>0.58033113072664122</v>
      </c>
    </row>
    <row r="40" spans="1:15" x14ac:dyDescent="0.3">
      <c r="A40" s="6">
        <f>A39+50</f>
        <v>950</v>
      </c>
      <c r="B40" s="8">
        <v>8.2815510659222848</v>
      </c>
      <c r="C40" s="6">
        <v>0.84375</v>
      </c>
      <c r="D40" s="8">
        <v>8.280822968326218</v>
      </c>
      <c r="E40" s="9">
        <f t="shared" si="0"/>
        <v>7.2809759606684565E-4</v>
      </c>
      <c r="F40" s="5">
        <f t="shared" si="1"/>
        <v>0.69169271626350337</v>
      </c>
    </row>
    <row r="41" spans="1:15" x14ac:dyDescent="0.3">
      <c r="A41" s="6">
        <f t="shared" si="3"/>
        <v>1000</v>
      </c>
      <c r="B41" s="8">
        <v>8.2815925319382213</v>
      </c>
      <c r="C41" s="6">
        <v>0.91015625</v>
      </c>
      <c r="D41" s="8">
        <v>8.280822968326218</v>
      </c>
      <c r="E41" s="9">
        <f t="shared" si="0"/>
        <v>7.6956361200331003E-4</v>
      </c>
      <c r="F41" s="5">
        <f t="shared" si="1"/>
        <v>0.76956361200331003</v>
      </c>
    </row>
    <row r="42" spans="1:15" x14ac:dyDescent="0.3">
      <c r="A42" s="6">
        <f>A41+100</f>
        <v>1100</v>
      </c>
      <c r="B42" s="8">
        <v>8.2815842913366264</v>
      </c>
      <c r="C42" s="6">
        <v>1.046875</v>
      </c>
      <c r="D42" s="8">
        <v>8.280822968326218</v>
      </c>
      <c r="E42" s="9">
        <f t="shared" si="0"/>
        <v>7.6132301040843231E-4</v>
      </c>
      <c r="F42" s="5">
        <f t="shared" si="1"/>
        <v>0.83745531144927554</v>
      </c>
    </row>
    <row r="43" spans="1:15" x14ac:dyDescent="0.3">
      <c r="A43" s="6">
        <f t="shared" ref="A43:A56" si="4">A42+100</f>
        <v>1200</v>
      </c>
      <c r="B43" s="8">
        <v>8.2814884634375741</v>
      </c>
      <c r="C43" s="6">
        <v>1.1875</v>
      </c>
      <c r="D43" s="8">
        <v>8.280822968326218</v>
      </c>
      <c r="E43" s="9">
        <f t="shared" si="0"/>
        <v>6.6549511135605144E-4</v>
      </c>
      <c r="F43" s="5">
        <f t="shared" si="1"/>
        <v>0.79859413362726173</v>
      </c>
    </row>
    <row r="44" spans="1:15" x14ac:dyDescent="0.3">
      <c r="A44" s="6">
        <f t="shared" si="4"/>
        <v>1300</v>
      </c>
      <c r="B44" s="8">
        <v>8.2813377792616301</v>
      </c>
      <c r="C44" s="6">
        <v>1.33203125</v>
      </c>
      <c r="D44" s="8">
        <v>8.280822968326218</v>
      </c>
      <c r="E44" s="9">
        <f t="shared" si="0"/>
        <v>5.148109354120578E-4</v>
      </c>
      <c r="F44" s="5">
        <f t="shared" si="1"/>
        <v>0.66925421603567514</v>
      </c>
    </row>
    <row r="45" spans="1:15" x14ac:dyDescent="0.3">
      <c r="A45" s="6">
        <f t="shared" si="4"/>
        <v>1400</v>
      </c>
      <c r="B45" s="8">
        <v>8.2811464162281752</v>
      </c>
      <c r="C45" s="6">
        <v>1.56640625</v>
      </c>
      <c r="D45" s="8">
        <v>8.280822968326218</v>
      </c>
      <c r="E45" s="9">
        <f t="shared" si="0"/>
        <v>3.2344790195715234E-4</v>
      </c>
      <c r="F45" s="5">
        <f t="shared" si="1"/>
        <v>0.45282706274001328</v>
      </c>
    </row>
    <row r="46" spans="1:15" x14ac:dyDescent="0.3">
      <c r="A46" s="6">
        <f t="shared" si="4"/>
        <v>1500</v>
      </c>
      <c r="B46" s="8">
        <v>8.2809351202195085</v>
      </c>
      <c r="C46" s="6">
        <v>1.640625</v>
      </c>
      <c r="D46" s="8">
        <v>8.280822968326218</v>
      </c>
      <c r="E46" s="9">
        <f t="shared" si="0"/>
        <v>1.121518932905019E-4</v>
      </c>
      <c r="F46" s="5">
        <f t="shared" si="1"/>
        <v>0.16822783993575285</v>
      </c>
    </row>
    <row r="47" spans="1:15" x14ac:dyDescent="0.3">
      <c r="A47" s="6">
        <f t="shared" si="4"/>
        <v>1600</v>
      </c>
      <c r="B47" s="8">
        <v>8.2807066724992691</v>
      </c>
      <c r="C47" s="6">
        <v>1.796875</v>
      </c>
      <c r="D47" s="8">
        <v>8.280822968326218</v>
      </c>
      <c r="E47" s="9">
        <f t="shared" si="0"/>
        <v>1.1629582694894225E-4</v>
      </c>
      <c r="F47" s="5">
        <f t="shared" si="1"/>
        <v>0.1860733231183076</v>
      </c>
    </row>
    <row r="48" spans="1:15" x14ac:dyDescent="0.3">
      <c r="A48" s="6">
        <f t="shared" si="4"/>
        <v>1700</v>
      </c>
      <c r="B48" s="8">
        <v>8.2804690898514774</v>
      </c>
      <c r="C48" s="6">
        <v>1.984375</v>
      </c>
      <c r="D48" s="8">
        <v>8.280822968326218</v>
      </c>
      <c r="E48" s="9">
        <f t="shared" si="0"/>
        <v>3.5387847474055434E-4</v>
      </c>
      <c r="F48" s="5">
        <f t="shared" si="1"/>
        <v>0.60159340705894238</v>
      </c>
    </row>
    <row r="49" spans="1:6" x14ac:dyDescent="0.3">
      <c r="A49" s="6">
        <f t="shared" si="4"/>
        <v>1800</v>
      </c>
      <c r="B49" s="8">
        <v>8.2802262780156219</v>
      </c>
      <c r="C49" s="6">
        <v>2.12890625</v>
      </c>
      <c r="D49" s="8">
        <v>8.280822968326218</v>
      </c>
      <c r="E49" s="9">
        <f t="shared" si="0"/>
        <v>5.966903105960597E-4</v>
      </c>
      <c r="F49" s="5">
        <f t="shared" si="1"/>
        <v>1.0740425590729075</v>
      </c>
    </row>
    <row r="50" spans="1:6" x14ac:dyDescent="0.3">
      <c r="A50" s="6">
        <f t="shared" si="4"/>
        <v>1900</v>
      </c>
      <c r="B50" s="6">
        <v>8.2799839558016046</v>
      </c>
      <c r="C50" s="6">
        <v>2.328125</v>
      </c>
      <c r="D50" s="8">
        <v>8.280822968326218</v>
      </c>
      <c r="E50" s="9">
        <f t="shared" si="0"/>
        <v>8.3901252461338061E-4</v>
      </c>
      <c r="F50" s="5">
        <f t="shared" si="1"/>
        <v>1.5941237967654232</v>
      </c>
    </row>
    <row r="51" spans="1:6" x14ac:dyDescent="0.3">
      <c r="A51" s="6">
        <f t="shared" si="4"/>
        <v>2000</v>
      </c>
      <c r="B51" s="6">
        <v>8.2797401600079148</v>
      </c>
      <c r="C51" s="6">
        <v>2.5</v>
      </c>
      <c r="D51" s="8">
        <v>8.280822968326218</v>
      </c>
      <c r="E51" s="9">
        <f t="shared" si="0"/>
        <v>1.0828083183032078E-3</v>
      </c>
      <c r="F51" s="5">
        <f t="shared" si="1"/>
        <v>2.1656166366064156</v>
      </c>
    </row>
    <row r="52" spans="1:6" x14ac:dyDescent="0.3">
      <c r="A52" s="6">
        <f t="shared" si="4"/>
        <v>2100</v>
      </c>
      <c r="B52" s="6">
        <v>8.2799676081270164</v>
      </c>
      <c r="C52" s="6">
        <v>2.69140625</v>
      </c>
      <c r="D52" s="8">
        <v>8.280822968326218</v>
      </c>
      <c r="E52" s="9">
        <f t="shared" si="0"/>
        <v>8.5536019920162687E-4</v>
      </c>
      <c r="F52" s="5">
        <f t="shared" si="1"/>
        <v>1.7962564183234164</v>
      </c>
    </row>
    <row r="53" spans="1:6" x14ac:dyDescent="0.3">
      <c r="A53" s="6">
        <f t="shared" si="4"/>
        <v>2200</v>
      </c>
      <c r="B53" s="6">
        <v>8.2801986175162945</v>
      </c>
      <c r="C53" s="6">
        <v>2.859375</v>
      </c>
      <c r="D53" s="8">
        <v>8.280822968326218</v>
      </c>
      <c r="E53" s="9">
        <f t="shared" si="0"/>
        <v>6.2435080992351288E-4</v>
      </c>
      <c r="F53" s="5">
        <f t="shared" si="1"/>
        <v>1.3735717818317283</v>
      </c>
    </row>
    <row r="54" spans="1:6" x14ac:dyDescent="0.3">
      <c r="A54" s="6">
        <f t="shared" si="4"/>
        <v>2300</v>
      </c>
      <c r="B54" s="6">
        <v>8.2803816493856388</v>
      </c>
      <c r="C54" s="6">
        <v>3.08203125</v>
      </c>
      <c r="D54" s="8">
        <v>8.280822968326218</v>
      </c>
      <c r="E54" s="9">
        <f t="shared" si="0"/>
        <v>4.4131894057919396E-4</v>
      </c>
      <c r="F54" s="5">
        <f t="shared" si="1"/>
        <v>1.0150335633321461</v>
      </c>
    </row>
    <row r="55" spans="1:6" x14ac:dyDescent="0.3">
      <c r="A55" s="6">
        <f t="shared" si="4"/>
        <v>2400</v>
      </c>
      <c r="B55" s="6">
        <v>8.2805270746438673</v>
      </c>
      <c r="C55" s="6">
        <v>3.28125</v>
      </c>
      <c r="D55" s="8">
        <v>8.280822968326218</v>
      </c>
      <c r="E55" s="9">
        <f t="shared" si="0"/>
        <v>2.95893682350723E-4</v>
      </c>
      <c r="F55" s="5">
        <f t="shared" si="1"/>
        <v>0.71014483764173519</v>
      </c>
    </row>
    <row r="56" spans="1:6" x14ac:dyDescent="0.3">
      <c r="A56" s="6">
        <f t="shared" si="4"/>
        <v>2500</v>
      </c>
      <c r="B56" s="6">
        <v>8.280638401097983</v>
      </c>
      <c r="C56" s="6">
        <v>3.4375</v>
      </c>
      <c r="D56" s="8">
        <v>8.280822968326218</v>
      </c>
      <c r="E56" s="9">
        <f t="shared" si="0"/>
        <v>1.8456722823501082E-4</v>
      </c>
      <c r="F56" s="5">
        <f t="shared" si="1"/>
        <v>0.46141807058752704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B14" sqref="B14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43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38</v>
      </c>
      <c r="B5" s="58"/>
      <c r="C5" s="58"/>
      <c r="D5" s="58"/>
      <c r="E5" s="58"/>
      <c r="F5" s="58"/>
    </row>
    <row r="6" spans="1:8" ht="27.75" customHeight="1" x14ac:dyDescent="0.3">
      <c r="A6" s="19" t="s">
        <v>15</v>
      </c>
      <c r="B6" s="19" t="s">
        <v>31</v>
      </c>
      <c r="C6" s="19" t="s">
        <v>32</v>
      </c>
      <c r="D6" s="19" t="s">
        <v>44</v>
      </c>
      <c r="E6" s="19" t="s">
        <v>45</v>
      </c>
      <c r="F6" s="19" t="s">
        <v>46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2024-10-14T10:12:27Z</dcterms:modified>
</cp:coreProperties>
</file>