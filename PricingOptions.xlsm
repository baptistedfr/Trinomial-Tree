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7118BD8E-8FDC-43F3-806E-1B61F86858FD}" xr6:coauthVersionLast="47" xr6:coauthVersionMax="47" xr10:uidLastSave="{00000000-0000-0000-0000-000000000000}"/>
  <bookViews>
    <workbookView xWindow="-108" yWindow="-108" windowWidth="23256" windowHeight="12456" activeTab="4" xr2:uid="{50F7F52E-ED77-47DB-83CE-AA249E62083E}"/>
  </bookViews>
  <sheets>
    <sheet name="Pricer" sheetId="4" r:id="rId1"/>
    <sheet name="OptionPricePlot" sheetId="8" r:id="rId2"/>
    <sheet name="UnderlyingPlot" sheetId="7" r:id="rId3"/>
    <sheet name="Graphs" sheetId="2" r:id="rId4"/>
    <sheet name="Graphique" sheetId="3" r:id="rId5"/>
  </sheets>
  <functionGroups builtInGroupCount="19">
    <functionGroup name="GPT for Excel Word"/>
  </functionGroups>
  <definedNames>
    <definedName name="begin_plot">OptionPricePlot!$A$3</definedName>
    <definedName name="begin_undl_plot">UnderlyingPlot!$A$3</definedName>
    <definedName name="BSPricePython">#REF!</definedName>
    <definedName name="BSTimePython">#REF!</definedName>
    <definedName name="DivDate">#REF!</definedName>
    <definedName name="Dividend">#REF!</definedName>
    <definedName name="ExecutionTIme">#REF!</definedName>
    <definedName name="ExecutionTimeBS">#REF!</definedName>
    <definedName name="ExerciceType">#REF!</definedName>
    <definedName name="GBSPrice">Graphique!$A$17</definedName>
    <definedName name="Gdiv">Graphique!$B$10</definedName>
    <definedName name="GexType">Graphique!$B$4</definedName>
    <definedName name="Gmat">Graphique!$B$8</definedName>
    <definedName name="Grate">Graphique!$B$9</definedName>
    <definedName name="Gspot">Graphique!$B$5</definedName>
    <definedName name="GstartDate">Graphique!$B$11</definedName>
    <definedName name="Gstrike">Graphique!$B$6</definedName>
    <definedName name="Gtype">Graphique!$B$3</definedName>
    <definedName name="Gvol">Graphique!$B$7</definedName>
    <definedName name="IBSPrice">Pricer!$M$11</definedName>
    <definedName name="IDelta">Pricer!$M$23</definedName>
    <definedName name="IDiv">Pricer!$I$14</definedName>
    <definedName name="IDivDate">Pricer!$I$16</definedName>
    <definedName name="IExerciseType">Pricer!$I$26</definedName>
    <definedName name="IGamma">Pricer!$M$26</definedName>
    <definedName name="IGreeks">Pricer!$I$34</definedName>
    <definedName name="IMaturity">Pricer!$I$18</definedName>
    <definedName name="INbSteps">Pricer!$I$30</definedName>
    <definedName name="InterestRate">#REF!</definedName>
    <definedName name="IntialPrice">#REF!</definedName>
    <definedName name="IOptionPrice">Pricer!$M$8</definedName>
    <definedName name="IOptionType">Pricer!$I$24</definedName>
    <definedName name="IPricingMethod">Pricer!$I$28</definedName>
    <definedName name="IPrunning">Pricer!$I$32</definedName>
    <definedName name="IRate">Pricer!$I$12</definedName>
    <definedName name="IRho">Pricer!$M$35</definedName>
    <definedName name="IShowTree">Pricer!$I$36</definedName>
    <definedName name="ISpot">Pricer!$I$8</definedName>
    <definedName name="IStartDate">Pricer!$I$22</definedName>
    <definedName name="IStrike">Pricer!$I$20</definedName>
    <definedName name="ITheta">Pricer!$M$32</definedName>
    <definedName name="ITimePrice">Pricer!$M$17</definedName>
    <definedName name="ITimeTotal">Pricer!$M$20</definedName>
    <definedName name="ITimeTree">Pricer!$M$14</definedName>
    <definedName name="IVega">Pricer!$M$29</definedName>
    <definedName name="IVOl">Pricer!$I$10</definedName>
    <definedName name="Maturity">#REF!</definedName>
    <definedName name="NbSteps">#REF!</definedName>
    <definedName name="OptionType">#REF!</definedName>
    <definedName name="Price">#REF!</definedName>
    <definedName name="PriceBS">#REF!</definedName>
    <definedName name="PriceTree">#REF!</definedName>
    <definedName name="PricingType">#REF!</definedName>
    <definedName name="Spot">Graphique!$B$5</definedName>
    <definedName name="StartDate">#REF!</definedName>
    <definedName name="starting_point_option">#REF!</definedName>
    <definedName name="starting_point_under">#REF!</definedName>
    <definedName name="StepRange">Graphique!$D$3:$D$51</definedName>
    <definedName name="Steps">#REF!</definedName>
    <definedName name="Strike">#REF!</definedName>
    <definedName name="TreePrice">#REF!</definedName>
    <definedName name="TreePricePython">#REF!</definedName>
    <definedName name="TreeTimePython">#REF!</definedName>
    <definedName name="Type">#REF!</definedName>
    <definedName name="TypeOption">#REF!</definedName>
    <definedName name="TypePricing">#REF!</definedName>
    <definedName name="Volatility">#REF!</definedName>
  </definedName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3" i="3"/>
  <c r="H3" i="3"/>
  <c r="D3" i="3"/>
  <c r="I3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4" i="3"/>
  <c r="M20" i="4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I51" i="3"/>
  <c r="I50" i="3"/>
  <c r="I49" i="3"/>
  <c r="I48" i="3"/>
  <c r="I47" i="3"/>
  <c r="I46" i="3"/>
  <c r="I45" i="3"/>
  <c r="I13" i="3"/>
  <c r="I25" i="3"/>
  <c r="I37" i="3"/>
  <c r="I39" i="3"/>
  <c r="I18" i="3"/>
  <c r="I30" i="3"/>
  <c r="I42" i="3"/>
  <c r="I5" i="3"/>
  <c r="I8" i="3"/>
  <c r="I11" i="3"/>
  <c r="I23" i="3"/>
  <c r="I35" i="3"/>
  <c r="I16" i="3"/>
  <c r="I28" i="3"/>
  <c r="I40" i="3"/>
  <c r="I4" i="3"/>
  <c r="I21" i="3"/>
  <c r="I33" i="3"/>
  <c r="I14" i="3"/>
  <c r="I26" i="3"/>
  <c r="I38" i="3"/>
  <c r="I6" i="3"/>
  <c r="I9" i="3"/>
  <c r="I19" i="3"/>
  <c r="I31" i="3"/>
  <c r="I43" i="3"/>
  <c r="I27" i="3"/>
  <c r="I12" i="3"/>
  <c r="I24" i="3"/>
  <c r="I36" i="3"/>
  <c r="I10" i="3"/>
  <c r="I17" i="3"/>
  <c r="I29" i="3"/>
  <c r="I41" i="3"/>
  <c r="I7" i="3"/>
  <c r="I22" i="3"/>
  <c r="I34" i="3"/>
  <c r="I15" i="3"/>
  <c r="I20" i="3"/>
  <c r="I32" i="3"/>
  <c r="I44" i="3"/>
</calcChain>
</file>

<file path=xl/sharedStrings.xml><?xml version="1.0" encoding="utf-8"?>
<sst xmlns="http://schemas.openxmlformats.org/spreadsheetml/2006/main" count="83" uniqueCount="64">
  <si>
    <t>Inputs</t>
  </si>
  <si>
    <t>Type</t>
  </si>
  <si>
    <t>Exercice Type</t>
  </si>
  <si>
    <t>Volatility (%)</t>
  </si>
  <si>
    <t>Interest Rate (%)</t>
  </si>
  <si>
    <t>Maturity (Year)</t>
  </si>
  <si>
    <t>Tree</t>
  </si>
  <si>
    <t>Execution Time</t>
  </si>
  <si>
    <t>B&amp;S</t>
  </si>
  <si>
    <t>Option Price</t>
  </si>
  <si>
    <t>Python</t>
  </si>
  <si>
    <t>VBA</t>
  </si>
  <si>
    <t>Div Date</t>
  </si>
  <si>
    <t>Start Date</t>
  </si>
  <si>
    <t>Dividend ($)</t>
  </si>
  <si>
    <t>Stock Price ($)</t>
  </si>
  <si>
    <t>Strike ($)</t>
  </si>
  <si>
    <t>Call</t>
  </si>
  <si>
    <t>European</t>
  </si>
  <si>
    <t xml:space="preserve">   </t>
  </si>
  <si>
    <t>Step</t>
  </si>
  <si>
    <t>Price</t>
  </si>
  <si>
    <t>Input</t>
  </si>
  <si>
    <t>Gap</t>
  </si>
  <si>
    <t>Gap * N</t>
  </si>
  <si>
    <t>Market</t>
  </si>
  <si>
    <t>Option</t>
  </si>
  <si>
    <t>Spot</t>
  </si>
  <si>
    <t>Dividend</t>
  </si>
  <si>
    <t>Strike</t>
  </si>
  <si>
    <t>Exercise Type</t>
  </si>
  <si>
    <t>Pricing Method</t>
  </si>
  <si>
    <t>Nb Steps</t>
  </si>
  <si>
    <t>Prunning Treshold</t>
  </si>
  <si>
    <t>Pricer</t>
  </si>
  <si>
    <t>Risk-free Rate (%)</t>
  </si>
  <si>
    <t>Option Type</t>
  </si>
  <si>
    <t>Put</t>
  </si>
  <si>
    <t>American</t>
  </si>
  <si>
    <t>Bermudean</t>
  </si>
  <si>
    <t>Pricer type</t>
  </si>
  <si>
    <t>Compute Greeks ?</t>
  </si>
  <si>
    <t>Show Tree ?</t>
  </si>
  <si>
    <t>Output</t>
  </si>
  <si>
    <t>Option Price (Tree)</t>
  </si>
  <si>
    <t>Option Price (B&amp;S)</t>
  </si>
  <si>
    <t>Time</t>
  </si>
  <si>
    <t>Tree generation (sec)</t>
  </si>
  <si>
    <t>Option Pricing (sec)</t>
  </si>
  <si>
    <t>Total (sec)</t>
  </si>
  <si>
    <t>Greeks</t>
  </si>
  <si>
    <t>Delta</t>
  </si>
  <si>
    <t>Gamma</t>
  </si>
  <si>
    <t>Vega</t>
  </si>
  <si>
    <t>Theta</t>
  </si>
  <si>
    <t>Rho</t>
  </si>
  <si>
    <t>Trinomial Tree - Option Pricer</t>
  </si>
  <si>
    <t>Choose</t>
  </si>
  <si>
    <t>Yes</t>
  </si>
  <si>
    <t>No</t>
  </si>
  <si>
    <t>N/A</t>
  </si>
  <si>
    <t>Option Prices</t>
  </si>
  <si>
    <t>Underlying Prices</t>
  </si>
  <si>
    <t>BS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</si>
</sst>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#,##0.00\ &quot;€&quot;"/>
    <numFmt numFmtId="165" formatCode="#,##0.0000\ &quot;€&quot;"/>
    <numFmt numFmtId="166" formatCode="0.000"/>
  </numFmts>
  <fonts count="14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32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97">
    <xf numFmtId="0" fontId="0" fillId="0" borderId="0" xfId="0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8" xfId="0" applyBorder="1"/>
    <xf numFmtId="0" fontId="0" fillId="0" borderId="8" xfId="0" applyBorder="1" applyAlignment="1">
      <alignment vertical="center"/>
    </xf>
    <xf numFmtId="0" fontId="6" fillId="0" borderId="0" xfId="0" applyFont="1" applyAlignment="1">
      <alignment vertical="center"/>
    </xf>
    <xf numFmtId="0" fontId="0" fillId="10" borderId="6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5" borderId="10" xfId="0" applyFill="1" applyBorder="1" applyAlignment="1">
      <alignment horizontal="center" vertical="center" textRotation="255"/>
    </xf>
    <xf numFmtId="0" fontId="0" fillId="5" borderId="13" xfId="0" applyFill="1" applyBorder="1" applyAlignment="1">
      <alignment horizontal="center" vertical="center" textRotation="255"/>
    </xf>
    <xf numFmtId="0" fontId="0" fillId="5" borderId="8" xfId="0" applyFill="1" applyBorder="1" applyAlignment="1">
      <alignment horizontal="center" vertical="center" textRotation="255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10" fillId="0" borderId="3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164" fontId="10" fillId="0" borderId="4" xfId="0" applyNumberFormat="1" applyFont="1" applyBorder="1" applyAlignment="1">
      <alignment horizontal="center" vertical="center"/>
    </xf>
    <xf numFmtId="164" fontId="10" fillId="0" borderId="14" xfId="0" applyNumberFormat="1" applyFont="1" applyBorder="1" applyAlignment="1">
      <alignment horizontal="center" vertical="center"/>
    </xf>
    <xf numFmtId="10" fontId="10" fillId="0" borderId="3" xfId="0" applyNumberFormat="1" applyFont="1" applyBorder="1" applyAlignment="1">
      <alignment horizontal="center" vertical="center"/>
    </xf>
    <xf numFmtId="10" fontId="10" fillId="0" borderId="12" xfId="0" applyNumberFormat="1" applyFont="1" applyBorder="1" applyAlignment="1">
      <alignment horizontal="center" vertical="center"/>
    </xf>
    <xf numFmtId="10" fontId="10" fillId="0" borderId="4" xfId="0" applyNumberFormat="1" applyFont="1" applyBorder="1" applyAlignment="1">
      <alignment horizontal="center" vertical="center"/>
    </xf>
    <xf numFmtId="10" fontId="10" fillId="0" borderId="14" xfId="0" applyNumberFormat="1" applyFont="1" applyBorder="1" applyAlignment="1">
      <alignment horizontal="center" vertical="center"/>
    </xf>
    <xf numFmtId="9" fontId="10" fillId="0" borderId="3" xfId="1" applyFont="1" applyBorder="1" applyAlignment="1">
      <alignment horizontal="center" vertical="center"/>
    </xf>
    <xf numFmtId="9" fontId="10" fillId="0" borderId="12" xfId="1" applyFont="1" applyBorder="1" applyAlignment="1">
      <alignment horizontal="center" vertical="center"/>
    </xf>
    <xf numFmtId="9" fontId="10" fillId="0" borderId="4" xfId="1" applyFont="1" applyBorder="1" applyAlignment="1">
      <alignment horizontal="center" vertical="center"/>
    </xf>
    <xf numFmtId="9" fontId="10" fillId="0" borderId="14" xfId="1" applyFont="1" applyBorder="1" applyAlignment="1">
      <alignment horizontal="center" vertical="center"/>
    </xf>
    <xf numFmtId="14" fontId="10" fillId="0" borderId="3" xfId="0" applyNumberFormat="1" applyFont="1" applyBorder="1" applyAlignment="1">
      <alignment horizontal="center" vertical="center"/>
    </xf>
    <xf numFmtId="14" fontId="10" fillId="0" borderId="12" xfId="0" applyNumberFormat="1" applyFont="1" applyBorder="1" applyAlignment="1">
      <alignment horizontal="center" vertical="center"/>
    </xf>
    <xf numFmtId="14" fontId="10" fillId="0" borderId="4" xfId="0" applyNumberFormat="1" applyFont="1" applyBorder="1" applyAlignment="1">
      <alignment horizontal="center" vertical="center"/>
    </xf>
    <xf numFmtId="14" fontId="10" fillId="0" borderId="14" xfId="0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164" fontId="10" fillId="0" borderId="3" xfId="2" applyNumberFormat="1" applyFont="1" applyBorder="1" applyAlignment="1">
      <alignment horizontal="center" vertical="center"/>
    </xf>
    <xf numFmtId="164" fontId="10" fillId="0" borderId="12" xfId="2" applyNumberFormat="1" applyFont="1" applyBorder="1" applyAlignment="1">
      <alignment horizontal="center" vertical="center"/>
    </xf>
    <xf numFmtId="164" fontId="10" fillId="0" borderId="4" xfId="2" applyNumberFormat="1" applyFont="1" applyBorder="1" applyAlignment="1">
      <alignment horizontal="center" vertical="center"/>
    </xf>
    <xf numFmtId="164" fontId="10" fillId="0" borderId="14" xfId="2" applyNumberFormat="1" applyFont="1" applyBorder="1" applyAlignment="1">
      <alignment horizontal="center" vertical="center"/>
    </xf>
    <xf numFmtId="11" fontId="10" fillId="0" borderId="3" xfId="0" applyNumberFormat="1" applyFont="1" applyBorder="1" applyAlignment="1">
      <alignment horizontal="center" vertical="center"/>
    </xf>
    <xf numFmtId="11" fontId="10" fillId="0" borderId="12" xfId="0" applyNumberFormat="1" applyFont="1" applyBorder="1" applyAlignment="1">
      <alignment horizontal="center" vertical="center"/>
    </xf>
    <xf numFmtId="11" fontId="10" fillId="0" borderId="4" xfId="0" applyNumberFormat="1" applyFont="1" applyBorder="1" applyAlignment="1">
      <alignment horizontal="center" vertical="center"/>
    </xf>
    <xf numFmtId="11" fontId="10" fillId="0" borderId="14" xfId="0" applyNumberFormat="1" applyFont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 textRotation="255"/>
    </xf>
    <xf numFmtId="0" fontId="8" fillId="3" borderId="1" xfId="0" applyFont="1" applyFill="1" applyBorder="1" applyAlignment="1">
      <alignment horizontal="center" vertical="center" textRotation="255"/>
    </xf>
    <xf numFmtId="0" fontId="9" fillId="9" borderId="3" xfId="0" applyFont="1" applyFill="1" applyBorder="1" applyAlignment="1">
      <alignment horizontal="center" vertical="center"/>
    </xf>
    <xf numFmtId="0" fontId="9" fillId="9" borderId="1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9" borderId="6" xfId="0" applyFont="1" applyFill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11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1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165" fontId="11" fillId="7" borderId="15" xfId="0" applyNumberFormat="1" applyFont="1" applyFill="1" applyBorder="1" applyAlignment="1">
      <alignment horizontal="center" vertical="center"/>
    </xf>
    <xf numFmtId="165" fontId="11" fillId="7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165" fontId="10" fillId="0" borderId="15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 textRotation="255"/>
    </xf>
    <xf numFmtId="0" fontId="7" fillId="5" borderId="13" xfId="0" applyFont="1" applyFill="1" applyBorder="1" applyAlignment="1">
      <alignment horizontal="center" vertical="center" textRotation="255"/>
    </xf>
    <xf numFmtId="0" fontId="7" fillId="5" borderId="8" xfId="0" applyFont="1" applyFill="1" applyBorder="1" applyAlignment="1">
      <alignment horizontal="center" vertical="center" textRotation="255"/>
    </xf>
    <xf numFmtId="0" fontId="8" fillId="4" borderId="3" xfId="0" applyFont="1" applyFill="1" applyBorder="1" applyAlignment="1">
      <alignment horizontal="center" vertical="center" textRotation="255"/>
    </xf>
    <xf numFmtId="0" fontId="8" fillId="4" borderId="2" xfId="0" applyFont="1" applyFill="1" applyBorder="1" applyAlignment="1">
      <alignment horizontal="center" vertical="center" textRotation="255"/>
    </xf>
    <xf numFmtId="0" fontId="8" fillId="4" borderId="6" xfId="0" applyFont="1" applyFill="1" applyBorder="1" applyAlignment="1">
      <alignment horizontal="center" vertical="center" textRotation="255"/>
    </xf>
    <xf numFmtId="0" fontId="8" fillId="4" borderId="11" xfId="0" applyFont="1" applyFill="1" applyBorder="1" applyAlignment="1">
      <alignment horizontal="center" vertical="center" textRotation="255"/>
    </xf>
    <xf numFmtId="0" fontId="8" fillId="4" borderId="4" xfId="0" applyFont="1" applyFill="1" applyBorder="1" applyAlignment="1">
      <alignment horizontal="center" vertical="center" textRotation="255"/>
    </xf>
    <xf numFmtId="0" fontId="8" fillId="4" borderId="5" xfId="0" applyFont="1" applyFill="1" applyBorder="1" applyAlignment="1">
      <alignment horizontal="center" vertical="center" textRotation="255"/>
    </xf>
    <xf numFmtId="166" fontId="10" fillId="0" borderId="15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6" fontId="11" fillId="7" borderId="15" xfId="0" applyNumberFormat="1" applyFont="1" applyFill="1" applyBorder="1" applyAlignment="1">
      <alignment horizontal="center" vertical="center"/>
    </xf>
    <xf numFmtId="166" fontId="11" fillId="7" borderId="1" xfId="0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textRotation="255"/>
    </xf>
    <xf numFmtId="0" fontId="5" fillId="6" borderId="1" xfId="0" applyFont="1" applyFill="1" applyBorder="1" applyAlignment="1">
      <alignment horizontal="center" vertical="center" textRotation="255"/>
    </xf>
    <xf numFmtId="0" fontId="10" fillId="0" borderId="1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7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3">
    <cellStyle name="Currency" xfId="2" builtinId="4"/>
    <cellStyle name="Normal" xfId="0" builtinId="0"/>
    <cellStyle name="Per cent" xfId="1" builtinId="5"/>
  </cellStyles>
  <dxfs count="1">
    <dxf>
      <fill>
        <patternFill>
          <bgColor theme="2" tint="-0.499984740745262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Graphique!$E$1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Graphique!$E$2:$E$51</c:f>
              <c:numCache>
                <c:formatCode>General</c:formatCode>
                <c:ptCount val="50"/>
                <c:pt idx="1">
                  <c:v>5</c:v>
                </c:pt>
                <c:pt idx="2">
                  <c:v>12.233802874789152</c:v>
                </c:pt>
                <c:pt idx="3">
                  <c:v>12.649620027924502</c:v>
                </c:pt>
                <c:pt idx="4">
                  <c:v>13.042881644990647</c:v>
                </c:pt>
                <c:pt idx="5">
                  <c:v>13.162633736050946</c:v>
                </c:pt>
                <c:pt idx="6">
                  <c:v>13.195291663783172</c:v>
                </c:pt>
                <c:pt idx="7">
                  <c:v>13.273560995150662</c:v>
                </c:pt>
                <c:pt idx="8">
                  <c:v>13.275168625709995</c:v>
                </c:pt>
                <c:pt idx="9">
                  <c:v>13.297785474379225</c:v>
                </c:pt>
                <c:pt idx="10">
                  <c:v>13.309765247556847</c:v>
                </c:pt>
                <c:pt idx="11">
                  <c:v>13.30805630686049</c:v>
                </c:pt>
                <c:pt idx="12">
                  <c:v>13.312035407263924</c:v>
                </c:pt>
                <c:pt idx="13">
                  <c:v>13.321453893289123</c:v>
                </c:pt>
                <c:pt idx="14">
                  <c:v>13.324129272967527</c:v>
                </c:pt>
                <c:pt idx="15">
                  <c:v>13.322451060626781</c:v>
                </c:pt>
                <c:pt idx="16">
                  <c:v>13.321678719298442</c:v>
                </c:pt>
                <c:pt idx="17">
                  <c:v>13.327891226129612</c:v>
                </c:pt>
                <c:pt idx="18">
                  <c:v>13.330808547412669</c:v>
                </c:pt>
                <c:pt idx="19">
                  <c:v>13.331285975268786</c:v>
                </c:pt>
                <c:pt idx="20">
                  <c:v>13.329941832740159</c:v>
                </c:pt>
                <c:pt idx="21">
                  <c:v>13.328223839195781</c:v>
                </c:pt>
                <c:pt idx="22">
                  <c:v>13.332249427111936</c:v>
                </c:pt>
                <c:pt idx="23">
                  <c:v>13.334571611379317</c:v>
                </c:pt>
                <c:pt idx="24">
                  <c:v>13.335523495052209</c:v>
                </c:pt>
                <c:pt idx="25">
                  <c:v>13.334314138758428</c:v>
                </c:pt>
                <c:pt idx="26">
                  <c:v>13.335383621662331</c:v>
                </c:pt>
                <c:pt idx="27">
                  <c:v>13.338017463193999</c:v>
                </c:pt>
                <c:pt idx="28">
                  <c:v>13.337916327904633</c:v>
                </c:pt>
                <c:pt idx="29">
                  <c:v>13.335894615674485</c:v>
                </c:pt>
                <c:pt idx="30">
                  <c:v>13.338939936224589</c:v>
                </c:pt>
                <c:pt idx="31">
                  <c:v>13.340035194952302</c:v>
                </c:pt>
                <c:pt idx="32">
                  <c:v>13.339614049538303</c:v>
                </c:pt>
                <c:pt idx="33">
                  <c:v>13.338174913472741</c:v>
                </c:pt>
                <c:pt idx="34">
                  <c:v>13.340331743102258</c:v>
                </c:pt>
                <c:pt idx="35">
                  <c:v>13.341165870154837</c:v>
                </c:pt>
                <c:pt idx="36">
                  <c:v>13.340740754000239</c:v>
                </c:pt>
                <c:pt idx="37">
                  <c:v>13.342252859759325</c:v>
                </c:pt>
                <c:pt idx="38">
                  <c:v>13.3412068435105</c:v>
                </c:pt>
                <c:pt idx="39">
                  <c:v>13.342607251679269</c:v>
                </c:pt>
                <c:pt idx="40">
                  <c:v>13.342823503705954</c:v>
                </c:pt>
                <c:pt idx="41">
                  <c:v>13.342078156988489</c:v>
                </c:pt>
                <c:pt idx="42">
                  <c:v>13.343375885472927</c:v>
                </c:pt>
                <c:pt idx="43">
                  <c:v>13.343285032161814</c:v>
                </c:pt>
                <c:pt idx="44">
                  <c:v>13.342826650934926</c:v>
                </c:pt>
                <c:pt idx="45">
                  <c:v>13.343811683800432</c:v>
                </c:pt>
                <c:pt idx="46">
                  <c:v>13.343780780643071</c:v>
                </c:pt>
                <c:pt idx="47">
                  <c:v>13.343093345744586</c:v>
                </c:pt>
                <c:pt idx="48">
                  <c:v>13.344055583499308</c:v>
                </c:pt>
                <c:pt idx="49">
                  <c:v>13.344226146280239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24-4627-AE7C-FAC817020AC0}"/>
            </c:ext>
          </c:extLst>
        </c:ser>
        <c:ser>
          <c:idx val="4"/>
          <c:order val="2"/>
          <c:tx>
            <c:strRef>
              <c:f>Graphique!$G$1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Graphique!$G$2:$G$51</c:f>
              <c:numCache>
                <c:formatCode>General</c:formatCode>
                <c:ptCount val="50"/>
                <c:pt idx="1">
                  <c:v>13.346464945879582</c:v>
                </c:pt>
                <c:pt idx="2">
                  <c:v>13.346464945879582</c:v>
                </c:pt>
                <c:pt idx="3">
                  <c:v>13.346464945879582</c:v>
                </c:pt>
                <c:pt idx="4">
                  <c:v>13.346464945879582</c:v>
                </c:pt>
                <c:pt idx="5">
                  <c:v>13.346464945879582</c:v>
                </c:pt>
                <c:pt idx="6">
                  <c:v>13.346464945879582</c:v>
                </c:pt>
                <c:pt idx="7">
                  <c:v>13.346464945879582</c:v>
                </c:pt>
                <c:pt idx="8">
                  <c:v>13.346464945879582</c:v>
                </c:pt>
                <c:pt idx="9">
                  <c:v>13.346464945879582</c:v>
                </c:pt>
                <c:pt idx="10">
                  <c:v>13.346464945879582</c:v>
                </c:pt>
                <c:pt idx="11">
                  <c:v>13.346464945879582</c:v>
                </c:pt>
                <c:pt idx="12">
                  <c:v>13.346464945879582</c:v>
                </c:pt>
                <c:pt idx="13">
                  <c:v>13.346464945879582</c:v>
                </c:pt>
                <c:pt idx="14">
                  <c:v>13.346464945879582</c:v>
                </c:pt>
                <c:pt idx="15">
                  <c:v>13.346464945879582</c:v>
                </c:pt>
                <c:pt idx="16">
                  <c:v>13.346464945879582</c:v>
                </c:pt>
                <c:pt idx="17">
                  <c:v>13.346464945879582</c:v>
                </c:pt>
                <c:pt idx="18">
                  <c:v>13.346464945879582</c:v>
                </c:pt>
                <c:pt idx="19">
                  <c:v>13.346464945879582</c:v>
                </c:pt>
                <c:pt idx="20">
                  <c:v>13.346464945879582</c:v>
                </c:pt>
                <c:pt idx="21">
                  <c:v>13.346464945879582</c:v>
                </c:pt>
                <c:pt idx="22">
                  <c:v>13.346464945879582</c:v>
                </c:pt>
                <c:pt idx="23">
                  <c:v>13.346464945879582</c:v>
                </c:pt>
                <c:pt idx="24">
                  <c:v>13.346464945879582</c:v>
                </c:pt>
                <c:pt idx="25">
                  <c:v>13.346464945879582</c:v>
                </c:pt>
                <c:pt idx="26">
                  <c:v>13.346464945879582</c:v>
                </c:pt>
                <c:pt idx="27">
                  <c:v>13.346464945879582</c:v>
                </c:pt>
                <c:pt idx="28">
                  <c:v>13.346464945879582</c:v>
                </c:pt>
                <c:pt idx="29">
                  <c:v>13.346464945879582</c:v>
                </c:pt>
                <c:pt idx="30">
                  <c:v>13.346464945879582</c:v>
                </c:pt>
                <c:pt idx="31">
                  <c:v>13.346464945879582</c:v>
                </c:pt>
                <c:pt idx="32">
                  <c:v>13.346464945879582</c:v>
                </c:pt>
                <c:pt idx="33">
                  <c:v>13.346464945879582</c:v>
                </c:pt>
                <c:pt idx="34">
                  <c:v>13.346464945879582</c:v>
                </c:pt>
                <c:pt idx="35">
                  <c:v>13.346464945879582</c:v>
                </c:pt>
                <c:pt idx="36">
                  <c:v>13.346464945879582</c:v>
                </c:pt>
                <c:pt idx="37">
                  <c:v>13.346464945879582</c:v>
                </c:pt>
                <c:pt idx="38">
                  <c:v>13.346464945879582</c:v>
                </c:pt>
                <c:pt idx="39">
                  <c:v>13.346464945879582</c:v>
                </c:pt>
                <c:pt idx="40">
                  <c:v>13.346464945879582</c:v>
                </c:pt>
                <c:pt idx="41">
                  <c:v>13.346464945879582</c:v>
                </c:pt>
                <c:pt idx="42">
                  <c:v>13.346464945879582</c:v>
                </c:pt>
                <c:pt idx="43">
                  <c:v>13.346464945879582</c:v>
                </c:pt>
                <c:pt idx="44">
                  <c:v>13.346464945879582</c:v>
                </c:pt>
                <c:pt idx="45">
                  <c:v>13.346464945879582</c:v>
                </c:pt>
                <c:pt idx="46">
                  <c:v>13.346464945879582</c:v>
                </c:pt>
                <c:pt idx="47">
                  <c:v>13.346464945879582</c:v>
                </c:pt>
                <c:pt idx="48">
                  <c:v>13.346464945879582</c:v>
                </c:pt>
                <c:pt idx="49">
                  <c:v>13.346464945879582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24-4627-AE7C-FAC817020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224-4627-AE7C-FAC817020AC0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224-4627-AE7C-FAC817020AC0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F224-4627-AE7C-FAC817020AC0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3"/>
          <c:tx>
            <c:strRef>
              <c:f>Graphique!$H$1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Graphique!$H$2:$H$51</c:f>
              <c:numCache>
                <c:formatCode>General</c:formatCode>
                <c:ptCount val="50"/>
                <c:pt idx="1">
                  <c:v>8.3464649458795819</c:v>
                </c:pt>
                <c:pt idx="2">
                  <c:v>1.1126620710904298</c:v>
                </c:pt>
                <c:pt idx="3">
                  <c:v>0.69684491795507952</c:v>
                </c:pt>
                <c:pt idx="4">
                  <c:v>0.30358330088893482</c:v>
                </c:pt>
                <c:pt idx="5">
                  <c:v>0.18383120982863588</c:v>
                </c:pt>
                <c:pt idx="6">
                  <c:v>0.15117328209641023</c:v>
                </c:pt>
                <c:pt idx="7">
                  <c:v>7.2903950728919753E-2</c:v>
                </c:pt>
                <c:pt idx="8">
                  <c:v>7.1296320169587091E-2</c:v>
                </c:pt>
                <c:pt idx="9">
                  <c:v>4.8679471500356897E-2</c:v>
                </c:pt>
                <c:pt idx="10">
                  <c:v>3.669969832273523E-2</c:v>
                </c:pt>
                <c:pt idx="11">
                  <c:v>3.8408639019092305E-2</c:v>
                </c:pt>
                <c:pt idx="12">
                  <c:v>3.4429538615658117E-2</c:v>
                </c:pt>
                <c:pt idx="13">
                  <c:v>2.5011052590459215E-2</c:v>
                </c:pt>
                <c:pt idx="14">
                  <c:v>2.233567291205496E-2</c:v>
                </c:pt>
                <c:pt idx="15">
                  <c:v>2.4013885252800904E-2</c:v>
                </c:pt>
                <c:pt idx="16">
                  <c:v>2.4786226581140269E-2</c:v>
                </c:pt>
                <c:pt idx="17">
                  <c:v>1.8573719749969797E-2</c:v>
                </c:pt>
                <c:pt idx="18">
                  <c:v>1.5656398466912691E-2</c:v>
                </c:pt>
                <c:pt idx="19">
                  <c:v>1.5178970610795872E-2</c:v>
                </c:pt>
                <c:pt idx="20">
                  <c:v>1.6523113139422563E-2</c:v>
                </c:pt>
                <c:pt idx="21">
                  <c:v>1.8241106683801078E-2</c:v>
                </c:pt>
                <c:pt idx="22">
                  <c:v>1.4215518767645818E-2</c:v>
                </c:pt>
                <c:pt idx="23">
                  <c:v>1.189333450026453E-2</c:v>
                </c:pt>
                <c:pt idx="24">
                  <c:v>1.0941450827372634E-2</c:v>
                </c:pt>
                <c:pt idx="25">
                  <c:v>1.2150807121154017E-2</c:v>
                </c:pt>
                <c:pt idx="26">
                  <c:v>1.1081324217251165E-2</c:v>
                </c:pt>
                <c:pt idx="27">
                  <c:v>8.4474826855824858E-3</c:v>
                </c:pt>
                <c:pt idx="28">
                  <c:v>8.548617974948769E-3</c:v>
                </c:pt>
                <c:pt idx="29">
                  <c:v>1.0570330205096568E-2</c:v>
                </c:pt>
                <c:pt idx="30">
                  <c:v>7.5250096549925871E-3</c:v>
                </c:pt>
                <c:pt idx="31">
                  <c:v>6.4297509272801534E-3</c:v>
                </c:pt>
                <c:pt idx="32">
                  <c:v>6.8508963412785562E-3</c:v>
                </c:pt>
                <c:pt idx="33">
                  <c:v>8.2900324068404529E-3</c:v>
                </c:pt>
                <c:pt idx="34">
                  <c:v>6.1332027773239872E-3</c:v>
                </c:pt>
                <c:pt idx="35">
                  <c:v>5.2990757247446396E-3</c:v>
                </c:pt>
                <c:pt idx="36">
                  <c:v>5.7241918793433655E-3</c:v>
                </c:pt>
                <c:pt idx="37">
                  <c:v>4.2120861202565862E-3</c:v>
                </c:pt>
                <c:pt idx="38">
                  <c:v>5.2581023690816409E-3</c:v>
                </c:pt>
                <c:pt idx="39">
                  <c:v>3.8576942003132331E-3</c:v>
                </c:pt>
                <c:pt idx="40">
                  <c:v>3.641442173627496E-3</c:v>
                </c:pt>
                <c:pt idx="41">
                  <c:v>4.3867888910931185E-3</c:v>
                </c:pt>
                <c:pt idx="42">
                  <c:v>3.0890604066549088E-3</c:v>
                </c:pt>
                <c:pt idx="43">
                  <c:v>3.1799137177674908E-3</c:v>
                </c:pt>
                <c:pt idx="44">
                  <c:v>3.6382949446558399E-3</c:v>
                </c:pt>
                <c:pt idx="45">
                  <c:v>2.6532620791499539E-3</c:v>
                </c:pt>
                <c:pt idx="46">
                  <c:v>2.6841652365110491E-3</c:v>
                </c:pt>
                <c:pt idx="47">
                  <c:v>3.3716001349954894E-3</c:v>
                </c:pt>
                <c:pt idx="48">
                  <c:v>2.4093623802734498E-3</c:v>
                </c:pt>
                <c:pt idx="49">
                  <c:v>2.2387995993433663E-3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0-52E7-434A-9107-D69A686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2E7-434A-9107-D69A686DD780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2E7-434A-9107-D69A686DD780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52E7-434A-9107-D69A686DD780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52E7-434A-9107-D69A686DD780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1"/>
          <c:tx>
            <c:strRef>
              <c:f>Graphique!$F$1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Graphique!$F$2:$F$51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1.5625E-2</c:v>
                </c:pt>
                <c:pt idx="6">
                  <c:v>1.5625E-2</c:v>
                </c:pt>
                <c:pt idx="7">
                  <c:v>2.34375E-2</c:v>
                </c:pt>
                <c:pt idx="8">
                  <c:v>3.90625E-2</c:v>
                </c:pt>
                <c:pt idx="9">
                  <c:v>5.46875E-2</c:v>
                </c:pt>
                <c:pt idx="10">
                  <c:v>7.8125E-2</c:v>
                </c:pt>
                <c:pt idx="11">
                  <c:v>9.375E-2</c:v>
                </c:pt>
                <c:pt idx="12">
                  <c:v>0.1171875</c:v>
                </c:pt>
                <c:pt idx="13">
                  <c:v>0.1328125</c:v>
                </c:pt>
                <c:pt idx="14">
                  <c:v>0.1640625</c:v>
                </c:pt>
                <c:pt idx="15">
                  <c:v>0.1875</c:v>
                </c:pt>
                <c:pt idx="16">
                  <c:v>0.2109375</c:v>
                </c:pt>
                <c:pt idx="17">
                  <c:v>0.234375</c:v>
                </c:pt>
                <c:pt idx="18">
                  <c:v>0.265625</c:v>
                </c:pt>
                <c:pt idx="19">
                  <c:v>0.296875</c:v>
                </c:pt>
                <c:pt idx="20">
                  <c:v>0.3203125</c:v>
                </c:pt>
                <c:pt idx="21">
                  <c:v>0.3515625</c:v>
                </c:pt>
                <c:pt idx="22">
                  <c:v>0.375</c:v>
                </c:pt>
                <c:pt idx="23">
                  <c:v>0.4140625</c:v>
                </c:pt>
                <c:pt idx="24">
                  <c:v>0.4375</c:v>
                </c:pt>
                <c:pt idx="25">
                  <c:v>0.5</c:v>
                </c:pt>
                <c:pt idx="26">
                  <c:v>0.5703125</c:v>
                </c:pt>
                <c:pt idx="27">
                  <c:v>0.6484375</c:v>
                </c:pt>
                <c:pt idx="28">
                  <c:v>0.71875</c:v>
                </c:pt>
                <c:pt idx="29">
                  <c:v>0.8046875</c:v>
                </c:pt>
                <c:pt idx="30">
                  <c:v>0.8828125</c:v>
                </c:pt>
                <c:pt idx="31">
                  <c:v>0.9765625</c:v>
                </c:pt>
                <c:pt idx="32">
                  <c:v>1.046875</c:v>
                </c:pt>
                <c:pt idx="33">
                  <c:v>1.125</c:v>
                </c:pt>
                <c:pt idx="34">
                  <c:v>1.21875</c:v>
                </c:pt>
                <c:pt idx="35">
                  <c:v>1.40625</c:v>
                </c:pt>
                <c:pt idx="36">
                  <c:v>1.5859375</c:v>
                </c:pt>
                <c:pt idx="37">
                  <c:v>1.7890625</c:v>
                </c:pt>
                <c:pt idx="38">
                  <c:v>2</c:v>
                </c:pt>
                <c:pt idx="39">
                  <c:v>2.2265625</c:v>
                </c:pt>
                <c:pt idx="40">
                  <c:v>2.65625</c:v>
                </c:pt>
                <c:pt idx="41">
                  <c:v>2.6796875</c:v>
                </c:pt>
                <c:pt idx="42">
                  <c:v>2.9140625</c:v>
                </c:pt>
                <c:pt idx="43">
                  <c:v>3.15625</c:v>
                </c:pt>
                <c:pt idx="44">
                  <c:v>3.390625</c:v>
                </c:pt>
                <c:pt idx="45">
                  <c:v>3.65625</c:v>
                </c:pt>
                <c:pt idx="46">
                  <c:v>3.9375</c:v>
                </c:pt>
                <c:pt idx="47">
                  <c:v>4.21875</c:v>
                </c:pt>
                <c:pt idx="48">
                  <c:v>4.3828125</c:v>
                </c:pt>
                <c:pt idx="49">
                  <c:v>4.7109375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0-5B7C-4824-9D5A-F56F77800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B7C-4824-9D5A-F56F778006A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B7C-4824-9D5A-F56F778006A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5B7C-4824-9D5A-F56F778006A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5B7C-4824-9D5A-F56F778006A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4"/>
          <c:tx>
            <c:strRef>
              <c:f>Graphique!$I$1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Graphique!$I$2:$I$51</c:f>
              <c:numCache>
                <c:formatCode>General</c:formatCode>
                <c:ptCount val="50"/>
                <c:pt idx="1">
                  <c:v>8.3464649458795819</c:v>
                </c:pt>
                <c:pt idx="2">
                  <c:v>5.563310355452149</c:v>
                </c:pt>
                <c:pt idx="3">
                  <c:v>6.9684491795507952</c:v>
                </c:pt>
                <c:pt idx="4">
                  <c:v>6.0716660177786963</c:v>
                </c:pt>
                <c:pt idx="5">
                  <c:v>5.5149362948590763</c:v>
                </c:pt>
                <c:pt idx="6">
                  <c:v>7.5586641048205117</c:v>
                </c:pt>
                <c:pt idx="7">
                  <c:v>5.4677963046689815</c:v>
                </c:pt>
                <c:pt idx="8">
                  <c:v>7.1296320169587091</c:v>
                </c:pt>
                <c:pt idx="9">
                  <c:v>6.0849339375446121</c:v>
                </c:pt>
                <c:pt idx="10">
                  <c:v>5.5049547484102845</c:v>
                </c:pt>
                <c:pt idx="11">
                  <c:v>6.7215118283411535</c:v>
                </c:pt>
                <c:pt idx="12">
                  <c:v>6.8859077231316235</c:v>
                </c:pt>
                <c:pt idx="13">
                  <c:v>5.6274868328533234</c:v>
                </c:pt>
                <c:pt idx="14">
                  <c:v>5.58391822801374</c:v>
                </c:pt>
                <c:pt idx="15">
                  <c:v>6.6038184445202486</c:v>
                </c:pt>
                <c:pt idx="16">
                  <c:v>7.4358679743420808</c:v>
                </c:pt>
                <c:pt idx="17">
                  <c:v>6.036458918740184</c:v>
                </c:pt>
                <c:pt idx="18">
                  <c:v>5.4797394634194418</c:v>
                </c:pt>
                <c:pt idx="19">
                  <c:v>5.6921139790484521</c:v>
                </c:pt>
                <c:pt idx="20">
                  <c:v>6.6092452557690251</c:v>
                </c:pt>
                <c:pt idx="21">
                  <c:v>7.7524703406154583</c:v>
                </c:pt>
                <c:pt idx="22">
                  <c:v>6.3969834454406183</c:v>
                </c:pt>
                <c:pt idx="23">
                  <c:v>5.6493338876256516</c:v>
                </c:pt>
                <c:pt idx="24">
                  <c:v>5.470725413686317</c:v>
                </c:pt>
                <c:pt idx="25">
                  <c:v>6.6829439166347093</c:v>
                </c:pt>
                <c:pt idx="26">
                  <c:v>6.648794530350699</c:v>
                </c:pt>
                <c:pt idx="27">
                  <c:v>5.4908637456286158</c:v>
                </c:pt>
                <c:pt idx="28">
                  <c:v>5.9840325824641383</c:v>
                </c:pt>
                <c:pt idx="29">
                  <c:v>7.9277476538224256</c:v>
                </c:pt>
                <c:pt idx="30">
                  <c:v>6.0200077239940697</c:v>
                </c:pt>
                <c:pt idx="31">
                  <c:v>5.4652882881881304</c:v>
                </c:pt>
                <c:pt idx="32">
                  <c:v>6.1658067071507006</c:v>
                </c:pt>
                <c:pt idx="33">
                  <c:v>7.8755307864984303</c:v>
                </c:pt>
                <c:pt idx="34">
                  <c:v>6.1332027773239872</c:v>
                </c:pt>
                <c:pt idx="35">
                  <c:v>5.8289832972191036</c:v>
                </c:pt>
                <c:pt idx="36">
                  <c:v>6.8690302552120386</c:v>
                </c:pt>
                <c:pt idx="37">
                  <c:v>5.4757119563335621</c:v>
                </c:pt>
                <c:pt idx="38">
                  <c:v>7.3613433167142972</c:v>
                </c:pt>
                <c:pt idx="39">
                  <c:v>5.7865413004698496</c:v>
                </c:pt>
                <c:pt idx="40">
                  <c:v>5.8263074778039936</c:v>
                </c:pt>
                <c:pt idx="41">
                  <c:v>7.4575411148583015</c:v>
                </c:pt>
                <c:pt idx="42">
                  <c:v>5.5603087319788358</c:v>
                </c:pt>
                <c:pt idx="43">
                  <c:v>6.0418360637582325</c:v>
                </c:pt>
                <c:pt idx="44">
                  <c:v>7.2765898893116798</c:v>
                </c:pt>
                <c:pt idx="45">
                  <c:v>5.5718503662149033</c:v>
                </c:pt>
                <c:pt idx="46">
                  <c:v>5.905163520324308</c:v>
                </c:pt>
                <c:pt idx="47">
                  <c:v>7.7546803104896256</c:v>
                </c:pt>
                <c:pt idx="48">
                  <c:v>5.7824697126562796</c:v>
                </c:pt>
                <c:pt idx="49">
                  <c:v>5.5969989983584156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0-ACE5-4383-BA4A-595BE912E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CE5-4383-BA4A-595BE912E66F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CE5-4383-BA4A-595BE912E66F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ACE5-4383-BA4A-595BE912E66F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CE5-4383-BA4A-595BE912E66F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Graphique!$E$1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Graphique!$E$2:$E$51</c:f>
              <c:numCache>
                <c:formatCode>General</c:formatCode>
                <c:ptCount val="50"/>
                <c:pt idx="1">
                  <c:v>5</c:v>
                </c:pt>
                <c:pt idx="2">
                  <c:v>12.233802874789152</c:v>
                </c:pt>
                <c:pt idx="3">
                  <c:v>12.649620027924502</c:v>
                </c:pt>
                <c:pt idx="4">
                  <c:v>13.042881644990647</c:v>
                </c:pt>
                <c:pt idx="5">
                  <c:v>13.162633736050946</c:v>
                </c:pt>
                <c:pt idx="6">
                  <c:v>13.195291663783172</c:v>
                </c:pt>
                <c:pt idx="7">
                  <c:v>13.273560995150662</c:v>
                </c:pt>
                <c:pt idx="8">
                  <c:v>13.275168625709995</c:v>
                </c:pt>
                <c:pt idx="9">
                  <c:v>13.297785474379225</c:v>
                </c:pt>
                <c:pt idx="10">
                  <c:v>13.309765247556847</c:v>
                </c:pt>
                <c:pt idx="11">
                  <c:v>13.30805630686049</c:v>
                </c:pt>
                <c:pt idx="12">
                  <c:v>13.312035407263924</c:v>
                </c:pt>
                <c:pt idx="13">
                  <c:v>13.321453893289123</c:v>
                </c:pt>
                <c:pt idx="14">
                  <c:v>13.324129272967527</c:v>
                </c:pt>
                <c:pt idx="15">
                  <c:v>13.322451060626781</c:v>
                </c:pt>
                <c:pt idx="16">
                  <c:v>13.321678719298442</c:v>
                </c:pt>
                <c:pt idx="17">
                  <c:v>13.327891226129612</c:v>
                </c:pt>
                <c:pt idx="18">
                  <c:v>13.330808547412669</c:v>
                </c:pt>
                <c:pt idx="19">
                  <c:v>13.331285975268786</c:v>
                </c:pt>
                <c:pt idx="20">
                  <c:v>13.329941832740159</c:v>
                </c:pt>
                <c:pt idx="21">
                  <c:v>13.328223839195781</c:v>
                </c:pt>
                <c:pt idx="22">
                  <c:v>13.332249427111936</c:v>
                </c:pt>
                <c:pt idx="23">
                  <c:v>13.334571611379317</c:v>
                </c:pt>
                <c:pt idx="24">
                  <c:v>13.335523495052209</c:v>
                </c:pt>
                <c:pt idx="25">
                  <c:v>13.334314138758428</c:v>
                </c:pt>
                <c:pt idx="26">
                  <c:v>13.335383621662331</c:v>
                </c:pt>
                <c:pt idx="27">
                  <c:v>13.338017463193999</c:v>
                </c:pt>
                <c:pt idx="28">
                  <c:v>13.337916327904633</c:v>
                </c:pt>
                <c:pt idx="29">
                  <c:v>13.335894615674485</c:v>
                </c:pt>
                <c:pt idx="30">
                  <c:v>13.338939936224589</c:v>
                </c:pt>
                <c:pt idx="31">
                  <c:v>13.340035194952302</c:v>
                </c:pt>
                <c:pt idx="32">
                  <c:v>13.339614049538303</c:v>
                </c:pt>
                <c:pt idx="33">
                  <c:v>13.338174913472741</c:v>
                </c:pt>
                <c:pt idx="34">
                  <c:v>13.340331743102258</c:v>
                </c:pt>
                <c:pt idx="35">
                  <c:v>13.341165870154837</c:v>
                </c:pt>
                <c:pt idx="36">
                  <c:v>13.340740754000239</c:v>
                </c:pt>
                <c:pt idx="37">
                  <c:v>13.342252859759325</c:v>
                </c:pt>
                <c:pt idx="38">
                  <c:v>13.3412068435105</c:v>
                </c:pt>
                <c:pt idx="39">
                  <c:v>13.342607251679269</c:v>
                </c:pt>
                <c:pt idx="40">
                  <c:v>13.342823503705954</c:v>
                </c:pt>
                <c:pt idx="41">
                  <c:v>13.342078156988489</c:v>
                </c:pt>
                <c:pt idx="42">
                  <c:v>13.343375885472927</c:v>
                </c:pt>
                <c:pt idx="43">
                  <c:v>13.343285032161814</c:v>
                </c:pt>
                <c:pt idx="44">
                  <c:v>13.342826650934926</c:v>
                </c:pt>
                <c:pt idx="45">
                  <c:v>13.343811683800432</c:v>
                </c:pt>
                <c:pt idx="46">
                  <c:v>13.343780780643071</c:v>
                </c:pt>
                <c:pt idx="47">
                  <c:v>13.343093345744586</c:v>
                </c:pt>
                <c:pt idx="48">
                  <c:v>13.344055583499308</c:v>
                </c:pt>
                <c:pt idx="49">
                  <c:v>13.344226146280239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Graphique!$G$1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Graphique!$G$2:$G$51</c:f>
              <c:numCache>
                <c:formatCode>General</c:formatCode>
                <c:ptCount val="50"/>
                <c:pt idx="1">
                  <c:v>13.346464945879582</c:v>
                </c:pt>
                <c:pt idx="2">
                  <c:v>13.346464945879582</c:v>
                </c:pt>
                <c:pt idx="3">
                  <c:v>13.346464945879582</c:v>
                </c:pt>
                <c:pt idx="4">
                  <c:v>13.346464945879582</c:v>
                </c:pt>
                <c:pt idx="5">
                  <c:v>13.346464945879582</c:v>
                </c:pt>
                <c:pt idx="6">
                  <c:v>13.346464945879582</c:v>
                </c:pt>
                <c:pt idx="7">
                  <c:v>13.346464945879582</c:v>
                </c:pt>
                <c:pt idx="8">
                  <c:v>13.346464945879582</c:v>
                </c:pt>
                <c:pt idx="9">
                  <c:v>13.346464945879582</c:v>
                </c:pt>
                <c:pt idx="10">
                  <c:v>13.346464945879582</c:v>
                </c:pt>
                <c:pt idx="11">
                  <c:v>13.346464945879582</c:v>
                </c:pt>
                <c:pt idx="12">
                  <c:v>13.346464945879582</c:v>
                </c:pt>
                <c:pt idx="13">
                  <c:v>13.346464945879582</c:v>
                </c:pt>
                <c:pt idx="14">
                  <c:v>13.346464945879582</c:v>
                </c:pt>
                <c:pt idx="15">
                  <c:v>13.346464945879582</c:v>
                </c:pt>
                <c:pt idx="16">
                  <c:v>13.346464945879582</c:v>
                </c:pt>
                <c:pt idx="17">
                  <c:v>13.346464945879582</c:v>
                </c:pt>
                <c:pt idx="18">
                  <c:v>13.346464945879582</c:v>
                </c:pt>
                <c:pt idx="19">
                  <c:v>13.346464945879582</c:v>
                </c:pt>
                <c:pt idx="20">
                  <c:v>13.346464945879582</c:v>
                </c:pt>
                <c:pt idx="21">
                  <c:v>13.346464945879582</c:v>
                </c:pt>
                <c:pt idx="22">
                  <c:v>13.346464945879582</c:v>
                </c:pt>
                <c:pt idx="23">
                  <c:v>13.346464945879582</c:v>
                </c:pt>
                <c:pt idx="24">
                  <c:v>13.346464945879582</c:v>
                </c:pt>
                <c:pt idx="25">
                  <c:v>13.346464945879582</c:v>
                </c:pt>
                <c:pt idx="26">
                  <c:v>13.346464945879582</c:v>
                </c:pt>
                <c:pt idx="27">
                  <c:v>13.346464945879582</c:v>
                </c:pt>
                <c:pt idx="28">
                  <c:v>13.346464945879582</c:v>
                </c:pt>
                <c:pt idx="29">
                  <c:v>13.346464945879582</c:v>
                </c:pt>
                <c:pt idx="30">
                  <c:v>13.346464945879582</c:v>
                </c:pt>
                <c:pt idx="31">
                  <c:v>13.346464945879582</c:v>
                </c:pt>
                <c:pt idx="32">
                  <c:v>13.346464945879582</c:v>
                </c:pt>
                <c:pt idx="33">
                  <c:v>13.346464945879582</c:v>
                </c:pt>
                <c:pt idx="34">
                  <c:v>13.346464945879582</c:v>
                </c:pt>
                <c:pt idx="35">
                  <c:v>13.346464945879582</c:v>
                </c:pt>
                <c:pt idx="36">
                  <c:v>13.346464945879582</c:v>
                </c:pt>
                <c:pt idx="37">
                  <c:v>13.346464945879582</c:v>
                </c:pt>
                <c:pt idx="38">
                  <c:v>13.346464945879582</c:v>
                </c:pt>
                <c:pt idx="39">
                  <c:v>13.346464945879582</c:v>
                </c:pt>
                <c:pt idx="40">
                  <c:v>13.346464945879582</c:v>
                </c:pt>
                <c:pt idx="41">
                  <c:v>13.346464945879582</c:v>
                </c:pt>
                <c:pt idx="42">
                  <c:v>13.346464945879582</c:v>
                </c:pt>
                <c:pt idx="43">
                  <c:v>13.346464945879582</c:v>
                </c:pt>
                <c:pt idx="44">
                  <c:v>13.346464945879582</c:v>
                </c:pt>
                <c:pt idx="45">
                  <c:v>13.346464945879582</c:v>
                </c:pt>
                <c:pt idx="46">
                  <c:v>13.346464945879582</c:v>
                </c:pt>
                <c:pt idx="47">
                  <c:v>13.346464945879582</c:v>
                </c:pt>
                <c:pt idx="48">
                  <c:v>13.346464945879582</c:v>
                </c:pt>
                <c:pt idx="49">
                  <c:v>13.346464945879582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1"/>
          <c:tx>
            <c:strRef>
              <c:f>Graphique!$F$1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Graphique!$F$2:$F$51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1.5625E-2</c:v>
                </c:pt>
                <c:pt idx="6">
                  <c:v>1.5625E-2</c:v>
                </c:pt>
                <c:pt idx="7">
                  <c:v>2.34375E-2</c:v>
                </c:pt>
                <c:pt idx="8">
                  <c:v>3.90625E-2</c:v>
                </c:pt>
                <c:pt idx="9">
                  <c:v>5.46875E-2</c:v>
                </c:pt>
                <c:pt idx="10">
                  <c:v>7.8125E-2</c:v>
                </c:pt>
                <c:pt idx="11">
                  <c:v>9.375E-2</c:v>
                </c:pt>
                <c:pt idx="12">
                  <c:v>0.1171875</c:v>
                </c:pt>
                <c:pt idx="13">
                  <c:v>0.1328125</c:v>
                </c:pt>
                <c:pt idx="14">
                  <c:v>0.1640625</c:v>
                </c:pt>
                <c:pt idx="15">
                  <c:v>0.1875</c:v>
                </c:pt>
                <c:pt idx="16">
                  <c:v>0.2109375</c:v>
                </c:pt>
                <c:pt idx="17">
                  <c:v>0.234375</c:v>
                </c:pt>
                <c:pt idx="18">
                  <c:v>0.265625</c:v>
                </c:pt>
                <c:pt idx="19">
                  <c:v>0.296875</c:v>
                </c:pt>
                <c:pt idx="20">
                  <c:v>0.3203125</c:v>
                </c:pt>
                <c:pt idx="21">
                  <c:v>0.3515625</c:v>
                </c:pt>
                <c:pt idx="22">
                  <c:v>0.375</c:v>
                </c:pt>
                <c:pt idx="23">
                  <c:v>0.4140625</c:v>
                </c:pt>
                <c:pt idx="24">
                  <c:v>0.4375</c:v>
                </c:pt>
                <c:pt idx="25">
                  <c:v>0.5</c:v>
                </c:pt>
                <c:pt idx="26">
                  <c:v>0.5703125</c:v>
                </c:pt>
                <c:pt idx="27">
                  <c:v>0.6484375</c:v>
                </c:pt>
                <c:pt idx="28">
                  <c:v>0.71875</c:v>
                </c:pt>
                <c:pt idx="29">
                  <c:v>0.8046875</c:v>
                </c:pt>
                <c:pt idx="30">
                  <c:v>0.8828125</c:v>
                </c:pt>
                <c:pt idx="31">
                  <c:v>0.9765625</c:v>
                </c:pt>
                <c:pt idx="32">
                  <c:v>1.046875</c:v>
                </c:pt>
                <c:pt idx="33">
                  <c:v>1.125</c:v>
                </c:pt>
                <c:pt idx="34">
                  <c:v>1.21875</c:v>
                </c:pt>
                <c:pt idx="35">
                  <c:v>1.40625</c:v>
                </c:pt>
                <c:pt idx="36">
                  <c:v>1.5859375</c:v>
                </c:pt>
                <c:pt idx="37">
                  <c:v>1.7890625</c:v>
                </c:pt>
                <c:pt idx="38">
                  <c:v>2</c:v>
                </c:pt>
                <c:pt idx="39">
                  <c:v>2.2265625</c:v>
                </c:pt>
                <c:pt idx="40">
                  <c:v>2.65625</c:v>
                </c:pt>
                <c:pt idx="41">
                  <c:v>2.6796875</c:v>
                </c:pt>
                <c:pt idx="42">
                  <c:v>2.9140625</c:v>
                </c:pt>
                <c:pt idx="43">
                  <c:v>3.15625</c:v>
                </c:pt>
                <c:pt idx="44">
                  <c:v>3.390625</c:v>
                </c:pt>
                <c:pt idx="45">
                  <c:v>3.65625</c:v>
                </c:pt>
                <c:pt idx="46">
                  <c:v>3.9375</c:v>
                </c:pt>
                <c:pt idx="47">
                  <c:v>4.21875</c:v>
                </c:pt>
                <c:pt idx="48">
                  <c:v>4.3828125</c:v>
                </c:pt>
                <c:pt idx="49">
                  <c:v>4.7109375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3"/>
          <c:tx>
            <c:strRef>
              <c:f>Graphique!$H$1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Graphique!$H$2:$H$51</c:f>
              <c:numCache>
                <c:formatCode>General</c:formatCode>
                <c:ptCount val="50"/>
                <c:pt idx="1">
                  <c:v>8.3464649458795819</c:v>
                </c:pt>
                <c:pt idx="2">
                  <c:v>1.1126620710904298</c:v>
                </c:pt>
                <c:pt idx="3">
                  <c:v>0.69684491795507952</c:v>
                </c:pt>
                <c:pt idx="4">
                  <c:v>0.30358330088893482</c:v>
                </c:pt>
                <c:pt idx="5">
                  <c:v>0.18383120982863588</c:v>
                </c:pt>
                <c:pt idx="6">
                  <c:v>0.15117328209641023</c:v>
                </c:pt>
                <c:pt idx="7">
                  <c:v>7.2903950728919753E-2</c:v>
                </c:pt>
                <c:pt idx="8">
                  <c:v>7.1296320169587091E-2</c:v>
                </c:pt>
                <c:pt idx="9">
                  <c:v>4.8679471500356897E-2</c:v>
                </c:pt>
                <c:pt idx="10">
                  <c:v>3.669969832273523E-2</c:v>
                </c:pt>
                <c:pt idx="11">
                  <c:v>3.8408639019092305E-2</c:v>
                </c:pt>
                <c:pt idx="12">
                  <c:v>3.4429538615658117E-2</c:v>
                </c:pt>
                <c:pt idx="13">
                  <c:v>2.5011052590459215E-2</c:v>
                </c:pt>
                <c:pt idx="14">
                  <c:v>2.233567291205496E-2</c:v>
                </c:pt>
                <c:pt idx="15">
                  <c:v>2.4013885252800904E-2</c:v>
                </c:pt>
                <c:pt idx="16">
                  <c:v>2.4786226581140269E-2</c:v>
                </c:pt>
                <c:pt idx="17">
                  <c:v>1.8573719749969797E-2</c:v>
                </c:pt>
                <c:pt idx="18">
                  <c:v>1.5656398466912691E-2</c:v>
                </c:pt>
                <c:pt idx="19">
                  <c:v>1.5178970610795872E-2</c:v>
                </c:pt>
                <c:pt idx="20">
                  <c:v>1.6523113139422563E-2</c:v>
                </c:pt>
                <c:pt idx="21">
                  <c:v>1.8241106683801078E-2</c:v>
                </c:pt>
                <c:pt idx="22">
                  <c:v>1.4215518767645818E-2</c:v>
                </c:pt>
                <c:pt idx="23">
                  <c:v>1.189333450026453E-2</c:v>
                </c:pt>
                <c:pt idx="24">
                  <c:v>1.0941450827372634E-2</c:v>
                </c:pt>
                <c:pt idx="25">
                  <c:v>1.2150807121154017E-2</c:v>
                </c:pt>
                <c:pt idx="26">
                  <c:v>1.1081324217251165E-2</c:v>
                </c:pt>
                <c:pt idx="27">
                  <c:v>8.4474826855824858E-3</c:v>
                </c:pt>
                <c:pt idx="28">
                  <c:v>8.548617974948769E-3</c:v>
                </c:pt>
                <c:pt idx="29">
                  <c:v>1.0570330205096568E-2</c:v>
                </c:pt>
                <c:pt idx="30">
                  <c:v>7.5250096549925871E-3</c:v>
                </c:pt>
                <c:pt idx="31">
                  <c:v>6.4297509272801534E-3</c:v>
                </c:pt>
                <c:pt idx="32">
                  <c:v>6.8508963412785562E-3</c:v>
                </c:pt>
                <c:pt idx="33">
                  <c:v>8.2900324068404529E-3</c:v>
                </c:pt>
                <c:pt idx="34">
                  <c:v>6.1332027773239872E-3</c:v>
                </c:pt>
                <c:pt idx="35">
                  <c:v>5.2990757247446396E-3</c:v>
                </c:pt>
                <c:pt idx="36">
                  <c:v>5.7241918793433655E-3</c:v>
                </c:pt>
                <c:pt idx="37">
                  <c:v>4.2120861202565862E-3</c:v>
                </c:pt>
                <c:pt idx="38">
                  <c:v>5.2581023690816409E-3</c:v>
                </c:pt>
                <c:pt idx="39">
                  <c:v>3.8576942003132331E-3</c:v>
                </c:pt>
                <c:pt idx="40">
                  <c:v>3.641442173627496E-3</c:v>
                </c:pt>
                <c:pt idx="41">
                  <c:v>4.3867888910931185E-3</c:v>
                </c:pt>
                <c:pt idx="42">
                  <c:v>3.0890604066549088E-3</c:v>
                </c:pt>
                <c:pt idx="43">
                  <c:v>3.1799137177674908E-3</c:v>
                </c:pt>
                <c:pt idx="44">
                  <c:v>3.6382949446558399E-3</c:v>
                </c:pt>
                <c:pt idx="45">
                  <c:v>2.6532620791499539E-3</c:v>
                </c:pt>
                <c:pt idx="46">
                  <c:v>2.6841652365110491E-3</c:v>
                </c:pt>
                <c:pt idx="47">
                  <c:v>3.3716001349954894E-3</c:v>
                </c:pt>
                <c:pt idx="48">
                  <c:v>2.4093623802734498E-3</c:v>
                </c:pt>
                <c:pt idx="49">
                  <c:v>2.2387995993433663E-3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4"/>
          <c:tx>
            <c:strRef>
              <c:f>Graphique!$I$1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Graphique!$I$2:$I$51</c:f>
              <c:numCache>
                <c:formatCode>General</c:formatCode>
                <c:ptCount val="50"/>
                <c:pt idx="1">
                  <c:v>8.3464649458795819</c:v>
                </c:pt>
                <c:pt idx="2">
                  <c:v>5.563310355452149</c:v>
                </c:pt>
                <c:pt idx="3">
                  <c:v>6.9684491795507952</c:v>
                </c:pt>
                <c:pt idx="4">
                  <c:v>6.0716660177786963</c:v>
                </c:pt>
                <c:pt idx="5">
                  <c:v>5.5149362948590763</c:v>
                </c:pt>
                <c:pt idx="6">
                  <c:v>7.5586641048205117</c:v>
                </c:pt>
                <c:pt idx="7">
                  <c:v>5.4677963046689815</c:v>
                </c:pt>
                <c:pt idx="8">
                  <c:v>7.1296320169587091</c:v>
                </c:pt>
                <c:pt idx="9">
                  <c:v>6.0849339375446121</c:v>
                </c:pt>
                <c:pt idx="10">
                  <c:v>5.5049547484102845</c:v>
                </c:pt>
                <c:pt idx="11">
                  <c:v>6.7215118283411535</c:v>
                </c:pt>
                <c:pt idx="12">
                  <c:v>6.8859077231316235</c:v>
                </c:pt>
                <c:pt idx="13">
                  <c:v>5.6274868328533234</c:v>
                </c:pt>
                <c:pt idx="14">
                  <c:v>5.58391822801374</c:v>
                </c:pt>
                <c:pt idx="15">
                  <c:v>6.6038184445202486</c:v>
                </c:pt>
                <c:pt idx="16">
                  <c:v>7.4358679743420808</c:v>
                </c:pt>
                <c:pt idx="17">
                  <c:v>6.036458918740184</c:v>
                </c:pt>
                <c:pt idx="18">
                  <c:v>5.4797394634194418</c:v>
                </c:pt>
                <c:pt idx="19">
                  <c:v>5.6921139790484521</c:v>
                </c:pt>
                <c:pt idx="20">
                  <c:v>6.6092452557690251</c:v>
                </c:pt>
                <c:pt idx="21">
                  <c:v>7.7524703406154583</c:v>
                </c:pt>
                <c:pt idx="22">
                  <c:v>6.3969834454406183</c:v>
                </c:pt>
                <c:pt idx="23">
                  <c:v>5.6493338876256516</c:v>
                </c:pt>
                <c:pt idx="24">
                  <c:v>5.470725413686317</c:v>
                </c:pt>
                <c:pt idx="25">
                  <c:v>6.6829439166347093</c:v>
                </c:pt>
                <c:pt idx="26">
                  <c:v>6.648794530350699</c:v>
                </c:pt>
                <c:pt idx="27">
                  <c:v>5.4908637456286158</c:v>
                </c:pt>
                <c:pt idx="28">
                  <c:v>5.9840325824641383</c:v>
                </c:pt>
                <c:pt idx="29">
                  <c:v>7.9277476538224256</c:v>
                </c:pt>
                <c:pt idx="30">
                  <c:v>6.0200077239940697</c:v>
                </c:pt>
                <c:pt idx="31">
                  <c:v>5.4652882881881304</c:v>
                </c:pt>
                <c:pt idx="32">
                  <c:v>6.1658067071507006</c:v>
                </c:pt>
                <c:pt idx="33">
                  <c:v>7.8755307864984303</c:v>
                </c:pt>
                <c:pt idx="34">
                  <c:v>6.1332027773239872</c:v>
                </c:pt>
                <c:pt idx="35">
                  <c:v>5.8289832972191036</c:v>
                </c:pt>
                <c:pt idx="36">
                  <c:v>6.8690302552120386</c:v>
                </c:pt>
                <c:pt idx="37">
                  <c:v>5.4757119563335621</c:v>
                </c:pt>
                <c:pt idx="38">
                  <c:v>7.3613433167142972</c:v>
                </c:pt>
                <c:pt idx="39">
                  <c:v>5.7865413004698496</c:v>
                </c:pt>
                <c:pt idx="40">
                  <c:v>5.8263074778039936</c:v>
                </c:pt>
                <c:pt idx="41">
                  <c:v>7.4575411148583015</c:v>
                </c:pt>
                <c:pt idx="42">
                  <c:v>5.5603087319788358</c:v>
                </c:pt>
                <c:pt idx="43">
                  <c:v>6.0418360637582325</c:v>
                </c:pt>
                <c:pt idx="44">
                  <c:v>7.2765898893116798</c:v>
                </c:pt>
                <c:pt idx="45">
                  <c:v>5.5718503662149033</c:v>
                </c:pt>
                <c:pt idx="46">
                  <c:v>5.905163520324308</c:v>
                </c:pt>
                <c:pt idx="47">
                  <c:v>7.7546803104896256</c:v>
                </c:pt>
                <c:pt idx="48">
                  <c:v>5.7824697126562796</c:v>
                </c:pt>
                <c:pt idx="49">
                  <c:v>5.5969989983584156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3.png"/><Relationship Id="rId7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20</xdr:row>
          <xdr:rowOff>38100</xdr:rowOff>
        </xdr:from>
        <xdr:to>
          <xdr:col>11</xdr:col>
          <xdr:colOff>586740</xdr:colOff>
          <xdr:row>23</xdr:row>
          <xdr:rowOff>53340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110810</xdr:colOff>
      <xdr:row>2</xdr:row>
      <xdr:rowOff>69380</xdr:rowOff>
    </xdr:from>
    <xdr:to>
      <xdr:col>7</xdr:col>
      <xdr:colOff>683079</xdr:colOff>
      <xdr:row>21</xdr:row>
      <xdr:rowOff>129375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5092-6CD4-EE61-1981-6131096AC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9558" y="731989"/>
          <a:ext cx="5336425" cy="3585073"/>
        </a:xfrm>
        <a:prstGeom prst="rect">
          <a:avLst/>
        </a:prstGeom>
      </xdr:spPr>
    </xdr:pic>
    <xdr:clientData/>
  </xdr:twoCellAnchor>
  <xdr:twoCellAnchor editAs="oneCell">
    <xdr:from>
      <xdr:col>1</xdr:col>
      <xdr:colOff>8165</xdr:colOff>
      <xdr:row>21</xdr:row>
      <xdr:rowOff>105227</xdr:rowOff>
    </xdr:from>
    <xdr:to>
      <xdr:col>7</xdr:col>
      <xdr:colOff>566964</xdr:colOff>
      <xdr:row>39</xdr:row>
      <xdr:rowOff>108233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E0E0D4-A785-1F5B-AA52-3F3D1A9DF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9344" y="4405084"/>
          <a:ext cx="5158013" cy="3432006"/>
        </a:xfrm>
        <a:prstGeom prst="rect">
          <a:avLst/>
        </a:prstGeom>
      </xdr:spPr>
    </xdr:pic>
    <xdr:clientData/>
  </xdr:twoCellAnchor>
  <xdr:twoCellAnchor editAs="oneCell">
    <xdr:from>
      <xdr:col>1</xdr:col>
      <xdr:colOff>149681</xdr:colOff>
      <xdr:row>40</xdr:row>
      <xdr:rowOff>27213</xdr:rowOff>
    </xdr:from>
    <xdr:to>
      <xdr:col>7</xdr:col>
      <xdr:colOff>582119</xdr:colOff>
      <xdr:row>57</xdr:row>
      <xdr:rowOff>81642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9CCC2E9-7210-E170-CC83-F37C0ED8D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0860" y="7946570"/>
          <a:ext cx="5031652" cy="3292929"/>
        </a:xfrm>
        <a:prstGeom prst="rect">
          <a:avLst/>
        </a:prstGeom>
      </xdr:spPr>
    </xdr:pic>
    <xdr:clientData/>
  </xdr:twoCellAnchor>
  <xdr:twoCellAnchor editAs="oneCell">
    <xdr:from>
      <xdr:col>1</xdr:col>
      <xdr:colOff>504265</xdr:colOff>
      <xdr:row>57</xdr:row>
      <xdr:rowOff>33618</xdr:rowOff>
    </xdr:from>
    <xdr:to>
      <xdr:col>7</xdr:col>
      <xdr:colOff>432532</xdr:colOff>
      <xdr:row>76</xdr:row>
      <xdr:rowOff>56030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78773EF1-C013-3B3C-9C65-E61679E2E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47" y="11183471"/>
          <a:ext cx="4556297" cy="3641912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21</xdr:row>
      <xdr:rowOff>30480</xdr:rowOff>
    </xdr:from>
    <xdr:to>
      <xdr:col>17</xdr:col>
      <xdr:colOff>739140</xdr:colOff>
      <xdr:row>37</xdr:row>
      <xdr:rowOff>68580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92BA819-C814-4AC2-911D-FD772B499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739140</xdr:colOff>
      <xdr:row>39</xdr:row>
      <xdr:rowOff>15240</xdr:rowOff>
    </xdr:from>
    <xdr:to>
      <xdr:col>18</xdr:col>
      <xdr:colOff>15240</xdr:colOff>
      <xdr:row>55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EFEE19F-F795-4DAD-A56D-B495B4EE3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731520</xdr:colOff>
      <xdr:row>2</xdr:row>
      <xdr:rowOff>53340</xdr:rowOff>
    </xdr:from>
    <xdr:to>
      <xdr:col>17</xdr:col>
      <xdr:colOff>693420</xdr:colOff>
      <xdr:row>19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26451C-6D29-4BDB-BEFF-C6BAA0331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7620</xdr:colOff>
      <xdr:row>56</xdr:row>
      <xdr:rowOff>144780</xdr:rowOff>
    </xdr:from>
    <xdr:to>
      <xdr:col>18</xdr:col>
      <xdr:colOff>38100</xdr:colOff>
      <xdr:row>75</xdr:row>
      <xdr:rowOff>175260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2977715-4009-4B30-82B4-3842658EE9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205740</xdr:colOff>
          <xdr:row>17</xdr:row>
          <xdr:rowOff>144780</xdr:rowOff>
        </xdr:from>
        <xdr:to>
          <xdr:col>2</xdr:col>
          <xdr:colOff>68580</xdr:colOff>
          <xdr:row>21</xdr:row>
          <xdr:rowOff>106680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Tab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102326</xdr:colOff>
      <xdr:row>3</xdr:row>
      <xdr:rowOff>42454</xdr:rowOff>
    </xdr:from>
    <xdr:to>
      <xdr:col>17</xdr:col>
      <xdr:colOff>407126</xdr:colOff>
      <xdr:row>18</xdr:row>
      <xdr:rowOff>1088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342900</xdr:colOff>
      <xdr:row>3</xdr:row>
      <xdr:rowOff>57150</xdr:rowOff>
    </xdr:from>
    <xdr:to>
      <xdr:col>26</xdr:col>
      <xdr:colOff>38100</xdr:colOff>
      <xdr:row>18</xdr:row>
      <xdr:rowOff>15784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130629</xdr:colOff>
      <xdr:row>19</xdr:row>
      <xdr:rowOff>87086</xdr:rowOff>
    </xdr:from>
    <xdr:to>
      <xdr:col>17</xdr:col>
      <xdr:colOff>435429</xdr:colOff>
      <xdr:row>34</xdr:row>
      <xdr:rowOff>56605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337458</xdr:colOff>
      <xdr:row>18</xdr:row>
      <xdr:rowOff>141515</xdr:rowOff>
    </xdr:from>
    <xdr:to>
      <xdr:col>26</xdr:col>
      <xdr:colOff>32658</xdr:colOff>
      <xdr:row>33</xdr:row>
      <xdr:rowOff>111035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4B8A5-D4D9-4184-8D63-B581585DEDF1}">
  <sheetPr codeName="Sheet2"/>
  <dimension ref="D2:AH37"/>
  <sheetViews>
    <sheetView topLeftCell="A4" zoomScaleNormal="100" workbookViewId="0">
      <selection activeCell="U9" sqref="U9"/>
    </sheetView>
  </sheetViews>
  <sheetFormatPr defaultRowHeight="14.4" x14ac:dyDescent="0.3"/>
  <cols>
    <col min="7" max="7" width="9.77734375" customWidth="1"/>
    <col min="8" max="8" width="10.109375" customWidth="1"/>
    <col min="9" max="9" width="8.21875" customWidth="1"/>
    <col min="10" max="10" width="7.5546875" customWidth="1"/>
    <col min="15" max="15" width="10.21875" customWidth="1"/>
    <col min="16" max="16" width="10.109375" customWidth="1"/>
  </cols>
  <sheetData>
    <row r="2" spans="4:34" ht="14.4" customHeight="1" x14ac:dyDescent="0.3">
      <c r="G2" s="8"/>
      <c r="H2" s="8"/>
      <c r="I2" s="8"/>
      <c r="J2" s="8"/>
      <c r="K2" s="8"/>
      <c r="L2" s="8"/>
      <c r="M2" s="8"/>
      <c r="N2" s="8"/>
      <c r="O2" s="8"/>
    </row>
    <row r="3" spans="4:34" ht="14.4" customHeight="1" x14ac:dyDescent="0.3">
      <c r="D3" s="48" t="s">
        <v>56</v>
      </c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50"/>
    </row>
    <row r="4" spans="4:34" ht="14.4" customHeight="1" x14ac:dyDescent="0.3">
      <c r="D4" s="51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3"/>
    </row>
    <row r="5" spans="4:34" ht="14.4" customHeight="1" x14ac:dyDescent="0.3">
      <c r="D5" s="51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3"/>
    </row>
    <row r="6" spans="4:34" ht="14.4" customHeight="1" x14ac:dyDescent="0.3">
      <c r="D6" s="51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3"/>
    </row>
    <row r="7" spans="4:34" ht="14.4" customHeight="1" x14ac:dyDescent="0.3">
      <c r="D7" s="54"/>
      <c r="E7" s="55"/>
      <c r="F7" s="55"/>
      <c r="G7" s="55"/>
      <c r="H7" s="55"/>
      <c r="I7" s="55"/>
      <c r="J7" s="55"/>
      <c r="K7" s="52"/>
      <c r="L7" s="52"/>
      <c r="M7" s="55"/>
      <c r="N7" s="55"/>
      <c r="O7" s="55"/>
      <c r="P7" s="55"/>
      <c r="Q7" s="55"/>
      <c r="R7" s="55"/>
      <c r="S7" s="56"/>
      <c r="AF7" t="s">
        <v>36</v>
      </c>
    </row>
    <row r="8" spans="4:34" x14ac:dyDescent="0.3">
      <c r="D8" s="72" t="s">
        <v>0</v>
      </c>
      <c r="E8" s="73"/>
      <c r="F8" s="11" t="s">
        <v>25</v>
      </c>
      <c r="G8" s="14" t="s">
        <v>27</v>
      </c>
      <c r="H8" s="15"/>
      <c r="I8" s="18">
        <v>100</v>
      </c>
      <c r="J8" s="19"/>
      <c r="K8" s="61"/>
      <c r="L8" s="62"/>
      <c r="M8" s="57">
        <v>8.6208795286512565</v>
      </c>
      <c r="N8" s="58"/>
      <c r="O8" s="59" t="s">
        <v>44</v>
      </c>
      <c r="P8" s="59"/>
      <c r="Q8" s="46" t="s">
        <v>21</v>
      </c>
      <c r="R8" s="47" t="s">
        <v>43</v>
      </c>
      <c r="S8" s="47"/>
      <c r="AF8" t="s">
        <v>17</v>
      </c>
      <c r="AG8" t="s">
        <v>37</v>
      </c>
    </row>
    <row r="9" spans="4:34" x14ac:dyDescent="0.3">
      <c r="D9" s="74"/>
      <c r="E9" s="75"/>
      <c r="F9" s="12"/>
      <c r="G9" s="16"/>
      <c r="H9" s="17"/>
      <c r="I9" s="20"/>
      <c r="J9" s="21"/>
      <c r="K9" s="63"/>
      <c r="L9" s="64"/>
      <c r="M9" s="57"/>
      <c r="N9" s="58"/>
      <c r="O9" s="59"/>
      <c r="P9" s="59"/>
      <c r="Q9" s="46"/>
      <c r="R9" s="47"/>
      <c r="S9" s="47"/>
    </row>
    <row r="10" spans="4:34" x14ac:dyDescent="0.3">
      <c r="D10" s="74"/>
      <c r="E10" s="75"/>
      <c r="F10" s="12"/>
      <c r="G10" s="14" t="s">
        <v>3</v>
      </c>
      <c r="H10" s="15"/>
      <c r="I10" s="22">
        <v>0.2</v>
      </c>
      <c r="J10" s="23"/>
      <c r="K10" s="63"/>
      <c r="L10" s="64"/>
      <c r="M10" s="57"/>
      <c r="N10" s="58"/>
      <c r="O10" s="59"/>
      <c r="P10" s="59"/>
      <c r="Q10" s="46"/>
      <c r="R10" s="47"/>
      <c r="S10" s="47"/>
      <c r="AF10" t="s">
        <v>30</v>
      </c>
    </row>
    <row r="11" spans="4:34" x14ac:dyDescent="0.3">
      <c r="D11" s="74"/>
      <c r="E11" s="75"/>
      <c r="F11" s="12"/>
      <c r="G11" s="16"/>
      <c r="H11" s="17"/>
      <c r="I11" s="24"/>
      <c r="J11" s="25"/>
      <c r="K11" s="63"/>
      <c r="L11" s="64"/>
      <c r="M11" s="67">
        <v>8.62674059316425</v>
      </c>
      <c r="N11" s="68"/>
      <c r="O11" s="60" t="s">
        <v>45</v>
      </c>
      <c r="P11" s="60"/>
      <c r="Q11" s="46"/>
      <c r="R11" s="47"/>
      <c r="S11" s="47"/>
      <c r="AF11" t="s">
        <v>18</v>
      </c>
      <c r="AG11" t="s">
        <v>38</v>
      </c>
      <c r="AH11" t="s">
        <v>39</v>
      </c>
    </row>
    <row r="12" spans="4:34" x14ac:dyDescent="0.3">
      <c r="D12" s="74"/>
      <c r="E12" s="75"/>
      <c r="F12" s="12"/>
      <c r="G12" s="14" t="s">
        <v>35</v>
      </c>
      <c r="H12" s="15"/>
      <c r="I12" s="26">
        <v>0.05</v>
      </c>
      <c r="J12" s="27"/>
      <c r="K12" s="63"/>
      <c r="L12" s="64"/>
      <c r="M12" s="67"/>
      <c r="N12" s="68"/>
      <c r="O12" s="60"/>
      <c r="P12" s="60"/>
      <c r="Q12" s="46"/>
      <c r="R12" s="47"/>
      <c r="S12" s="47"/>
    </row>
    <row r="13" spans="4:34" x14ac:dyDescent="0.3">
      <c r="D13" s="74"/>
      <c r="E13" s="75"/>
      <c r="F13" s="12"/>
      <c r="G13" s="16"/>
      <c r="H13" s="17"/>
      <c r="I13" s="28"/>
      <c r="J13" s="29"/>
      <c r="K13" s="63"/>
      <c r="L13" s="64"/>
      <c r="M13" s="67"/>
      <c r="N13" s="68"/>
      <c r="O13" s="60"/>
      <c r="P13" s="60"/>
      <c r="Q13" s="46"/>
      <c r="R13" s="47"/>
      <c r="S13" s="47"/>
      <c r="AF13" t="s">
        <v>40</v>
      </c>
    </row>
    <row r="14" spans="4:34" ht="14.4" customHeight="1" x14ac:dyDescent="0.3">
      <c r="D14" s="74"/>
      <c r="E14" s="75"/>
      <c r="F14" s="12"/>
      <c r="G14" s="14" t="s">
        <v>28</v>
      </c>
      <c r="H14" s="15"/>
      <c r="I14" s="18">
        <v>3</v>
      </c>
      <c r="J14" s="19"/>
      <c r="K14" s="63"/>
      <c r="L14" s="64"/>
      <c r="M14" s="78">
        <v>0.625</v>
      </c>
      <c r="N14" s="79"/>
      <c r="O14" s="60" t="s">
        <v>47</v>
      </c>
      <c r="P14" s="60"/>
      <c r="Q14" s="82" t="s">
        <v>46</v>
      </c>
      <c r="R14" s="47"/>
      <c r="S14" s="47"/>
      <c r="AF14" t="s">
        <v>6</v>
      </c>
      <c r="AG14" t="s">
        <v>8</v>
      </c>
    </row>
    <row r="15" spans="4:34" x14ac:dyDescent="0.3">
      <c r="D15" s="74"/>
      <c r="E15" s="75"/>
      <c r="F15" s="12"/>
      <c r="G15" s="16"/>
      <c r="H15" s="17"/>
      <c r="I15" s="20"/>
      <c r="J15" s="21"/>
      <c r="K15" s="63"/>
      <c r="L15" s="64"/>
      <c r="M15" s="78"/>
      <c r="N15" s="79"/>
      <c r="O15" s="60"/>
      <c r="P15" s="60"/>
      <c r="Q15" s="82"/>
      <c r="R15" s="47"/>
      <c r="S15" s="47"/>
    </row>
    <row r="16" spans="4:34" x14ac:dyDescent="0.3">
      <c r="D16" s="74"/>
      <c r="E16" s="75"/>
      <c r="F16" s="12"/>
      <c r="G16" s="14" t="s">
        <v>12</v>
      </c>
      <c r="H16" s="15"/>
      <c r="I16" s="30">
        <v>45597</v>
      </c>
      <c r="J16" s="31"/>
      <c r="K16" s="63"/>
      <c r="L16" s="64"/>
      <c r="M16" s="78"/>
      <c r="N16" s="79"/>
      <c r="O16" s="60"/>
      <c r="P16" s="60"/>
      <c r="Q16" s="82"/>
      <c r="R16" s="47"/>
      <c r="S16" s="47"/>
      <c r="AF16" t="s">
        <v>57</v>
      </c>
    </row>
    <row r="17" spans="4:33" x14ac:dyDescent="0.3">
      <c r="D17" s="74"/>
      <c r="E17" s="75"/>
      <c r="F17" s="13"/>
      <c r="G17" s="16"/>
      <c r="H17" s="17"/>
      <c r="I17" s="32"/>
      <c r="J17" s="33"/>
      <c r="K17" s="63"/>
      <c r="L17" s="64"/>
      <c r="M17" s="78">
        <v>0.125</v>
      </c>
      <c r="N17" s="79"/>
      <c r="O17" s="60" t="s">
        <v>48</v>
      </c>
      <c r="P17" s="60"/>
      <c r="Q17" s="82"/>
      <c r="R17" s="47"/>
      <c r="S17" s="47"/>
      <c r="AF17" t="s">
        <v>58</v>
      </c>
      <c r="AG17" t="s">
        <v>59</v>
      </c>
    </row>
    <row r="18" spans="4:33" x14ac:dyDescent="0.3">
      <c r="D18" s="74"/>
      <c r="E18" s="75"/>
      <c r="F18" s="11" t="s">
        <v>26</v>
      </c>
      <c r="G18" s="14" t="s">
        <v>5</v>
      </c>
      <c r="H18" s="15"/>
      <c r="I18" s="34">
        <v>1</v>
      </c>
      <c r="J18" s="35"/>
      <c r="K18" s="63"/>
      <c r="L18" s="64"/>
      <c r="M18" s="78"/>
      <c r="N18" s="79"/>
      <c r="O18" s="60"/>
      <c r="P18" s="60"/>
      <c r="Q18" s="82"/>
      <c r="R18" s="47"/>
      <c r="S18" s="47"/>
    </row>
    <row r="19" spans="4:33" x14ac:dyDescent="0.3">
      <c r="D19" s="74"/>
      <c r="E19" s="75"/>
      <c r="F19" s="12"/>
      <c r="G19" s="16"/>
      <c r="H19" s="17"/>
      <c r="I19" s="36"/>
      <c r="J19" s="37"/>
      <c r="K19" s="63"/>
      <c r="L19" s="64"/>
      <c r="M19" s="78"/>
      <c r="N19" s="79"/>
      <c r="O19" s="60"/>
      <c r="P19" s="60"/>
      <c r="Q19" s="82"/>
      <c r="R19" s="47"/>
      <c r="S19" s="47"/>
    </row>
    <row r="20" spans="4:33" x14ac:dyDescent="0.3">
      <c r="D20" s="74"/>
      <c r="E20" s="75"/>
      <c r="F20" s="12"/>
      <c r="G20" s="14" t="s">
        <v>29</v>
      </c>
      <c r="H20" s="15"/>
      <c r="I20" s="38">
        <v>100</v>
      </c>
      <c r="J20" s="39"/>
      <c r="K20" s="63"/>
      <c r="L20" s="64"/>
      <c r="M20" s="80">
        <f>M17+M14</f>
        <v>0.75</v>
      </c>
      <c r="N20" s="81"/>
      <c r="O20" s="59" t="s">
        <v>49</v>
      </c>
      <c r="P20" s="59"/>
      <c r="Q20" s="82"/>
      <c r="R20" s="47"/>
      <c r="S20" s="47"/>
    </row>
    <row r="21" spans="4:33" x14ac:dyDescent="0.3">
      <c r="D21" s="74"/>
      <c r="E21" s="75"/>
      <c r="F21" s="12"/>
      <c r="G21" s="16"/>
      <c r="H21" s="17"/>
      <c r="I21" s="40"/>
      <c r="J21" s="41"/>
      <c r="K21" s="63"/>
      <c r="L21" s="64"/>
      <c r="M21" s="80"/>
      <c r="N21" s="81"/>
      <c r="O21" s="59"/>
      <c r="P21" s="59"/>
      <c r="Q21" s="82"/>
      <c r="R21" s="47"/>
      <c r="S21" s="47"/>
    </row>
    <row r="22" spans="4:33" x14ac:dyDescent="0.3">
      <c r="D22" s="74"/>
      <c r="E22" s="75"/>
      <c r="F22" s="12"/>
      <c r="G22" s="14" t="s">
        <v>13</v>
      </c>
      <c r="H22" s="15"/>
      <c r="I22" s="30">
        <v>45566</v>
      </c>
      <c r="J22" s="31"/>
      <c r="K22" s="63"/>
      <c r="L22" s="64"/>
      <c r="M22" s="80"/>
      <c r="N22" s="81"/>
      <c r="O22" s="59"/>
      <c r="P22" s="59"/>
      <c r="Q22" s="82"/>
      <c r="R22" s="47"/>
      <c r="S22" s="47"/>
    </row>
    <row r="23" spans="4:33" x14ac:dyDescent="0.3">
      <c r="D23" s="74"/>
      <c r="E23" s="75"/>
      <c r="F23" s="12"/>
      <c r="G23" s="16"/>
      <c r="H23" s="17"/>
      <c r="I23" s="32"/>
      <c r="J23" s="33"/>
      <c r="K23" s="63"/>
      <c r="L23" s="64"/>
      <c r="M23" s="84" t="s">
        <v>60</v>
      </c>
      <c r="N23" s="85"/>
      <c r="O23" s="60" t="s">
        <v>51</v>
      </c>
      <c r="P23" s="60"/>
      <c r="Q23" s="83" t="s">
        <v>50</v>
      </c>
      <c r="R23" s="47"/>
      <c r="S23" s="47"/>
    </row>
    <row r="24" spans="4:33" x14ac:dyDescent="0.3">
      <c r="D24" s="74"/>
      <c r="E24" s="75"/>
      <c r="F24" s="12"/>
      <c r="G24" s="14" t="s">
        <v>1</v>
      </c>
      <c r="H24" s="15"/>
      <c r="I24" s="34" t="s">
        <v>17</v>
      </c>
      <c r="J24" s="35"/>
      <c r="K24" s="63"/>
      <c r="L24" s="64"/>
      <c r="M24" s="84"/>
      <c r="N24" s="85"/>
      <c r="O24" s="60"/>
      <c r="P24" s="60"/>
      <c r="Q24" s="83"/>
      <c r="R24" s="47"/>
      <c r="S24" s="47"/>
    </row>
    <row r="25" spans="4:33" x14ac:dyDescent="0.3">
      <c r="D25" s="74"/>
      <c r="E25" s="75"/>
      <c r="F25" s="12"/>
      <c r="G25" s="16"/>
      <c r="H25" s="17"/>
      <c r="I25" s="36"/>
      <c r="J25" s="37"/>
      <c r="K25" s="63"/>
      <c r="L25" s="64"/>
      <c r="M25" s="84"/>
      <c r="N25" s="85"/>
      <c r="O25" s="60"/>
      <c r="P25" s="60"/>
      <c r="Q25" s="83"/>
      <c r="R25" s="47"/>
      <c r="S25" s="47"/>
    </row>
    <row r="26" spans="4:33" x14ac:dyDescent="0.3">
      <c r="D26" s="74"/>
      <c r="E26" s="75"/>
      <c r="F26" s="12"/>
      <c r="G26" s="14" t="s">
        <v>30</v>
      </c>
      <c r="H26" s="15"/>
      <c r="I26" s="34" t="s">
        <v>18</v>
      </c>
      <c r="J26" s="35"/>
      <c r="K26" s="63"/>
      <c r="L26" s="64"/>
      <c r="M26" s="84" t="s">
        <v>60</v>
      </c>
      <c r="N26" s="85"/>
      <c r="O26" s="60" t="s">
        <v>52</v>
      </c>
      <c r="P26" s="60"/>
      <c r="Q26" s="83"/>
      <c r="R26" s="47"/>
      <c r="S26" s="47"/>
    </row>
    <row r="27" spans="4:33" x14ac:dyDescent="0.3">
      <c r="D27" s="74"/>
      <c r="E27" s="75"/>
      <c r="F27" s="13"/>
      <c r="G27" s="16"/>
      <c r="H27" s="17"/>
      <c r="I27" s="36"/>
      <c r="J27" s="37"/>
      <c r="K27" s="63"/>
      <c r="L27" s="64"/>
      <c r="M27" s="84"/>
      <c r="N27" s="85"/>
      <c r="O27" s="60"/>
      <c r="P27" s="60"/>
      <c r="Q27" s="83"/>
      <c r="R27" s="47"/>
      <c r="S27" s="47"/>
    </row>
    <row r="28" spans="4:33" x14ac:dyDescent="0.3">
      <c r="D28" s="74"/>
      <c r="E28" s="75"/>
      <c r="F28" s="69" t="s">
        <v>34</v>
      </c>
      <c r="G28" s="14" t="s">
        <v>31</v>
      </c>
      <c r="H28" s="15"/>
      <c r="I28" s="34" t="s">
        <v>6</v>
      </c>
      <c r="J28" s="35"/>
      <c r="K28" s="63"/>
      <c r="L28" s="64"/>
      <c r="M28" s="84"/>
      <c r="N28" s="85"/>
      <c r="O28" s="60"/>
      <c r="P28" s="60"/>
      <c r="Q28" s="83"/>
      <c r="R28" s="47"/>
      <c r="S28" s="47"/>
    </row>
    <row r="29" spans="4:33" x14ac:dyDescent="0.3">
      <c r="D29" s="74"/>
      <c r="E29" s="75"/>
      <c r="F29" s="70"/>
      <c r="G29" s="16"/>
      <c r="H29" s="17"/>
      <c r="I29" s="36"/>
      <c r="J29" s="37"/>
      <c r="K29" s="63"/>
      <c r="L29" s="64"/>
      <c r="M29" s="84" t="s">
        <v>60</v>
      </c>
      <c r="N29" s="85"/>
      <c r="O29" s="60" t="s">
        <v>53</v>
      </c>
      <c r="P29" s="60"/>
      <c r="Q29" s="83"/>
      <c r="R29" s="47"/>
      <c r="S29" s="47"/>
    </row>
    <row r="30" spans="4:33" x14ac:dyDescent="0.3">
      <c r="D30" s="74"/>
      <c r="E30" s="75"/>
      <c r="F30" s="70"/>
      <c r="G30" s="14" t="s">
        <v>32</v>
      </c>
      <c r="H30" s="15"/>
      <c r="I30" s="34">
        <v>1000</v>
      </c>
      <c r="J30" s="35"/>
      <c r="K30" s="63"/>
      <c r="L30" s="64"/>
      <c r="M30" s="84"/>
      <c r="N30" s="85"/>
      <c r="O30" s="60"/>
      <c r="P30" s="60"/>
      <c r="Q30" s="83"/>
      <c r="R30" s="47"/>
      <c r="S30" s="47"/>
    </row>
    <row r="31" spans="4:33" x14ac:dyDescent="0.3">
      <c r="D31" s="74"/>
      <c r="E31" s="75"/>
      <c r="F31" s="70"/>
      <c r="G31" s="16"/>
      <c r="H31" s="17"/>
      <c r="I31" s="36"/>
      <c r="J31" s="37"/>
      <c r="K31" s="63"/>
      <c r="L31" s="64"/>
      <c r="M31" s="84"/>
      <c r="N31" s="85"/>
      <c r="O31" s="60"/>
      <c r="P31" s="60"/>
      <c r="Q31" s="83"/>
      <c r="R31" s="47"/>
      <c r="S31" s="47"/>
    </row>
    <row r="32" spans="4:33" x14ac:dyDescent="0.3">
      <c r="D32" s="74"/>
      <c r="E32" s="75"/>
      <c r="F32" s="70"/>
      <c r="G32" s="14" t="s">
        <v>33</v>
      </c>
      <c r="H32" s="15"/>
      <c r="I32" s="42">
        <v>1E-8</v>
      </c>
      <c r="J32" s="43"/>
      <c r="K32" s="63"/>
      <c r="L32" s="64"/>
      <c r="M32" s="84" t="s">
        <v>60</v>
      </c>
      <c r="N32" s="85"/>
      <c r="O32" s="60" t="s">
        <v>54</v>
      </c>
      <c r="P32" s="60"/>
      <c r="Q32" s="83"/>
      <c r="R32" s="47"/>
      <c r="S32" s="47"/>
    </row>
    <row r="33" spans="4:19" x14ac:dyDescent="0.3">
      <c r="D33" s="74"/>
      <c r="E33" s="75"/>
      <c r="F33" s="70"/>
      <c r="G33" s="16"/>
      <c r="H33" s="17"/>
      <c r="I33" s="44"/>
      <c r="J33" s="45"/>
      <c r="K33" s="63"/>
      <c r="L33" s="64"/>
      <c r="M33" s="84"/>
      <c r="N33" s="85"/>
      <c r="O33" s="60"/>
      <c r="P33" s="60"/>
      <c r="Q33" s="83"/>
      <c r="R33" s="47"/>
      <c r="S33" s="47"/>
    </row>
    <row r="34" spans="4:19" x14ac:dyDescent="0.3">
      <c r="D34" s="74"/>
      <c r="E34" s="75"/>
      <c r="F34" s="70"/>
      <c r="G34" s="14" t="s">
        <v>41</v>
      </c>
      <c r="H34" s="15"/>
      <c r="I34" s="34" t="s">
        <v>59</v>
      </c>
      <c r="J34" s="35"/>
      <c r="K34" s="63"/>
      <c r="L34" s="64"/>
      <c r="M34" s="84"/>
      <c r="N34" s="85"/>
      <c r="O34" s="60"/>
      <c r="P34" s="60"/>
      <c r="Q34" s="83"/>
      <c r="R34" s="47"/>
      <c r="S34" s="47"/>
    </row>
    <row r="35" spans="4:19" x14ac:dyDescent="0.3">
      <c r="D35" s="74"/>
      <c r="E35" s="75"/>
      <c r="F35" s="70"/>
      <c r="G35" s="16"/>
      <c r="H35" s="17"/>
      <c r="I35" s="36"/>
      <c r="J35" s="37"/>
      <c r="K35" s="63"/>
      <c r="L35" s="64"/>
      <c r="M35" s="84" t="s">
        <v>60</v>
      </c>
      <c r="N35" s="85"/>
      <c r="O35" s="60" t="s">
        <v>55</v>
      </c>
      <c r="P35" s="60"/>
      <c r="Q35" s="83"/>
      <c r="R35" s="47"/>
      <c r="S35" s="47"/>
    </row>
    <row r="36" spans="4:19" x14ac:dyDescent="0.3">
      <c r="D36" s="74"/>
      <c r="E36" s="75"/>
      <c r="F36" s="70"/>
      <c r="G36" s="14" t="s">
        <v>42</v>
      </c>
      <c r="H36" s="15"/>
      <c r="I36" s="34" t="s">
        <v>59</v>
      </c>
      <c r="J36" s="35"/>
      <c r="K36" s="63"/>
      <c r="L36" s="64"/>
      <c r="M36" s="84"/>
      <c r="N36" s="85"/>
      <c r="O36" s="60"/>
      <c r="P36" s="60"/>
      <c r="Q36" s="83"/>
      <c r="R36" s="47"/>
      <c r="S36" s="47"/>
    </row>
    <row r="37" spans="4:19" x14ac:dyDescent="0.3">
      <c r="D37" s="76"/>
      <c r="E37" s="77"/>
      <c r="F37" s="71"/>
      <c r="G37" s="16"/>
      <c r="H37" s="17"/>
      <c r="I37" s="36"/>
      <c r="J37" s="37"/>
      <c r="K37" s="65"/>
      <c r="L37" s="66"/>
      <c r="M37" s="84"/>
      <c r="N37" s="85"/>
      <c r="O37" s="60"/>
      <c r="P37" s="60"/>
      <c r="Q37" s="83"/>
      <c r="R37" s="47"/>
      <c r="S37" s="47"/>
    </row>
  </sheetData>
  <mergeCells count="60">
    <mergeCell ref="M23:N25"/>
    <mergeCell ref="M26:N28"/>
    <mergeCell ref="M29:N31"/>
    <mergeCell ref="M32:N34"/>
    <mergeCell ref="M35:N37"/>
    <mergeCell ref="Q14:Q22"/>
    <mergeCell ref="Q23:Q37"/>
    <mergeCell ref="O23:P25"/>
    <mergeCell ref="O26:P28"/>
    <mergeCell ref="O29:P31"/>
    <mergeCell ref="O32:P34"/>
    <mergeCell ref="O35:P37"/>
    <mergeCell ref="O14:P16"/>
    <mergeCell ref="M14:N16"/>
    <mergeCell ref="O17:P19"/>
    <mergeCell ref="M17:N19"/>
    <mergeCell ref="O20:P22"/>
    <mergeCell ref="M20:N22"/>
    <mergeCell ref="Q8:Q13"/>
    <mergeCell ref="R8:S37"/>
    <mergeCell ref="D3:S7"/>
    <mergeCell ref="M8:N10"/>
    <mergeCell ref="O8:P10"/>
    <mergeCell ref="O11:P13"/>
    <mergeCell ref="K8:L37"/>
    <mergeCell ref="M11:N13"/>
    <mergeCell ref="G34:H35"/>
    <mergeCell ref="G36:H37"/>
    <mergeCell ref="I34:J35"/>
    <mergeCell ref="I36:J37"/>
    <mergeCell ref="F28:F37"/>
    <mergeCell ref="D8:E37"/>
    <mergeCell ref="G28:H29"/>
    <mergeCell ref="G30:H31"/>
    <mergeCell ref="G18:H19"/>
    <mergeCell ref="G20:H21"/>
    <mergeCell ref="G32:H33"/>
    <mergeCell ref="I28:J29"/>
    <mergeCell ref="I30:J31"/>
    <mergeCell ref="I32:J33"/>
    <mergeCell ref="G24:H25"/>
    <mergeCell ref="I24:J25"/>
    <mergeCell ref="I26:J27"/>
    <mergeCell ref="G26:H27"/>
    <mergeCell ref="F8:F17"/>
    <mergeCell ref="G8:H9"/>
    <mergeCell ref="F18:F27"/>
    <mergeCell ref="G22:H23"/>
    <mergeCell ref="I8:J9"/>
    <mergeCell ref="I10:J11"/>
    <mergeCell ref="I12:J13"/>
    <mergeCell ref="I14:J15"/>
    <mergeCell ref="I16:J17"/>
    <mergeCell ref="I18:J19"/>
    <mergeCell ref="I20:J21"/>
    <mergeCell ref="I22:J23"/>
    <mergeCell ref="G10:H11"/>
    <mergeCell ref="G12:H13"/>
    <mergeCell ref="G14:H15"/>
    <mergeCell ref="G16:H17"/>
  </mergeCells>
  <dataValidations count="4">
    <dataValidation type="list" allowBlank="1" showInputMessage="1" showErrorMessage="1" sqref="I24:J25" xr:uid="{99AB89D4-5C41-44E8-8EAB-CCB52545841F}">
      <formula1>$AF$8:$AG$8</formula1>
    </dataValidation>
    <dataValidation type="list" allowBlank="1" showInputMessage="1" showErrorMessage="1" sqref="I26:J27" xr:uid="{3F2E4ECB-7341-4B2A-9CE1-B257D7E2127B}">
      <formula1>$AF$11:$AH$11</formula1>
    </dataValidation>
    <dataValidation type="list" allowBlank="1" showInputMessage="1" showErrorMessage="1" sqref="I28:J29" xr:uid="{5FC007EF-71ED-4FD6-8C65-F79C86223C0E}">
      <formula1>$AF$14:$AG$14</formula1>
    </dataValidation>
    <dataValidation type="list" allowBlank="1" showInputMessage="1" showErrorMessage="1" sqref="I34:J37" xr:uid="{0D849D9A-C3A9-4519-8229-81EB80FCB053}">
      <formula1>$AF$17:$AG$17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Button 8">
              <controlPr defaultSize="0" print="0" autoFill="0" autoPict="0" macro="[0]!Main.PriceTree">
                <anchor moveWithCells="1" sizeWithCells="1">
                  <from>
                    <xdr:col>10</xdr:col>
                    <xdr:colOff>83820</xdr:colOff>
                    <xdr:row>20</xdr:row>
                    <xdr:rowOff>38100</xdr:rowOff>
                  </from>
                  <to>
                    <xdr:col>11</xdr:col>
                    <xdr:colOff>586740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/>
  <dimension ref="A1:C3"/>
  <sheetViews>
    <sheetView topLeftCell="E7" zoomScale="70" zoomScaleNormal="70" workbookViewId="0">
      <selection activeCell="E7" sqref="E7"/>
    </sheetView>
  </sheetViews>
  <sheetFormatPr defaultRowHeight="14.4" x14ac:dyDescent="0.3"/>
  <sheetData>
    <row r="1" spans="1:3" x14ac:dyDescent="0.3">
      <c r="A1" s="86" t="s">
        <v>61</v>
      </c>
      <c r="B1" s="86"/>
      <c r="C1" s="86"/>
    </row>
    <row r="2" spans="1:3" x14ac:dyDescent="0.3">
      <c r="A2" s="86"/>
      <c r="B2" s="86"/>
      <c r="C2" s="86"/>
    </row>
    <row r="3" spans="1:3" x14ac:dyDescent="0.3">
      <c r="A3" s="86"/>
      <c r="B3" s="86"/>
      <c r="C3" s="86"/>
    </row>
  </sheetData>
  <mergeCells count="1">
    <mergeCell ref="A1:C3"/>
  </mergeCells>
  <conditionalFormatting sqref="A4:XFD1048576 A1 D1:XFD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/>
  <dimension ref="A1:C3"/>
  <sheetViews>
    <sheetView zoomScale="10" zoomScaleNormal="10" workbookViewId="0">
      <selection activeCell="CH77" sqref="CH77"/>
    </sheetView>
  </sheetViews>
  <sheetFormatPr defaultRowHeight="14.4" x14ac:dyDescent="0.3"/>
  <sheetData>
    <row r="1" spans="1:3" x14ac:dyDescent="0.3">
      <c r="A1" s="86" t="s">
        <v>62</v>
      </c>
      <c r="B1" s="86"/>
      <c r="C1" s="86"/>
    </row>
    <row r="2" spans="1:3" x14ac:dyDescent="0.3">
      <c r="A2" s="86"/>
      <c r="B2" s="86"/>
      <c r="C2" s="86"/>
    </row>
    <row r="3" spans="1:3" x14ac:dyDescent="0.3">
      <c r="A3" s="86"/>
      <c r="B3" s="86"/>
      <c r="C3" s="86"/>
    </row>
  </sheetData>
  <mergeCells count="1">
    <mergeCell ref="A1:C3"/>
  </mergeCells>
  <conditionalFormatting sqref="A4:XFD1048576 D1:XFD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B9AF4-0E1A-4C29-B593-BA10D47D6D0D}">
  <sheetPr codeName="Feuil2"/>
  <dimension ref="B2:R80"/>
  <sheetViews>
    <sheetView zoomScaleNormal="100" workbookViewId="0">
      <selection activeCell="L42" sqref="L42:R80"/>
    </sheetView>
  </sheetViews>
  <sheetFormatPr defaultColWidth="10.88671875" defaultRowHeight="14.4" x14ac:dyDescent="0.3"/>
  <cols>
    <col min="5" max="5" width="14.88671875" customWidth="1"/>
  </cols>
  <sheetData>
    <row r="2" spans="2:18" ht="38.25" customHeight="1" x14ac:dyDescent="0.3">
      <c r="B2" s="87" t="s">
        <v>10</v>
      </c>
      <c r="C2" s="87"/>
      <c r="D2" s="87"/>
      <c r="E2" s="87"/>
      <c r="F2" s="87"/>
      <c r="G2" s="87"/>
      <c r="H2" s="87"/>
      <c r="L2" s="87" t="s">
        <v>11</v>
      </c>
      <c r="M2" s="87"/>
      <c r="N2" s="87"/>
      <c r="O2" s="87"/>
      <c r="P2" s="87"/>
      <c r="Q2" s="87"/>
      <c r="R2" s="87"/>
    </row>
    <row r="3" spans="2:18" x14ac:dyDescent="0.3">
      <c r="B3" s="88"/>
      <c r="C3" s="88"/>
      <c r="D3" s="88"/>
      <c r="E3" s="88"/>
      <c r="F3" s="88"/>
      <c r="G3" s="88"/>
      <c r="H3" s="88"/>
      <c r="L3" s="88"/>
      <c r="M3" s="88"/>
      <c r="N3" s="88"/>
      <c r="O3" s="88"/>
      <c r="P3" s="88"/>
      <c r="Q3" s="88"/>
      <c r="R3" s="88"/>
    </row>
    <row r="4" spans="2:18" x14ac:dyDescent="0.3">
      <c r="B4" s="88"/>
      <c r="C4" s="88"/>
      <c r="D4" s="88"/>
      <c r="E4" s="88"/>
      <c r="F4" s="88"/>
      <c r="G4" s="88"/>
      <c r="H4" s="88"/>
      <c r="L4" s="88"/>
      <c r="M4" s="88"/>
      <c r="N4" s="88"/>
      <c r="O4" s="88"/>
      <c r="P4" s="88"/>
      <c r="Q4" s="88"/>
      <c r="R4" s="88"/>
    </row>
    <row r="5" spans="2:18" x14ac:dyDescent="0.3">
      <c r="B5" s="88"/>
      <c r="C5" s="88"/>
      <c r="D5" s="88"/>
      <c r="E5" s="88"/>
      <c r="F5" s="88"/>
      <c r="G5" s="88"/>
      <c r="H5" s="88"/>
      <c r="L5" s="88"/>
      <c r="M5" s="88"/>
      <c r="N5" s="88"/>
      <c r="O5" s="88"/>
      <c r="P5" s="88"/>
      <c r="Q5" s="88"/>
      <c r="R5" s="88"/>
    </row>
    <row r="6" spans="2:18" x14ac:dyDescent="0.3">
      <c r="B6" s="88"/>
      <c r="C6" s="88"/>
      <c r="D6" s="88"/>
      <c r="E6" s="88"/>
      <c r="F6" s="88"/>
      <c r="G6" s="88"/>
      <c r="H6" s="88"/>
      <c r="L6" s="88"/>
      <c r="M6" s="88"/>
      <c r="N6" s="88"/>
      <c r="O6" s="88"/>
      <c r="P6" s="88"/>
      <c r="Q6" s="88"/>
      <c r="R6" s="88"/>
    </row>
    <row r="7" spans="2:18" x14ac:dyDescent="0.3">
      <c r="B7" s="88"/>
      <c r="C7" s="88"/>
      <c r="D7" s="88"/>
      <c r="E7" s="88"/>
      <c r="F7" s="88"/>
      <c r="G7" s="88"/>
      <c r="H7" s="88"/>
      <c r="L7" s="88"/>
      <c r="M7" s="88"/>
      <c r="N7" s="88"/>
      <c r="O7" s="88"/>
      <c r="P7" s="88"/>
      <c r="Q7" s="88"/>
      <c r="R7" s="88"/>
    </row>
    <row r="8" spans="2:18" x14ac:dyDescent="0.3">
      <c r="B8" s="88"/>
      <c r="C8" s="88"/>
      <c r="D8" s="88"/>
      <c r="E8" s="88"/>
      <c r="F8" s="88"/>
      <c r="G8" s="88"/>
      <c r="H8" s="88"/>
      <c r="L8" s="88"/>
      <c r="M8" s="88"/>
      <c r="N8" s="88"/>
      <c r="O8" s="88"/>
      <c r="P8" s="88"/>
      <c r="Q8" s="88"/>
      <c r="R8" s="88"/>
    </row>
    <row r="9" spans="2:18" x14ac:dyDescent="0.3">
      <c r="B9" s="88"/>
      <c r="C9" s="88"/>
      <c r="D9" s="88"/>
      <c r="E9" s="88"/>
      <c r="F9" s="88"/>
      <c r="G9" s="88"/>
      <c r="H9" s="88"/>
      <c r="L9" s="88"/>
      <c r="M9" s="88"/>
      <c r="N9" s="88"/>
      <c r="O9" s="88"/>
      <c r="P9" s="88"/>
      <c r="Q9" s="88"/>
      <c r="R9" s="88"/>
    </row>
    <row r="10" spans="2:18" x14ac:dyDescent="0.3">
      <c r="B10" s="88"/>
      <c r="C10" s="88"/>
      <c r="D10" s="88"/>
      <c r="E10" s="88"/>
      <c r="F10" s="88"/>
      <c r="G10" s="88"/>
      <c r="H10" s="88"/>
      <c r="L10" s="88"/>
      <c r="M10" s="88"/>
      <c r="N10" s="88"/>
      <c r="O10" s="88"/>
      <c r="P10" s="88"/>
      <c r="Q10" s="88"/>
      <c r="R10" s="88"/>
    </row>
    <row r="11" spans="2:18" x14ac:dyDescent="0.3">
      <c r="B11" s="88"/>
      <c r="C11" s="88"/>
      <c r="D11" s="88"/>
      <c r="E11" s="88"/>
      <c r="F11" s="88"/>
      <c r="G11" s="88"/>
      <c r="H11" s="88"/>
      <c r="L11" s="88"/>
      <c r="M11" s="88"/>
      <c r="N11" s="88"/>
      <c r="O11" s="88"/>
      <c r="P11" s="88"/>
      <c r="Q11" s="88"/>
      <c r="R11" s="88"/>
    </row>
    <row r="12" spans="2:18" x14ac:dyDescent="0.3">
      <c r="B12" s="88"/>
      <c r="C12" s="88"/>
      <c r="D12" s="88"/>
      <c r="E12" s="88"/>
      <c r="F12" s="88"/>
      <c r="G12" s="88"/>
      <c r="H12" s="88"/>
      <c r="L12" s="88"/>
      <c r="M12" s="88"/>
      <c r="N12" s="88"/>
      <c r="O12" s="88"/>
      <c r="P12" s="88"/>
      <c r="Q12" s="88"/>
      <c r="R12" s="88"/>
    </row>
    <row r="13" spans="2:18" x14ac:dyDescent="0.3">
      <c r="B13" s="88"/>
      <c r="C13" s="88"/>
      <c r="D13" s="88"/>
      <c r="E13" s="88"/>
      <c r="F13" s="88"/>
      <c r="G13" s="88"/>
      <c r="H13" s="88"/>
      <c r="L13" s="88"/>
      <c r="M13" s="88"/>
      <c r="N13" s="88"/>
      <c r="O13" s="88"/>
      <c r="P13" s="88"/>
      <c r="Q13" s="88"/>
      <c r="R13" s="88"/>
    </row>
    <row r="14" spans="2:18" x14ac:dyDescent="0.3">
      <c r="B14" s="88"/>
      <c r="C14" s="88"/>
      <c r="D14" s="88"/>
      <c r="E14" s="88"/>
      <c r="F14" s="88"/>
      <c r="G14" s="88"/>
      <c r="H14" s="88"/>
      <c r="L14" s="88"/>
      <c r="M14" s="88"/>
      <c r="N14" s="88"/>
      <c r="O14" s="88"/>
      <c r="P14" s="88"/>
      <c r="Q14" s="88"/>
      <c r="R14" s="88"/>
    </row>
    <row r="15" spans="2:18" x14ac:dyDescent="0.3">
      <c r="B15" s="88"/>
      <c r="C15" s="88"/>
      <c r="D15" s="88"/>
      <c r="E15" s="88"/>
      <c r="F15" s="88"/>
      <c r="G15" s="88"/>
      <c r="H15" s="88"/>
      <c r="L15" s="88"/>
      <c r="M15" s="88"/>
      <c r="N15" s="88"/>
      <c r="O15" s="88"/>
      <c r="P15" s="88"/>
      <c r="Q15" s="88"/>
      <c r="R15" s="88"/>
    </row>
    <row r="16" spans="2:18" x14ac:dyDescent="0.3">
      <c r="B16" s="88"/>
      <c r="C16" s="88"/>
      <c r="D16" s="88"/>
      <c r="E16" s="88"/>
      <c r="F16" s="88"/>
      <c r="G16" s="88"/>
      <c r="H16" s="88"/>
      <c r="L16" s="88"/>
      <c r="M16" s="88"/>
      <c r="N16" s="88"/>
      <c r="O16" s="88"/>
      <c r="P16" s="88"/>
      <c r="Q16" s="88"/>
      <c r="R16" s="88"/>
    </row>
    <row r="17" spans="2:18" x14ac:dyDescent="0.3">
      <c r="B17" s="88"/>
      <c r="C17" s="88"/>
      <c r="D17" s="88"/>
      <c r="E17" s="88"/>
      <c r="F17" s="88"/>
      <c r="G17" s="88"/>
      <c r="H17" s="88"/>
      <c r="L17" s="88"/>
      <c r="M17" s="88"/>
      <c r="N17" s="88"/>
      <c r="O17" s="88"/>
      <c r="P17" s="88"/>
      <c r="Q17" s="88"/>
      <c r="R17" s="88"/>
    </row>
    <row r="18" spans="2:18" x14ac:dyDescent="0.3">
      <c r="B18" s="88"/>
      <c r="C18" s="88"/>
      <c r="D18" s="88"/>
      <c r="E18" s="88"/>
      <c r="F18" s="88"/>
      <c r="G18" s="88"/>
      <c r="H18" s="88"/>
      <c r="L18" s="88"/>
      <c r="M18" s="88"/>
      <c r="N18" s="88"/>
      <c r="O18" s="88"/>
      <c r="P18" s="88"/>
      <c r="Q18" s="88"/>
      <c r="R18" s="88"/>
    </row>
    <row r="19" spans="2:18" x14ac:dyDescent="0.3">
      <c r="B19" s="88"/>
      <c r="C19" s="88"/>
      <c r="D19" s="88"/>
      <c r="E19" s="88"/>
      <c r="F19" s="88"/>
      <c r="G19" s="88"/>
      <c r="H19" s="88"/>
      <c r="L19" s="88"/>
      <c r="M19" s="88"/>
      <c r="N19" s="88"/>
      <c r="O19" s="88"/>
      <c r="P19" s="88"/>
      <c r="Q19" s="88"/>
      <c r="R19" s="88"/>
    </row>
    <row r="20" spans="2:18" x14ac:dyDescent="0.3">
      <c r="B20" s="88"/>
      <c r="C20" s="88"/>
      <c r="D20" s="88"/>
      <c r="E20" s="88"/>
      <c r="F20" s="88"/>
      <c r="G20" s="88"/>
      <c r="H20" s="88"/>
      <c r="L20" s="88"/>
      <c r="M20" s="88"/>
      <c r="N20" s="88"/>
      <c r="O20" s="88"/>
      <c r="P20" s="88"/>
      <c r="Q20" s="88"/>
      <c r="R20" s="88"/>
    </row>
    <row r="21" spans="2:18" x14ac:dyDescent="0.3">
      <c r="B21" s="88"/>
      <c r="C21" s="88"/>
      <c r="D21" s="88"/>
      <c r="E21" s="88"/>
      <c r="F21" s="88"/>
      <c r="G21" s="88"/>
      <c r="H21" s="88"/>
      <c r="L21" s="88"/>
      <c r="M21" s="88"/>
      <c r="N21" s="88"/>
      <c r="O21" s="88"/>
      <c r="P21" s="88"/>
      <c r="Q21" s="88"/>
      <c r="R21" s="88"/>
    </row>
    <row r="22" spans="2:18" x14ac:dyDescent="0.3">
      <c r="B22" s="88"/>
      <c r="C22" s="88"/>
      <c r="D22" s="88"/>
      <c r="E22" s="88"/>
      <c r="F22" s="88"/>
      <c r="G22" s="88"/>
      <c r="H22" s="88"/>
      <c r="L22" s="88"/>
      <c r="M22" s="88"/>
      <c r="N22" s="88"/>
      <c r="O22" s="88"/>
      <c r="P22" s="88"/>
      <c r="Q22" s="88"/>
      <c r="R22" s="88"/>
    </row>
    <row r="23" spans="2:18" x14ac:dyDescent="0.3">
      <c r="B23" s="88"/>
      <c r="C23" s="88"/>
      <c r="D23" s="88"/>
      <c r="E23" s="88"/>
      <c r="F23" s="88"/>
      <c r="G23" s="88"/>
      <c r="H23" s="88"/>
      <c r="L23" s="88"/>
      <c r="M23" s="88"/>
      <c r="N23" s="88"/>
      <c r="O23" s="88"/>
      <c r="P23" s="88"/>
      <c r="Q23" s="88"/>
      <c r="R23" s="88"/>
    </row>
    <row r="24" spans="2:18" x14ac:dyDescent="0.3">
      <c r="B24" s="88"/>
      <c r="C24" s="88"/>
      <c r="D24" s="88"/>
      <c r="E24" s="88"/>
      <c r="F24" s="88"/>
      <c r="G24" s="88"/>
      <c r="H24" s="88"/>
      <c r="J24" t="s">
        <v>19</v>
      </c>
      <c r="L24" s="88"/>
      <c r="M24" s="88"/>
      <c r="N24" s="88"/>
      <c r="O24" s="88"/>
      <c r="P24" s="88"/>
      <c r="Q24" s="88"/>
      <c r="R24" s="88"/>
    </row>
    <row r="25" spans="2:18" x14ac:dyDescent="0.3">
      <c r="B25" s="88"/>
      <c r="C25" s="88"/>
      <c r="D25" s="88"/>
      <c r="E25" s="88"/>
      <c r="F25" s="88"/>
      <c r="G25" s="88"/>
      <c r="H25" s="88"/>
      <c r="L25" s="88"/>
      <c r="M25" s="88"/>
      <c r="N25" s="88"/>
      <c r="O25" s="88"/>
      <c r="P25" s="88"/>
      <c r="Q25" s="88"/>
      <c r="R25" s="88"/>
    </row>
    <row r="26" spans="2:18" x14ac:dyDescent="0.3">
      <c r="B26" s="88"/>
      <c r="C26" s="88"/>
      <c r="D26" s="88"/>
      <c r="E26" s="88"/>
      <c r="F26" s="88"/>
      <c r="G26" s="88"/>
      <c r="H26" s="88"/>
      <c r="L26" s="88"/>
      <c r="M26" s="88"/>
      <c r="N26" s="88"/>
      <c r="O26" s="88"/>
      <c r="P26" s="88"/>
      <c r="Q26" s="88"/>
      <c r="R26" s="88"/>
    </row>
    <row r="27" spans="2:18" x14ac:dyDescent="0.3">
      <c r="B27" s="88"/>
      <c r="C27" s="88"/>
      <c r="D27" s="88"/>
      <c r="E27" s="88"/>
      <c r="F27" s="88"/>
      <c r="G27" s="88"/>
      <c r="H27" s="88"/>
      <c r="L27" s="88"/>
      <c r="M27" s="88"/>
      <c r="N27" s="88"/>
      <c r="O27" s="88"/>
      <c r="P27" s="88"/>
      <c r="Q27" s="88"/>
      <c r="R27" s="88"/>
    </row>
    <row r="28" spans="2:18" x14ac:dyDescent="0.3">
      <c r="B28" s="88"/>
      <c r="C28" s="88"/>
      <c r="D28" s="88"/>
      <c r="E28" s="88"/>
      <c r="F28" s="88"/>
      <c r="G28" s="88"/>
      <c r="H28" s="88"/>
      <c r="L28" s="88"/>
      <c r="M28" s="88"/>
      <c r="N28" s="88"/>
      <c r="O28" s="88"/>
      <c r="P28" s="88"/>
      <c r="Q28" s="88"/>
      <c r="R28" s="88"/>
    </row>
    <row r="29" spans="2:18" x14ac:dyDescent="0.3">
      <c r="B29" s="88"/>
      <c r="C29" s="88"/>
      <c r="D29" s="88"/>
      <c r="E29" s="88"/>
      <c r="F29" s="88"/>
      <c r="G29" s="88"/>
      <c r="H29" s="88"/>
      <c r="L29" s="88"/>
      <c r="M29" s="88"/>
      <c r="N29" s="88"/>
      <c r="O29" s="88"/>
      <c r="P29" s="88"/>
      <c r="Q29" s="88"/>
      <c r="R29" s="88"/>
    </row>
    <row r="30" spans="2:18" x14ac:dyDescent="0.3">
      <c r="B30" s="88"/>
      <c r="C30" s="88"/>
      <c r="D30" s="88"/>
      <c r="E30" s="88"/>
      <c r="F30" s="88"/>
      <c r="G30" s="88"/>
      <c r="H30" s="88"/>
      <c r="L30" s="88"/>
      <c r="M30" s="88"/>
      <c r="N30" s="88"/>
      <c r="O30" s="88"/>
      <c r="P30" s="88"/>
      <c r="Q30" s="88"/>
      <c r="R30" s="88"/>
    </row>
    <row r="31" spans="2:18" x14ac:dyDescent="0.3">
      <c r="B31" s="88"/>
      <c r="C31" s="88"/>
      <c r="D31" s="88"/>
      <c r="E31" s="88"/>
      <c r="F31" s="88"/>
      <c r="G31" s="88"/>
      <c r="H31" s="88"/>
      <c r="L31" s="88"/>
      <c r="M31" s="88"/>
      <c r="N31" s="88"/>
      <c r="O31" s="88"/>
      <c r="P31" s="88"/>
      <c r="Q31" s="88"/>
      <c r="R31" s="88"/>
    </row>
    <row r="32" spans="2:18" x14ac:dyDescent="0.3">
      <c r="B32" s="88"/>
      <c r="C32" s="88"/>
      <c r="D32" s="88"/>
      <c r="E32" s="88"/>
      <c r="F32" s="88"/>
      <c r="G32" s="88"/>
      <c r="H32" s="88"/>
      <c r="L32" s="88"/>
      <c r="M32" s="88"/>
      <c r="N32" s="88"/>
      <c r="O32" s="88"/>
      <c r="P32" s="88"/>
      <c r="Q32" s="88"/>
      <c r="R32" s="88"/>
    </row>
    <row r="33" spans="2:18" x14ac:dyDescent="0.3">
      <c r="B33" s="88"/>
      <c r="C33" s="88"/>
      <c r="D33" s="88"/>
      <c r="E33" s="88"/>
      <c r="F33" s="88"/>
      <c r="G33" s="88"/>
      <c r="H33" s="88"/>
      <c r="L33" s="88"/>
      <c r="M33" s="88"/>
      <c r="N33" s="88"/>
      <c r="O33" s="88"/>
      <c r="P33" s="88"/>
      <c r="Q33" s="88"/>
      <c r="R33" s="88"/>
    </row>
    <row r="34" spans="2:18" x14ac:dyDescent="0.3">
      <c r="B34" s="88"/>
      <c r="C34" s="88"/>
      <c r="D34" s="88"/>
      <c r="E34" s="88"/>
      <c r="F34" s="88"/>
      <c r="G34" s="88"/>
      <c r="H34" s="88"/>
      <c r="L34" s="88"/>
      <c r="M34" s="88"/>
      <c r="N34" s="88"/>
      <c r="O34" s="88"/>
      <c r="P34" s="88"/>
      <c r="Q34" s="88"/>
      <c r="R34" s="88"/>
    </row>
    <row r="35" spans="2:18" x14ac:dyDescent="0.3">
      <c r="B35" s="88"/>
      <c r="C35" s="88"/>
      <c r="D35" s="88"/>
      <c r="E35" s="88"/>
      <c r="F35" s="88"/>
      <c r="G35" s="88"/>
      <c r="H35" s="88"/>
      <c r="L35" s="88"/>
      <c r="M35" s="88"/>
      <c r="N35" s="88"/>
      <c r="O35" s="88"/>
      <c r="P35" s="88"/>
      <c r="Q35" s="88"/>
      <c r="R35" s="88"/>
    </row>
    <row r="36" spans="2:18" x14ac:dyDescent="0.3">
      <c r="B36" s="88"/>
      <c r="C36" s="88"/>
      <c r="D36" s="88"/>
      <c r="E36" s="88"/>
      <c r="F36" s="88"/>
      <c r="G36" s="88"/>
      <c r="H36" s="88"/>
      <c r="L36" s="88"/>
      <c r="M36" s="88"/>
      <c r="N36" s="88"/>
      <c r="O36" s="88"/>
      <c r="P36" s="88"/>
      <c r="Q36" s="88"/>
      <c r="R36" s="88"/>
    </row>
    <row r="37" spans="2:18" x14ac:dyDescent="0.3">
      <c r="B37" s="88"/>
      <c r="C37" s="88"/>
      <c r="D37" s="88"/>
      <c r="E37" s="88"/>
      <c r="F37" s="88"/>
      <c r="G37" s="88"/>
      <c r="H37" s="88"/>
      <c r="L37" s="88"/>
      <c r="M37" s="88"/>
      <c r="N37" s="88"/>
      <c r="O37" s="88"/>
      <c r="P37" s="88"/>
      <c r="Q37" s="88"/>
      <c r="R37" s="88"/>
    </row>
    <row r="38" spans="2:18" x14ac:dyDescent="0.3">
      <c r="B38" s="88"/>
      <c r="C38" s="88"/>
      <c r="D38" s="88"/>
      <c r="E38" s="88"/>
      <c r="F38" s="88"/>
      <c r="G38" s="88"/>
      <c r="H38" s="88"/>
      <c r="L38" s="88"/>
      <c r="M38" s="88"/>
      <c r="N38" s="88"/>
      <c r="O38" s="88"/>
      <c r="P38" s="88"/>
      <c r="Q38" s="88"/>
      <c r="R38" s="88"/>
    </row>
    <row r="39" spans="2:18" x14ac:dyDescent="0.3">
      <c r="B39" s="88"/>
      <c r="C39" s="88"/>
      <c r="D39" s="88"/>
      <c r="E39" s="88"/>
      <c r="F39" s="88"/>
      <c r="G39" s="88"/>
      <c r="H39" s="88"/>
      <c r="L39" s="88"/>
      <c r="M39" s="88"/>
      <c r="N39" s="88"/>
      <c r="O39" s="88"/>
      <c r="P39" s="88"/>
      <c r="Q39" s="88"/>
      <c r="R39" s="88"/>
    </row>
    <row r="40" spans="2:18" x14ac:dyDescent="0.3">
      <c r="B40" s="88"/>
      <c r="C40" s="88"/>
      <c r="D40" s="88"/>
      <c r="E40" s="88"/>
      <c r="F40" s="88"/>
      <c r="G40" s="88"/>
      <c r="H40" s="88"/>
      <c r="L40" s="88"/>
      <c r="M40" s="88"/>
      <c r="N40" s="88"/>
      <c r="O40" s="88"/>
      <c r="P40" s="88"/>
      <c r="Q40" s="88"/>
      <c r="R40" s="88"/>
    </row>
    <row r="41" spans="2:18" x14ac:dyDescent="0.3">
      <c r="B41" s="88"/>
      <c r="C41" s="88"/>
      <c r="D41" s="88"/>
      <c r="E41" s="88"/>
      <c r="F41" s="88"/>
      <c r="G41" s="88"/>
      <c r="H41" s="88"/>
      <c r="L41" s="88"/>
      <c r="M41" s="88"/>
      <c r="N41" s="88"/>
      <c r="O41" s="88"/>
      <c r="P41" s="88"/>
      <c r="Q41" s="88"/>
      <c r="R41" s="88"/>
    </row>
    <row r="42" spans="2:18" x14ac:dyDescent="0.3">
      <c r="B42" s="88"/>
      <c r="C42" s="88"/>
      <c r="D42" s="88"/>
      <c r="E42" s="88"/>
      <c r="F42" s="88"/>
      <c r="G42" s="88"/>
      <c r="H42" s="88"/>
      <c r="L42" s="88"/>
      <c r="M42" s="88"/>
      <c r="N42" s="88"/>
      <c r="O42" s="88"/>
      <c r="P42" s="88"/>
      <c r="Q42" s="88"/>
      <c r="R42" s="88"/>
    </row>
    <row r="43" spans="2:18" x14ac:dyDescent="0.3">
      <c r="B43" s="88"/>
      <c r="C43" s="88"/>
      <c r="D43" s="88"/>
      <c r="E43" s="88"/>
      <c r="F43" s="88"/>
      <c r="G43" s="88"/>
      <c r="H43" s="88"/>
      <c r="L43" s="88"/>
      <c r="M43" s="88"/>
      <c r="N43" s="88"/>
      <c r="O43" s="88"/>
      <c r="P43" s="88"/>
      <c r="Q43" s="88"/>
      <c r="R43" s="88"/>
    </row>
    <row r="44" spans="2:18" x14ac:dyDescent="0.3">
      <c r="B44" s="88"/>
      <c r="C44" s="88"/>
      <c r="D44" s="88"/>
      <c r="E44" s="88"/>
      <c r="F44" s="88"/>
      <c r="G44" s="88"/>
      <c r="H44" s="88"/>
      <c r="L44" s="88"/>
      <c r="M44" s="88"/>
      <c r="N44" s="88"/>
      <c r="O44" s="88"/>
      <c r="P44" s="88"/>
      <c r="Q44" s="88"/>
      <c r="R44" s="88"/>
    </row>
    <row r="45" spans="2:18" x14ac:dyDescent="0.3">
      <c r="B45" s="88"/>
      <c r="C45" s="88"/>
      <c r="D45" s="88"/>
      <c r="E45" s="88"/>
      <c r="F45" s="88"/>
      <c r="G45" s="88"/>
      <c r="H45" s="88"/>
      <c r="L45" s="88"/>
      <c r="M45" s="88"/>
      <c r="N45" s="88"/>
      <c r="O45" s="88"/>
      <c r="P45" s="88"/>
      <c r="Q45" s="88"/>
      <c r="R45" s="88"/>
    </row>
    <row r="46" spans="2:18" x14ac:dyDescent="0.3">
      <c r="B46" s="88"/>
      <c r="C46" s="88"/>
      <c r="D46" s="88"/>
      <c r="E46" s="88"/>
      <c r="F46" s="88"/>
      <c r="G46" s="88"/>
      <c r="H46" s="88"/>
      <c r="L46" s="88"/>
      <c r="M46" s="88"/>
      <c r="N46" s="88"/>
      <c r="O46" s="88"/>
      <c r="P46" s="88"/>
      <c r="Q46" s="88"/>
      <c r="R46" s="88"/>
    </row>
    <row r="47" spans="2:18" x14ac:dyDescent="0.3">
      <c r="B47" s="88"/>
      <c r="C47" s="88"/>
      <c r="D47" s="88"/>
      <c r="E47" s="88"/>
      <c r="F47" s="88"/>
      <c r="G47" s="88"/>
      <c r="H47" s="88"/>
      <c r="L47" s="88"/>
      <c r="M47" s="88"/>
      <c r="N47" s="88"/>
      <c r="O47" s="88"/>
      <c r="P47" s="88"/>
      <c r="Q47" s="88"/>
      <c r="R47" s="88"/>
    </row>
    <row r="48" spans="2:18" x14ac:dyDescent="0.3">
      <c r="B48" s="88"/>
      <c r="C48" s="88"/>
      <c r="D48" s="88"/>
      <c r="E48" s="88"/>
      <c r="F48" s="88"/>
      <c r="G48" s="88"/>
      <c r="H48" s="88"/>
      <c r="L48" s="88"/>
      <c r="M48" s="88"/>
      <c r="N48" s="88"/>
      <c r="O48" s="88"/>
      <c r="P48" s="88"/>
      <c r="Q48" s="88"/>
      <c r="R48" s="88"/>
    </row>
    <row r="49" spans="2:18" x14ac:dyDescent="0.3">
      <c r="B49" s="88"/>
      <c r="C49" s="88"/>
      <c r="D49" s="88"/>
      <c r="E49" s="88"/>
      <c r="F49" s="88"/>
      <c r="G49" s="88"/>
      <c r="H49" s="88"/>
      <c r="L49" s="88"/>
      <c r="M49" s="88"/>
      <c r="N49" s="88"/>
      <c r="O49" s="88"/>
      <c r="P49" s="88"/>
      <c r="Q49" s="88"/>
      <c r="R49" s="88"/>
    </row>
    <row r="50" spans="2:18" x14ac:dyDescent="0.3">
      <c r="B50" s="88"/>
      <c r="C50" s="88"/>
      <c r="D50" s="88"/>
      <c r="E50" s="88"/>
      <c r="F50" s="88"/>
      <c r="G50" s="88"/>
      <c r="H50" s="88"/>
      <c r="L50" s="88"/>
      <c r="M50" s="88"/>
      <c r="N50" s="88"/>
      <c r="O50" s="88"/>
      <c r="P50" s="88"/>
      <c r="Q50" s="88"/>
      <c r="R50" s="88"/>
    </row>
    <row r="51" spans="2:18" x14ac:dyDescent="0.3">
      <c r="B51" s="88"/>
      <c r="C51" s="88"/>
      <c r="D51" s="88"/>
      <c r="E51" s="88"/>
      <c r="F51" s="88"/>
      <c r="G51" s="88"/>
      <c r="H51" s="88"/>
      <c r="L51" s="88"/>
      <c r="M51" s="88"/>
      <c r="N51" s="88"/>
      <c r="O51" s="88"/>
      <c r="P51" s="88"/>
      <c r="Q51" s="88"/>
      <c r="R51" s="88"/>
    </row>
    <row r="52" spans="2:18" x14ac:dyDescent="0.3">
      <c r="B52" s="88"/>
      <c r="C52" s="88"/>
      <c r="D52" s="88"/>
      <c r="E52" s="88"/>
      <c r="F52" s="88"/>
      <c r="G52" s="88"/>
      <c r="H52" s="88"/>
      <c r="L52" s="88"/>
      <c r="M52" s="88"/>
      <c r="N52" s="88"/>
      <c r="O52" s="88"/>
      <c r="P52" s="88"/>
      <c r="Q52" s="88"/>
      <c r="R52" s="88"/>
    </row>
    <row r="53" spans="2:18" x14ac:dyDescent="0.3">
      <c r="B53" s="88"/>
      <c r="C53" s="88"/>
      <c r="D53" s="88"/>
      <c r="E53" s="88"/>
      <c r="F53" s="88"/>
      <c r="G53" s="88"/>
      <c r="H53" s="88"/>
      <c r="L53" s="88"/>
      <c r="M53" s="88"/>
      <c r="N53" s="88"/>
      <c r="O53" s="88"/>
      <c r="P53" s="88"/>
      <c r="Q53" s="88"/>
      <c r="R53" s="88"/>
    </row>
    <row r="54" spans="2:18" x14ac:dyDescent="0.3">
      <c r="B54" s="88"/>
      <c r="C54" s="88"/>
      <c r="D54" s="88"/>
      <c r="E54" s="88"/>
      <c r="F54" s="88"/>
      <c r="G54" s="88"/>
      <c r="H54" s="88"/>
      <c r="L54" s="88"/>
      <c r="M54" s="88"/>
      <c r="N54" s="88"/>
      <c r="O54" s="88"/>
      <c r="P54" s="88"/>
      <c r="Q54" s="88"/>
      <c r="R54" s="88"/>
    </row>
    <row r="55" spans="2:18" x14ac:dyDescent="0.3">
      <c r="B55" s="88"/>
      <c r="C55" s="88"/>
      <c r="D55" s="88"/>
      <c r="E55" s="88"/>
      <c r="F55" s="88"/>
      <c r="G55" s="88"/>
      <c r="H55" s="88"/>
      <c r="L55" s="88"/>
      <c r="M55" s="88"/>
      <c r="N55" s="88"/>
      <c r="O55" s="88"/>
      <c r="P55" s="88"/>
      <c r="Q55" s="88"/>
      <c r="R55" s="88"/>
    </row>
    <row r="56" spans="2:18" x14ac:dyDescent="0.3">
      <c r="B56" s="88"/>
      <c r="C56" s="88"/>
      <c r="D56" s="88"/>
      <c r="E56" s="88"/>
      <c r="F56" s="88"/>
      <c r="G56" s="88"/>
      <c r="H56" s="88"/>
      <c r="L56" s="88"/>
      <c r="M56" s="88"/>
      <c r="N56" s="88"/>
      <c r="O56" s="88"/>
      <c r="P56" s="88"/>
      <c r="Q56" s="88"/>
      <c r="R56" s="88"/>
    </row>
    <row r="57" spans="2:18" x14ac:dyDescent="0.3">
      <c r="B57" s="88"/>
      <c r="C57" s="88"/>
      <c r="D57" s="88"/>
      <c r="E57" s="88"/>
      <c r="F57" s="88"/>
      <c r="G57" s="88"/>
      <c r="H57" s="88"/>
      <c r="L57" s="88"/>
      <c r="M57" s="88"/>
      <c r="N57" s="88"/>
      <c r="O57" s="88"/>
      <c r="P57" s="88"/>
      <c r="Q57" s="88"/>
      <c r="R57" s="88"/>
    </row>
    <row r="58" spans="2:18" x14ac:dyDescent="0.3">
      <c r="B58" s="88"/>
      <c r="C58" s="88"/>
      <c r="D58" s="88"/>
      <c r="E58" s="88"/>
      <c r="F58" s="88"/>
      <c r="G58" s="88"/>
      <c r="H58" s="88"/>
      <c r="L58" s="88"/>
      <c r="M58" s="88"/>
      <c r="N58" s="88"/>
      <c r="O58" s="88"/>
      <c r="P58" s="88"/>
      <c r="Q58" s="88"/>
      <c r="R58" s="88"/>
    </row>
    <row r="59" spans="2:18" x14ac:dyDescent="0.3">
      <c r="B59" s="88"/>
      <c r="C59" s="88"/>
      <c r="D59" s="88"/>
      <c r="E59" s="88"/>
      <c r="F59" s="88"/>
      <c r="G59" s="88"/>
      <c r="H59" s="88"/>
      <c r="L59" s="88"/>
      <c r="M59" s="88"/>
      <c r="N59" s="88"/>
      <c r="O59" s="88"/>
      <c r="P59" s="88"/>
      <c r="Q59" s="88"/>
      <c r="R59" s="88"/>
    </row>
    <row r="60" spans="2:18" x14ac:dyDescent="0.3">
      <c r="B60" s="88"/>
      <c r="C60" s="88"/>
      <c r="D60" s="88"/>
      <c r="E60" s="88"/>
      <c r="F60" s="88"/>
      <c r="G60" s="88"/>
      <c r="H60" s="88"/>
      <c r="L60" s="88"/>
      <c r="M60" s="88"/>
      <c r="N60" s="88"/>
      <c r="O60" s="88"/>
      <c r="P60" s="88"/>
      <c r="Q60" s="88"/>
      <c r="R60" s="88"/>
    </row>
    <row r="61" spans="2:18" x14ac:dyDescent="0.3">
      <c r="B61" s="88"/>
      <c r="C61" s="88"/>
      <c r="D61" s="88"/>
      <c r="E61" s="88"/>
      <c r="F61" s="88"/>
      <c r="G61" s="88"/>
      <c r="H61" s="88"/>
      <c r="L61" s="88"/>
      <c r="M61" s="88"/>
      <c r="N61" s="88"/>
      <c r="O61" s="88"/>
      <c r="P61" s="88"/>
      <c r="Q61" s="88"/>
      <c r="R61" s="88"/>
    </row>
    <row r="62" spans="2:18" x14ac:dyDescent="0.3">
      <c r="B62" s="88"/>
      <c r="C62" s="88"/>
      <c r="D62" s="88"/>
      <c r="E62" s="88"/>
      <c r="F62" s="88"/>
      <c r="G62" s="88"/>
      <c r="H62" s="88"/>
      <c r="L62" s="88"/>
      <c r="M62" s="88"/>
      <c r="N62" s="88"/>
      <c r="O62" s="88"/>
      <c r="P62" s="88"/>
      <c r="Q62" s="88"/>
      <c r="R62" s="88"/>
    </row>
    <row r="63" spans="2:18" x14ac:dyDescent="0.3">
      <c r="B63" s="88"/>
      <c r="C63" s="88"/>
      <c r="D63" s="88"/>
      <c r="E63" s="88"/>
      <c r="F63" s="88"/>
      <c r="G63" s="88"/>
      <c r="H63" s="88"/>
      <c r="L63" s="88"/>
      <c r="M63" s="88"/>
      <c r="N63" s="88"/>
      <c r="O63" s="88"/>
      <c r="P63" s="88"/>
      <c r="Q63" s="88"/>
      <c r="R63" s="88"/>
    </row>
    <row r="64" spans="2:18" x14ac:dyDescent="0.3">
      <c r="B64" s="88"/>
      <c r="C64" s="88"/>
      <c r="D64" s="88"/>
      <c r="E64" s="88"/>
      <c r="F64" s="88"/>
      <c r="G64" s="88"/>
      <c r="H64" s="88"/>
      <c r="L64" s="88"/>
      <c r="M64" s="88"/>
      <c r="N64" s="88"/>
      <c r="O64" s="88"/>
      <c r="P64" s="88"/>
      <c r="Q64" s="88"/>
      <c r="R64" s="88"/>
    </row>
    <row r="65" spans="2:18" x14ac:dyDescent="0.3">
      <c r="B65" s="88"/>
      <c r="C65" s="88"/>
      <c r="D65" s="88"/>
      <c r="E65" s="88"/>
      <c r="F65" s="88"/>
      <c r="G65" s="88"/>
      <c r="H65" s="88"/>
      <c r="L65" s="88"/>
      <c r="M65" s="88"/>
      <c r="N65" s="88"/>
      <c r="O65" s="88"/>
      <c r="P65" s="88"/>
      <c r="Q65" s="88"/>
      <c r="R65" s="88"/>
    </row>
    <row r="66" spans="2:18" x14ac:dyDescent="0.3">
      <c r="B66" s="88"/>
      <c r="C66" s="88"/>
      <c r="D66" s="88"/>
      <c r="E66" s="88"/>
      <c r="F66" s="88"/>
      <c r="G66" s="88"/>
      <c r="H66" s="88"/>
      <c r="L66" s="88"/>
      <c r="M66" s="88"/>
      <c r="N66" s="88"/>
      <c r="O66" s="88"/>
      <c r="P66" s="88"/>
      <c r="Q66" s="88"/>
      <c r="R66" s="88"/>
    </row>
    <row r="67" spans="2:18" x14ac:dyDescent="0.3">
      <c r="B67" s="88"/>
      <c r="C67" s="88"/>
      <c r="D67" s="88"/>
      <c r="E67" s="88"/>
      <c r="F67" s="88"/>
      <c r="G67" s="88"/>
      <c r="H67" s="88"/>
      <c r="L67" s="88"/>
      <c r="M67" s="88"/>
      <c r="N67" s="88"/>
      <c r="O67" s="88"/>
      <c r="P67" s="88"/>
      <c r="Q67" s="88"/>
      <c r="R67" s="88"/>
    </row>
    <row r="68" spans="2:18" x14ac:dyDescent="0.3">
      <c r="B68" s="88"/>
      <c r="C68" s="88"/>
      <c r="D68" s="88"/>
      <c r="E68" s="88"/>
      <c r="F68" s="88"/>
      <c r="G68" s="88"/>
      <c r="H68" s="88"/>
      <c r="L68" s="88"/>
      <c r="M68" s="88"/>
      <c r="N68" s="88"/>
      <c r="O68" s="88"/>
      <c r="P68" s="88"/>
      <c r="Q68" s="88"/>
      <c r="R68" s="88"/>
    </row>
    <row r="69" spans="2:18" x14ac:dyDescent="0.3">
      <c r="B69" s="88"/>
      <c r="C69" s="88"/>
      <c r="D69" s="88"/>
      <c r="E69" s="88"/>
      <c r="F69" s="88"/>
      <c r="G69" s="88"/>
      <c r="H69" s="88"/>
      <c r="L69" s="88"/>
      <c r="M69" s="88"/>
      <c r="N69" s="88"/>
      <c r="O69" s="88"/>
      <c r="P69" s="88"/>
      <c r="Q69" s="88"/>
      <c r="R69" s="88"/>
    </row>
    <row r="70" spans="2:18" x14ac:dyDescent="0.3">
      <c r="B70" s="88"/>
      <c r="C70" s="88"/>
      <c r="D70" s="88"/>
      <c r="E70" s="88"/>
      <c r="F70" s="88"/>
      <c r="G70" s="88"/>
      <c r="H70" s="88"/>
      <c r="L70" s="88"/>
      <c r="M70" s="88"/>
      <c r="N70" s="88"/>
      <c r="O70" s="88"/>
      <c r="P70" s="88"/>
      <c r="Q70" s="88"/>
      <c r="R70" s="88"/>
    </row>
    <row r="71" spans="2:18" x14ac:dyDescent="0.3">
      <c r="B71" s="88"/>
      <c r="C71" s="88"/>
      <c r="D71" s="88"/>
      <c r="E71" s="88"/>
      <c r="F71" s="88"/>
      <c r="G71" s="88"/>
      <c r="H71" s="88"/>
      <c r="L71" s="88"/>
      <c r="M71" s="88"/>
      <c r="N71" s="88"/>
      <c r="O71" s="88"/>
      <c r="P71" s="88"/>
      <c r="Q71" s="88"/>
      <c r="R71" s="88"/>
    </row>
    <row r="72" spans="2:18" x14ac:dyDescent="0.3">
      <c r="B72" s="88"/>
      <c r="C72" s="88"/>
      <c r="D72" s="88"/>
      <c r="E72" s="88"/>
      <c r="F72" s="88"/>
      <c r="G72" s="88"/>
      <c r="H72" s="88"/>
      <c r="L72" s="88"/>
      <c r="M72" s="88"/>
      <c r="N72" s="88"/>
      <c r="O72" s="88"/>
      <c r="P72" s="88"/>
      <c r="Q72" s="88"/>
      <c r="R72" s="88"/>
    </row>
    <row r="73" spans="2:18" x14ac:dyDescent="0.3">
      <c r="B73" s="88"/>
      <c r="C73" s="88"/>
      <c r="D73" s="88"/>
      <c r="E73" s="88"/>
      <c r="F73" s="88"/>
      <c r="G73" s="88"/>
      <c r="H73" s="88"/>
      <c r="L73" s="88"/>
      <c r="M73" s="88"/>
      <c r="N73" s="88"/>
      <c r="O73" s="88"/>
      <c r="P73" s="88"/>
      <c r="Q73" s="88"/>
      <c r="R73" s="88"/>
    </row>
    <row r="74" spans="2:18" x14ac:dyDescent="0.3">
      <c r="B74" s="88"/>
      <c r="C74" s="88"/>
      <c r="D74" s="88"/>
      <c r="E74" s="88"/>
      <c r="F74" s="88"/>
      <c r="G74" s="88"/>
      <c r="H74" s="88"/>
      <c r="L74" s="88"/>
      <c r="M74" s="88"/>
      <c r="N74" s="88"/>
      <c r="O74" s="88"/>
      <c r="P74" s="88"/>
      <c r="Q74" s="88"/>
      <c r="R74" s="88"/>
    </row>
    <row r="75" spans="2:18" x14ac:dyDescent="0.3">
      <c r="B75" s="88"/>
      <c r="C75" s="88"/>
      <c r="D75" s="88"/>
      <c r="E75" s="88"/>
      <c r="F75" s="88"/>
      <c r="G75" s="88"/>
      <c r="H75" s="88"/>
      <c r="L75" s="88"/>
      <c r="M75" s="88"/>
      <c r="N75" s="88"/>
      <c r="O75" s="88"/>
      <c r="P75" s="88"/>
      <c r="Q75" s="88"/>
      <c r="R75" s="88"/>
    </row>
    <row r="76" spans="2:18" x14ac:dyDescent="0.3">
      <c r="B76" s="88"/>
      <c r="C76" s="88"/>
      <c r="D76" s="88"/>
      <c r="E76" s="88"/>
      <c r="F76" s="88"/>
      <c r="G76" s="88"/>
      <c r="H76" s="88"/>
      <c r="L76" s="88"/>
      <c r="M76" s="88"/>
      <c r="N76" s="88"/>
      <c r="O76" s="88"/>
      <c r="P76" s="88"/>
      <c r="Q76" s="88"/>
      <c r="R76" s="88"/>
    </row>
    <row r="77" spans="2:18" x14ac:dyDescent="0.3">
      <c r="B77" s="88"/>
      <c r="C77" s="88"/>
      <c r="D77" s="88"/>
      <c r="E77" s="88"/>
      <c r="F77" s="88"/>
      <c r="G77" s="88"/>
      <c r="H77" s="88"/>
      <c r="L77" s="88"/>
      <c r="M77" s="88"/>
      <c r="N77" s="88"/>
      <c r="O77" s="88"/>
      <c r="P77" s="88"/>
      <c r="Q77" s="88"/>
      <c r="R77" s="88"/>
    </row>
    <row r="78" spans="2:18" x14ac:dyDescent="0.3">
      <c r="L78" s="88"/>
      <c r="M78" s="88"/>
      <c r="N78" s="88"/>
      <c r="O78" s="88"/>
      <c r="P78" s="88"/>
      <c r="Q78" s="88"/>
      <c r="R78" s="88"/>
    </row>
    <row r="79" spans="2:18" x14ac:dyDescent="0.3">
      <c r="L79" s="88"/>
      <c r="M79" s="88"/>
      <c r="N79" s="88"/>
      <c r="O79" s="88"/>
      <c r="P79" s="88"/>
      <c r="Q79" s="88"/>
      <c r="R79" s="88"/>
    </row>
    <row r="80" spans="2:18" x14ac:dyDescent="0.3">
      <c r="L80" s="88"/>
      <c r="M80" s="88"/>
      <c r="N80" s="88"/>
      <c r="O80" s="88"/>
      <c r="P80" s="88"/>
      <c r="Q80" s="88"/>
      <c r="R80" s="88"/>
    </row>
  </sheetData>
  <mergeCells count="5">
    <mergeCell ref="B2:H2"/>
    <mergeCell ref="L2:R2"/>
    <mergeCell ref="L3:R41"/>
    <mergeCell ref="B3:H77"/>
    <mergeCell ref="L42:R8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/>
  <dimension ref="A1:I51"/>
  <sheetViews>
    <sheetView tabSelected="1" zoomScale="70" zoomScaleNormal="70" workbookViewId="0">
      <selection activeCell="AC16" sqref="AC16"/>
    </sheetView>
  </sheetViews>
  <sheetFormatPr defaultRowHeight="14.4" x14ac:dyDescent="0.3"/>
  <cols>
    <col min="1" max="1" width="14.21875" bestFit="1" customWidth="1"/>
    <col min="2" max="2" width="13.109375" bestFit="1" customWidth="1"/>
    <col min="6" max="7" width="13.33203125" customWidth="1"/>
    <col min="8" max="8" width="15.6640625" customWidth="1"/>
    <col min="9" max="9" width="17.109375" customWidth="1"/>
  </cols>
  <sheetData>
    <row r="1" spans="1:9" ht="14.4" customHeight="1" x14ac:dyDescent="0.3">
      <c r="A1" s="91" t="s">
        <v>22</v>
      </c>
      <c r="B1" s="92"/>
      <c r="D1" s="89" t="s">
        <v>20</v>
      </c>
      <c r="E1" s="89" t="s">
        <v>21</v>
      </c>
      <c r="F1" s="89" t="s">
        <v>7</v>
      </c>
      <c r="G1" s="89" t="s">
        <v>63</v>
      </c>
      <c r="H1" s="89" t="s">
        <v>23</v>
      </c>
      <c r="I1" s="89" t="s">
        <v>24</v>
      </c>
    </row>
    <row r="2" spans="1:9" ht="14.4" customHeight="1" thickBot="1" x14ac:dyDescent="0.35">
      <c r="A2" s="93"/>
      <c r="B2" s="94"/>
      <c r="D2" s="90"/>
      <c r="E2" s="90"/>
      <c r="F2" s="90"/>
      <c r="G2" s="90"/>
      <c r="H2" s="90"/>
      <c r="I2" s="90"/>
    </row>
    <row r="3" spans="1:9" x14ac:dyDescent="0.3">
      <c r="A3" s="1" t="s">
        <v>1</v>
      </c>
      <c r="B3" s="1" t="s">
        <v>17</v>
      </c>
      <c r="D3" s="6">
        <f>1</f>
        <v>1</v>
      </c>
      <c r="E3" s="6">
        <v>5</v>
      </c>
      <c r="F3" s="6">
        <v>0</v>
      </c>
      <c r="G3" s="6">
        <f>GBSPrice</f>
        <v>13.346464945879582</v>
      </c>
      <c r="H3" s="7">
        <f t="shared" ref="H3:H34" si="0">IF(GBSPrice&lt;&gt;"" &amp; E3&lt;&gt;"",ABS(E3-GBSPrice),"")</f>
        <v>8.3464649458795819</v>
      </c>
      <c r="I3" s="7">
        <f>IF($H3&lt;&gt;"", $H3*$D3, "")</f>
        <v>8.3464649458795819</v>
      </c>
    </row>
    <row r="4" spans="1:9" x14ac:dyDescent="0.3">
      <c r="A4" s="1" t="s">
        <v>2</v>
      </c>
      <c r="B4" s="1" t="s">
        <v>18</v>
      </c>
      <c r="D4" s="4">
        <v>5</v>
      </c>
      <c r="E4" s="6">
        <v>12.233802874789152</v>
      </c>
      <c r="F4" s="4">
        <v>0</v>
      </c>
      <c r="G4" s="6">
        <f>GBSPrice</f>
        <v>13.346464945879582</v>
      </c>
      <c r="H4" s="7">
        <f t="shared" si="0"/>
        <v>1.1126620710904298</v>
      </c>
      <c r="I4" s="5">
        <f t="shared" ref="I4:I51" si="1">IF($H4&lt;&gt;"", $H4*$D4, "")</f>
        <v>5.563310355452149</v>
      </c>
    </row>
    <row r="5" spans="1:9" x14ac:dyDescent="0.3">
      <c r="A5" s="1" t="s">
        <v>15</v>
      </c>
      <c r="B5" s="1">
        <v>100</v>
      </c>
      <c r="D5" s="4">
        <v>10</v>
      </c>
      <c r="E5" s="6">
        <v>12.649620027924502</v>
      </c>
      <c r="F5" s="4">
        <v>0</v>
      </c>
      <c r="G5" s="6">
        <f>GBSPrice</f>
        <v>13.346464945879582</v>
      </c>
      <c r="H5" s="7">
        <f t="shared" si="0"/>
        <v>0.69684491795507952</v>
      </c>
      <c r="I5" s="5">
        <f t="shared" si="1"/>
        <v>6.9684491795507952</v>
      </c>
    </row>
    <row r="6" spans="1:9" x14ac:dyDescent="0.3">
      <c r="A6" s="1" t="s">
        <v>16</v>
      </c>
      <c r="B6" s="1">
        <v>95</v>
      </c>
      <c r="D6" s="4">
        <v>20</v>
      </c>
      <c r="E6" s="6">
        <v>13.042881644990647</v>
      </c>
      <c r="F6" s="4">
        <v>7.8125E-3</v>
      </c>
      <c r="G6" s="6">
        <f>GBSPrice</f>
        <v>13.346464945879582</v>
      </c>
      <c r="H6" s="7">
        <f t="shared" si="0"/>
        <v>0.30358330088893482</v>
      </c>
      <c r="I6" s="5">
        <f t="shared" si="1"/>
        <v>6.0716660177786963</v>
      </c>
    </row>
    <row r="7" spans="1:9" x14ac:dyDescent="0.3">
      <c r="A7" s="1" t="s">
        <v>3</v>
      </c>
      <c r="B7" s="3">
        <v>0.2</v>
      </c>
      <c r="D7" s="4">
        <v>30</v>
      </c>
      <c r="E7" s="6">
        <v>13.162633736050946</v>
      </c>
      <c r="F7" s="4">
        <v>1.5625E-2</v>
      </c>
      <c r="G7" s="6">
        <f>GBSPrice</f>
        <v>13.346464945879582</v>
      </c>
      <c r="H7" s="7">
        <f t="shared" si="0"/>
        <v>0.18383120982863588</v>
      </c>
      <c r="I7" s="5">
        <f t="shared" si="1"/>
        <v>5.5149362948590763</v>
      </c>
    </row>
    <row r="8" spans="1:9" x14ac:dyDescent="0.3">
      <c r="A8" s="1" t="s">
        <v>5</v>
      </c>
      <c r="B8" s="1">
        <v>1</v>
      </c>
      <c r="D8" s="4">
        <v>50</v>
      </c>
      <c r="E8" s="6">
        <v>13.195291663783172</v>
      </c>
      <c r="F8" s="4">
        <v>1.5625E-2</v>
      </c>
      <c r="G8" s="6">
        <f>GBSPrice</f>
        <v>13.346464945879582</v>
      </c>
      <c r="H8" s="7">
        <f t="shared" si="0"/>
        <v>0.15117328209641023</v>
      </c>
      <c r="I8" s="5">
        <f t="shared" si="1"/>
        <v>7.5586641048205117</v>
      </c>
    </row>
    <row r="9" spans="1:9" x14ac:dyDescent="0.3">
      <c r="A9" s="1" t="s">
        <v>4</v>
      </c>
      <c r="B9" s="3">
        <v>0.05</v>
      </c>
      <c r="D9" s="4">
        <v>75</v>
      </c>
      <c r="E9" s="6">
        <v>13.273560995150662</v>
      </c>
      <c r="F9" s="4">
        <v>2.34375E-2</v>
      </c>
      <c r="G9" s="6">
        <f>GBSPrice</f>
        <v>13.346464945879582</v>
      </c>
      <c r="H9" s="7">
        <f t="shared" si="0"/>
        <v>7.2903950728919753E-2</v>
      </c>
      <c r="I9" s="5">
        <f t="shared" si="1"/>
        <v>5.4677963046689815</v>
      </c>
    </row>
    <row r="10" spans="1:9" x14ac:dyDescent="0.3">
      <c r="A10" s="1" t="s">
        <v>14</v>
      </c>
      <c r="B10" s="1">
        <v>0</v>
      </c>
      <c r="D10" s="4">
        <v>100</v>
      </c>
      <c r="E10" s="6">
        <v>13.275168625709995</v>
      </c>
      <c r="F10" s="4">
        <v>3.90625E-2</v>
      </c>
      <c r="G10" s="6">
        <f>GBSPrice</f>
        <v>13.346464945879582</v>
      </c>
      <c r="H10" s="7">
        <f t="shared" si="0"/>
        <v>7.1296320169587091E-2</v>
      </c>
      <c r="I10" s="5">
        <f t="shared" si="1"/>
        <v>7.1296320169587091</v>
      </c>
    </row>
    <row r="11" spans="1:9" x14ac:dyDescent="0.3">
      <c r="A11" s="1" t="s">
        <v>13</v>
      </c>
      <c r="B11" s="2">
        <v>45292</v>
      </c>
      <c r="D11" s="4">
        <v>125</v>
      </c>
      <c r="E11" s="6">
        <v>13.297785474379225</v>
      </c>
      <c r="F11" s="4">
        <v>5.46875E-2</v>
      </c>
      <c r="G11" s="6">
        <f>GBSPrice</f>
        <v>13.346464945879582</v>
      </c>
      <c r="H11" s="7">
        <f t="shared" si="0"/>
        <v>4.8679471500356897E-2</v>
      </c>
      <c r="I11" s="5">
        <f t="shared" si="1"/>
        <v>6.0849339375446121</v>
      </c>
    </row>
    <row r="12" spans="1:9" x14ac:dyDescent="0.3">
      <c r="A12" s="1" t="s">
        <v>12</v>
      </c>
      <c r="B12" s="2"/>
      <c r="D12" s="4">
        <f>D11+25</f>
        <v>150</v>
      </c>
      <c r="E12" s="6">
        <v>13.309765247556847</v>
      </c>
      <c r="F12" s="4">
        <v>7.8125E-2</v>
      </c>
      <c r="G12" s="6">
        <f>GBSPrice</f>
        <v>13.346464945879582</v>
      </c>
      <c r="H12" s="7">
        <f t="shared" si="0"/>
        <v>3.669969832273523E-2</v>
      </c>
      <c r="I12" s="5">
        <f t="shared" si="1"/>
        <v>5.5049547484102845</v>
      </c>
    </row>
    <row r="13" spans="1:9" x14ac:dyDescent="0.3">
      <c r="D13" s="4">
        <f t="shared" ref="D13:D26" si="2">D12+25</f>
        <v>175</v>
      </c>
      <c r="E13" s="6">
        <v>13.30805630686049</v>
      </c>
      <c r="F13" s="4">
        <v>9.375E-2</v>
      </c>
      <c r="G13" s="6">
        <f>GBSPrice</f>
        <v>13.346464945879582</v>
      </c>
      <c r="H13" s="7">
        <f t="shared" si="0"/>
        <v>3.8408639019092305E-2</v>
      </c>
      <c r="I13" s="5">
        <f t="shared" si="1"/>
        <v>6.7215118283411535</v>
      </c>
    </row>
    <row r="14" spans="1:9" ht="14.4" customHeight="1" x14ac:dyDescent="0.3">
      <c r="A14" s="95" t="s">
        <v>8</v>
      </c>
      <c r="B14" s="96"/>
      <c r="D14" s="4">
        <f t="shared" si="2"/>
        <v>200</v>
      </c>
      <c r="E14" s="6">
        <v>13.312035407263924</v>
      </c>
      <c r="F14" s="4">
        <v>0.1171875</v>
      </c>
      <c r="G14" s="6">
        <f>GBSPrice</f>
        <v>13.346464945879582</v>
      </c>
      <c r="H14" s="7">
        <f t="shared" si="0"/>
        <v>3.4429538615658117E-2</v>
      </c>
      <c r="I14" s="5">
        <f t="shared" si="1"/>
        <v>6.8859077231316235</v>
      </c>
    </row>
    <row r="15" spans="1:9" ht="14.4" customHeight="1" x14ac:dyDescent="0.3">
      <c r="A15" s="95"/>
      <c r="B15" s="96"/>
      <c r="D15" s="4">
        <f t="shared" si="2"/>
        <v>225</v>
      </c>
      <c r="E15" s="6">
        <v>13.321453893289123</v>
      </c>
      <c r="F15" s="4">
        <v>0.1328125</v>
      </c>
      <c r="G15" s="6">
        <f>GBSPrice</f>
        <v>13.346464945879582</v>
      </c>
      <c r="H15" s="7">
        <f t="shared" si="0"/>
        <v>2.5011052590459215E-2</v>
      </c>
      <c r="I15" s="5">
        <f t="shared" si="1"/>
        <v>5.6274868328533234</v>
      </c>
    </row>
    <row r="16" spans="1:9" ht="15" customHeight="1" x14ac:dyDescent="0.3">
      <c r="A16" s="9" t="s">
        <v>9</v>
      </c>
      <c r="B16" s="10"/>
      <c r="D16" s="4">
        <f>D15+25</f>
        <v>250</v>
      </c>
      <c r="E16" s="6">
        <v>13.324129272967527</v>
      </c>
      <c r="F16" s="4">
        <v>0.1640625</v>
      </c>
      <c r="G16" s="6">
        <f>GBSPrice</f>
        <v>13.346464945879582</v>
      </c>
      <c r="H16" s="7">
        <f t="shared" si="0"/>
        <v>2.233567291205496E-2</v>
      </c>
      <c r="I16" s="5">
        <f>IF($H16&lt;&gt;"", $H16*$D16, "")</f>
        <v>5.58391822801374</v>
      </c>
    </row>
    <row r="17" spans="1:9" x14ac:dyDescent="0.3">
      <c r="A17">
        <v>13.346464945879582</v>
      </c>
      <c r="D17" s="4">
        <f>D16+25</f>
        <v>275</v>
      </c>
      <c r="E17" s="6">
        <v>13.322451060626781</v>
      </c>
      <c r="F17" s="4">
        <v>0.1875</v>
      </c>
      <c r="G17" s="6">
        <f>GBSPrice</f>
        <v>13.346464945879582</v>
      </c>
      <c r="H17" s="7">
        <f t="shared" si="0"/>
        <v>2.4013885252800904E-2</v>
      </c>
      <c r="I17" s="5">
        <f t="shared" si="1"/>
        <v>6.6038184445202486</v>
      </c>
    </row>
    <row r="18" spans="1:9" x14ac:dyDescent="0.3">
      <c r="D18" s="4">
        <f t="shared" si="2"/>
        <v>300</v>
      </c>
      <c r="E18" s="6">
        <v>13.321678719298442</v>
      </c>
      <c r="F18" s="4">
        <v>0.2109375</v>
      </c>
      <c r="G18" s="6">
        <f>GBSPrice</f>
        <v>13.346464945879582</v>
      </c>
      <c r="H18" s="7">
        <f t="shared" si="0"/>
        <v>2.4786226581140269E-2</v>
      </c>
      <c r="I18" s="5">
        <f t="shared" si="1"/>
        <v>7.4358679743420808</v>
      </c>
    </row>
    <row r="19" spans="1:9" x14ac:dyDescent="0.3">
      <c r="D19" s="4">
        <f t="shared" si="2"/>
        <v>325</v>
      </c>
      <c r="E19" s="6">
        <v>13.327891226129612</v>
      </c>
      <c r="F19" s="4">
        <v>0.234375</v>
      </c>
      <c r="G19" s="6">
        <f>GBSPrice</f>
        <v>13.346464945879582</v>
      </c>
      <c r="H19" s="7">
        <f t="shared" si="0"/>
        <v>1.8573719749969797E-2</v>
      </c>
      <c r="I19" s="5">
        <f t="shared" si="1"/>
        <v>6.036458918740184</v>
      </c>
    </row>
    <row r="20" spans="1:9" x14ac:dyDescent="0.3">
      <c r="D20" s="4">
        <f t="shared" si="2"/>
        <v>350</v>
      </c>
      <c r="E20" s="6">
        <v>13.330808547412669</v>
      </c>
      <c r="F20" s="4">
        <v>0.265625</v>
      </c>
      <c r="G20" s="6">
        <f>GBSPrice</f>
        <v>13.346464945879582</v>
      </c>
      <c r="H20" s="7">
        <f t="shared" si="0"/>
        <v>1.5656398466912691E-2</v>
      </c>
      <c r="I20" s="5">
        <f t="shared" si="1"/>
        <v>5.4797394634194418</v>
      </c>
    </row>
    <row r="21" spans="1:9" x14ac:dyDescent="0.3">
      <c r="D21" s="4">
        <f t="shared" si="2"/>
        <v>375</v>
      </c>
      <c r="E21" s="6">
        <v>13.331285975268786</v>
      </c>
      <c r="F21" s="4">
        <v>0.296875</v>
      </c>
      <c r="G21" s="6">
        <f>GBSPrice</f>
        <v>13.346464945879582</v>
      </c>
      <c r="H21" s="7">
        <f t="shared" si="0"/>
        <v>1.5178970610795872E-2</v>
      </c>
      <c r="I21" s="5">
        <f t="shared" si="1"/>
        <v>5.6921139790484521</v>
      </c>
    </row>
    <row r="22" spans="1:9" x14ac:dyDescent="0.3">
      <c r="D22" s="4">
        <f t="shared" si="2"/>
        <v>400</v>
      </c>
      <c r="E22" s="6">
        <v>13.329941832740159</v>
      </c>
      <c r="F22" s="4">
        <v>0.3203125</v>
      </c>
      <c r="G22" s="6">
        <f>GBSPrice</f>
        <v>13.346464945879582</v>
      </c>
      <c r="H22" s="7">
        <f t="shared" si="0"/>
        <v>1.6523113139422563E-2</v>
      </c>
      <c r="I22" s="5">
        <f t="shared" si="1"/>
        <v>6.6092452557690251</v>
      </c>
    </row>
    <row r="23" spans="1:9" x14ac:dyDescent="0.3">
      <c r="D23" s="4">
        <f t="shared" si="2"/>
        <v>425</v>
      </c>
      <c r="E23" s="6">
        <v>13.328223839195781</v>
      </c>
      <c r="F23" s="4">
        <v>0.3515625</v>
      </c>
      <c r="G23" s="6">
        <f>GBSPrice</f>
        <v>13.346464945879582</v>
      </c>
      <c r="H23" s="7">
        <f t="shared" si="0"/>
        <v>1.8241106683801078E-2</v>
      </c>
      <c r="I23" s="5">
        <f t="shared" si="1"/>
        <v>7.7524703406154583</v>
      </c>
    </row>
    <row r="24" spans="1:9" x14ac:dyDescent="0.3">
      <c r="D24" s="4">
        <f t="shared" si="2"/>
        <v>450</v>
      </c>
      <c r="E24" s="6">
        <v>13.332249427111936</v>
      </c>
      <c r="F24" s="4">
        <v>0.375</v>
      </c>
      <c r="G24" s="6">
        <f>GBSPrice</f>
        <v>13.346464945879582</v>
      </c>
      <c r="H24" s="7">
        <f t="shared" si="0"/>
        <v>1.4215518767645818E-2</v>
      </c>
      <c r="I24" s="5">
        <f t="shared" si="1"/>
        <v>6.3969834454406183</v>
      </c>
    </row>
    <row r="25" spans="1:9" x14ac:dyDescent="0.3">
      <c r="D25" s="4">
        <f t="shared" si="2"/>
        <v>475</v>
      </c>
      <c r="E25" s="6">
        <v>13.334571611379317</v>
      </c>
      <c r="F25" s="4">
        <v>0.4140625</v>
      </c>
      <c r="G25" s="6">
        <f>GBSPrice</f>
        <v>13.346464945879582</v>
      </c>
      <c r="H25" s="7">
        <f t="shared" si="0"/>
        <v>1.189333450026453E-2</v>
      </c>
      <c r="I25" s="5">
        <f t="shared" si="1"/>
        <v>5.6493338876256516</v>
      </c>
    </row>
    <row r="26" spans="1:9" x14ac:dyDescent="0.3">
      <c r="D26" s="4">
        <f t="shared" si="2"/>
        <v>500</v>
      </c>
      <c r="E26" s="6">
        <v>13.335523495052209</v>
      </c>
      <c r="F26" s="4">
        <v>0.4375</v>
      </c>
      <c r="G26" s="6">
        <f>GBSPrice</f>
        <v>13.346464945879582</v>
      </c>
      <c r="H26" s="7">
        <f t="shared" si="0"/>
        <v>1.0941450827372634E-2</v>
      </c>
      <c r="I26" s="5">
        <f t="shared" si="1"/>
        <v>5.470725413686317</v>
      </c>
    </row>
    <row r="27" spans="1:9" x14ac:dyDescent="0.3">
      <c r="D27" s="4">
        <f>D26+50</f>
        <v>550</v>
      </c>
      <c r="E27" s="6">
        <v>13.334314138758428</v>
      </c>
      <c r="F27" s="4">
        <v>0.5</v>
      </c>
      <c r="G27" s="6">
        <f>GBSPrice</f>
        <v>13.346464945879582</v>
      </c>
      <c r="H27" s="7">
        <f t="shared" si="0"/>
        <v>1.2150807121154017E-2</v>
      </c>
      <c r="I27" s="5">
        <f t="shared" si="1"/>
        <v>6.6829439166347093</v>
      </c>
    </row>
    <row r="28" spans="1:9" x14ac:dyDescent="0.3">
      <c r="D28" s="4">
        <f t="shared" ref="D28:D36" si="3">D27+50</f>
        <v>600</v>
      </c>
      <c r="E28" s="6">
        <v>13.335383621662331</v>
      </c>
      <c r="F28" s="4">
        <v>0.5703125</v>
      </c>
      <c r="G28" s="6">
        <f>GBSPrice</f>
        <v>13.346464945879582</v>
      </c>
      <c r="H28" s="7">
        <f t="shared" si="0"/>
        <v>1.1081324217251165E-2</v>
      </c>
      <c r="I28" s="5">
        <f t="shared" si="1"/>
        <v>6.648794530350699</v>
      </c>
    </row>
    <row r="29" spans="1:9" x14ac:dyDescent="0.3">
      <c r="D29" s="4">
        <f t="shared" si="3"/>
        <v>650</v>
      </c>
      <c r="E29" s="6">
        <v>13.338017463193999</v>
      </c>
      <c r="F29" s="4">
        <v>0.6484375</v>
      </c>
      <c r="G29" s="6">
        <f>GBSPrice</f>
        <v>13.346464945879582</v>
      </c>
      <c r="H29" s="7">
        <f t="shared" si="0"/>
        <v>8.4474826855824858E-3</v>
      </c>
      <c r="I29" s="5">
        <f t="shared" si="1"/>
        <v>5.4908637456286158</v>
      </c>
    </row>
    <row r="30" spans="1:9" x14ac:dyDescent="0.3">
      <c r="D30" s="4">
        <f t="shared" si="3"/>
        <v>700</v>
      </c>
      <c r="E30" s="6">
        <v>13.337916327904633</v>
      </c>
      <c r="F30" s="4">
        <v>0.71875</v>
      </c>
      <c r="G30" s="6">
        <f>GBSPrice</f>
        <v>13.346464945879582</v>
      </c>
      <c r="H30" s="7">
        <f t="shared" si="0"/>
        <v>8.548617974948769E-3</v>
      </c>
      <c r="I30" s="5">
        <f t="shared" si="1"/>
        <v>5.9840325824641383</v>
      </c>
    </row>
    <row r="31" spans="1:9" x14ac:dyDescent="0.3">
      <c r="D31" s="4">
        <f t="shared" si="3"/>
        <v>750</v>
      </c>
      <c r="E31" s="6">
        <v>13.335894615674485</v>
      </c>
      <c r="F31" s="4">
        <v>0.8046875</v>
      </c>
      <c r="G31" s="6">
        <f>GBSPrice</f>
        <v>13.346464945879582</v>
      </c>
      <c r="H31" s="7">
        <f t="shared" si="0"/>
        <v>1.0570330205096568E-2</v>
      </c>
      <c r="I31" s="5">
        <f t="shared" si="1"/>
        <v>7.9277476538224256</v>
      </c>
    </row>
    <row r="32" spans="1:9" x14ac:dyDescent="0.3">
      <c r="D32" s="4">
        <f t="shared" si="3"/>
        <v>800</v>
      </c>
      <c r="E32" s="6">
        <v>13.338939936224589</v>
      </c>
      <c r="F32" s="4">
        <v>0.8828125</v>
      </c>
      <c r="G32" s="6">
        <f>GBSPrice</f>
        <v>13.346464945879582</v>
      </c>
      <c r="H32" s="7">
        <f t="shared" si="0"/>
        <v>7.5250096549925871E-3</v>
      </c>
      <c r="I32" s="5">
        <f t="shared" si="1"/>
        <v>6.0200077239940697</v>
      </c>
    </row>
    <row r="33" spans="4:9" x14ac:dyDescent="0.3">
      <c r="D33" s="4">
        <f t="shared" si="3"/>
        <v>850</v>
      </c>
      <c r="E33" s="6">
        <v>13.340035194952302</v>
      </c>
      <c r="F33" s="4">
        <v>0.9765625</v>
      </c>
      <c r="G33" s="6">
        <f>GBSPrice</f>
        <v>13.346464945879582</v>
      </c>
      <c r="H33" s="7">
        <f t="shared" si="0"/>
        <v>6.4297509272801534E-3</v>
      </c>
      <c r="I33" s="5">
        <f t="shared" si="1"/>
        <v>5.4652882881881304</v>
      </c>
    </row>
    <row r="34" spans="4:9" x14ac:dyDescent="0.3">
      <c r="D34" s="4">
        <f t="shared" si="3"/>
        <v>900</v>
      </c>
      <c r="E34" s="6">
        <v>13.339614049538303</v>
      </c>
      <c r="F34" s="4">
        <v>1.046875</v>
      </c>
      <c r="G34" s="6">
        <f>GBSPrice</f>
        <v>13.346464945879582</v>
      </c>
      <c r="H34" s="7">
        <f t="shared" si="0"/>
        <v>6.8508963412785562E-3</v>
      </c>
      <c r="I34" s="5">
        <f t="shared" si="1"/>
        <v>6.1658067071507006</v>
      </c>
    </row>
    <row r="35" spans="4:9" x14ac:dyDescent="0.3">
      <c r="D35" s="4">
        <f>D34+50</f>
        <v>950</v>
      </c>
      <c r="E35" s="6">
        <v>13.338174913472741</v>
      </c>
      <c r="F35" s="4">
        <v>1.125</v>
      </c>
      <c r="G35" s="6">
        <f>GBSPrice</f>
        <v>13.346464945879582</v>
      </c>
      <c r="H35" s="7">
        <f t="shared" ref="H35:H51" si="4">IF(GBSPrice&lt;&gt;"" &amp; E35&lt;&gt;"",ABS(E35-GBSPrice),"")</f>
        <v>8.2900324068404529E-3</v>
      </c>
      <c r="I35" s="5">
        <f t="shared" si="1"/>
        <v>7.8755307864984303</v>
      </c>
    </row>
    <row r="36" spans="4:9" x14ac:dyDescent="0.3">
      <c r="D36" s="4">
        <f t="shared" si="3"/>
        <v>1000</v>
      </c>
      <c r="E36" s="6">
        <v>13.340331743102258</v>
      </c>
      <c r="F36" s="4">
        <v>1.21875</v>
      </c>
      <c r="G36" s="6">
        <f>GBSPrice</f>
        <v>13.346464945879582</v>
      </c>
      <c r="H36" s="7">
        <f t="shared" si="4"/>
        <v>6.1332027773239872E-3</v>
      </c>
      <c r="I36" s="5">
        <f t="shared" si="1"/>
        <v>6.1332027773239872</v>
      </c>
    </row>
    <row r="37" spans="4:9" x14ac:dyDescent="0.3">
      <c r="D37" s="4">
        <f>D36+100</f>
        <v>1100</v>
      </c>
      <c r="E37" s="6">
        <v>13.341165870154837</v>
      </c>
      <c r="F37" s="4">
        <v>1.40625</v>
      </c>
      <c r="G37" s="6">
        <f>GBSPrice</f>
        <v>13.346464945879582</v>
      </c>
      <c r="H37" s="7">
        <f t="shared" si="4"/>
        <v>5.2990757247446396E-3</v>
      </c>
      <c r="I37" s="5">
        <f t="shared" si="1"/>
        <v>5.8289832972191036</v>
      </c>
    </row>
    <row r="38" spans="4:9" x14ac:dyDescent="0.3">
      <c r="D38" s="4">
        <f t="shared" ref="D38:D51" si="5">D37+100</f>
        <v>1200</v>
      </c>
      <c r="E38" s="6">
        <v>13.340740754000239</v>
      </c>
      <c r="F38" s="4">
        <v>1.5859375</v>
      </c>
      <c r="G38" s="6">
        <f>GBSPrice</f>
        <v>13.346464945879582</v>
      </c>
      <c r="H38" s="7">
        <f t="shared" si="4"/>
        <v>5.7241918793433655E-3</v>
      </c>
      <c r="I38" s="5">
        <f t="shared" si="1"/>
        <v>6.8690302552120386</v>
      </c>
    </row>
    <row r="39" spans="4:9" x14ac:dyDescent="0.3">
      <c r="D39" s="4">
        <f t="shared" si="5"/>
        <v>1300</v>
      </c>
      <c r="E39" s="6">
        <v>13.342252859759325</v>
      </c>
      <c r="F39" s="4">
        <v>1.7890625</v>
      </c>
      <c r="G39" s="6">
        <f>GBSPrice</f>
        <v>13.346464945879582</v>
      </c>
      <c r="H39" s="7">
        <f t="shared" si="4"/>
        <v>4.2120861202565862E-3</v>
      </c>
      <c r="I39" s="5">
        <f t="shared" si="1"/>
        <v>5.4757119563335621</v>
      </c>
    </row>
    <row r="40" spans="4:9" x14ac:dyDescent="0.3">
      <c r="D40" s="4">
        <f t="shared" si="5"/>
        <v>1400</v>
      </c>
      <c r="E40" s="6">
        <v>13.3412068435105</v>
      </c>
      <c r="F40" s="4">
        <v>2</v>
      </c>
      <c r="G40" s="6">
        <f>GBSPrice</f>
        <v>13.346464945879582</v>
      </c>
      <c r="H40" s="7">
        <f t="shared" si="4"/>
        <v>5.2581023690816409E-3</v>
      </c>
      <c r="I40" s="5">
        <f t="shared" si="1"/>
        <v>7.3613433167142972</v>
      </c>
    </row>
    <row r="41" spans="4:9" x14ac:dyDescent="0.3">
      <c r="D41" s="4">
        <f t="shared" si="5"/>
        <v>1500</v>
      </c>
      <c r="E41" s="6">
        <v>13.342607251679269</v>
      </c>
      <c r="F41" s="4">
        <v>2.2265625</v>
      </c>
      <c r="G41" s="6">
        <f>GBSPrice</f>
        <v>13.346464945879582</v>
      </c>
      <c r="H41" s="7">
        <f t="shared" si="4"/>
        <v>3.8576942003132331E-3</v>
      </c>
      <c r="I41" s="5">
        <f t="shared" si="1"/>
        <v>5.7865413004698496</v>
      </c>
    </row>
    <row r="42" spans="4:9" x14ac:dyDescent="0.3">
      <c r="D42" s="4">
        <f t="shared" si="5"/>
        <v>1600</v>
      </c>
      <c r="E42" s="6">
        <v>13.342823503705954</v>
      </c>
      <c r="F42" s="4">
        <v>2.65625</v>
      </c>
      <c r="G42" s="6">
        <f>GBSPrice</f>
        <v>13.346464945879582</v>
      </c>
      <c r="H42" s="7">
        <f t="shared" si="4"/>
        <v>3.641442173627496E-3</v>
      </c>
      <c r="I42" s="5">
        <f t="shared" si="1"/>
        <v>5.8263074778039936</v>
      </c>
    </row>
    <row r="43" spans="4:9" x14ac:dyDescent="0.3">
      <c r="D43" s="4">
        <f t="shared" si="5"/>
        <v>1700</v>
      </c>
      <c r="E43" s="6">
        <v>13.342078156988489</v>
      </c>
      <c r="F43" s="4">
        <v>2.6796875</v>
      </c>
      <c r="G43" s="6">
        <f>GBSPrice</f>
        <v>13.346464945879582</v>
      </c>
      <c r="H43" s="7">
        <f t="shared" si="4"/>
        <v>4.3867888910931185E-3</v>
      </c>
      <c r="I43" s="5">
        <f t="shared" si="1"/>
        <v>7.4575411148583015</v>
      </c>
    </row>
    <row r="44" spans="4:9" x14ac:dyDescent="0.3">
      <c r="D44" s="4">
        <f t="shared" si="5"/>
        <v>1800</v>
      </c>
      <c r="E44" s="6">
        <v>13.343375885472927</v>
      </c>
      <c r="F44" s="4">
        <v>2.9140625</v>
      </c>
      <c r="G44" s="6">
        <f>GBSPrice</f>
        <v>13.346464945879582</v>
      </c>
      <c r="H44" s="7">
        <f t="shared" si="4"/>
        <v>3.0890604066549088E-3</v>
      </c>
      <c r="I44" s="5">
        <f t="shared" si="1"/>
        <v>5.5603087319788358</v>
      </c>
    </row>
    <row r="45" spans="4:9" x14ac:dyDescent="0.3">
      <c r="D45" s="4">
        <f t="shared" si="5"/>
        <v>1900</v>
      </c>
      <c r="E45" s="4">
        <v>13.343285032161814</v>
      </c>
      <c r="F45" s="4">
        <v>3.15625</v>
      </c>
      <c r="G45" s="6">
        <f>GBSPrice</f>
        <v>13.346464945879582</v>
      </c>
      <c r="H45" s="7">
        <f t="shared" si="4"/>
        <v>3.1799137177674908E-3</v>
      </c>
      <c r="I45" s="5">
        <f t="shared" si="1"/>
        <v>6.0418360637582325</v>
      </c>
    </row>
    <row r="46" spans="4:9" x14ac:dyDescent="0.3">
      <c r="D46" s="4">
        <f t="shared" si="5"/>
        <v>2000</v>
      </c>
      <c r="E46" s="4">
        <v>13.342826650934926</v>
      </c>
      <c r="F46" s="4">
        <v>3.390625</v>
      </c>
      <c r="G46" s="6">
        <f>GBSPrice</f>
        <v>13.346464945879582</v>
      </c>
      <c r="H46" s="7">
        <f t="shared" si="4"/>
        <v>3.6382949446558399E-3</v>
      </c>
      <c r="I46" s="5">
        <f t="shared" si="1"/>
        <v>7.2765898893116798</v>
      </c>
    </row>
    <row r="47" spans="4:9" x14ac:dyDescent="0.3">
      <c r="D47" s="4">
        <f t="shared" si="5"/>
        <v>2100</v>
      </c>
      <c r="E47" s="4">
        <v>13.343811683800432</v>
      </c>
      <c r="F47" s="4">
        <v>3.65625</v>
      </c>
      <c r="G47" s="6">
        <f>GBSPrice</f>
        <v>13.346464945879582</v>
      </c>
      <c r="H47" s="7">
        <f t="shared" si="4"/>
        <v>2.6532620791499539E-3</v>
      </c>
      <c r="I47" s="5">
        <f t="shared" si="1"/>
        <v>5.5718503662149033</v>
      </c>
    </row>
    <row r="48" spans="4:9" x14ac:dyDescent="0.3">
      <c r="D48" s="4">
        <f t="shared" si="5"/>
        <v>2200</v>
      </c>
      <c r="E48" s="4">
        <v>13.343780780643071</v>
      </c>
      <c r="F48" s="4">
        <v>3.9375</v>
      </c>
      <c r="G48" s="6">
        <f>GBSPrice</f>
        <v>13.346464945879582</v>
      </c>
      <c r="H48" s="7">
        <f t="shared" si="4"/>
        <v>2.6841652365110491E-3</v>
      </c>
      <c r="I48" s="5">
        <f t="shared" si="1"/>
        <v>5.905163520324308</v>
      </c>
    </row>
    <row r="49" spans="4:9" x14ac:dyDescent="0.3">
      <c r="D49" s="4">
        <f t="shared" si="5"/>
        <v>2300</v>
      </c>
      <c r="E49" s="4">
        <v>13.343093345744586</v>
      </c>
      <c r="F49" s="4">
        <v>4.21875</v>
      </c>
      <c r="G49" s="6">
        <f>GBSPrice</f>
        <v>13.346464945879582</v>
      </c>
      <c r="H49" s="7">
        <f t="shared" si="4"/>
        <v>3.3716001349954894E-3</v>
      </c>
      <c r="I49" s="5">
        <f t="shared" si="1"/>
        <v>7.7546803104896256</v>
      </c>
    </row>
    <row r="50" spans="4:9" x14ac:dyDescent="0.3">
      <c r="D50" s="4">
        <f t="shared" si="5"/>
        <v>2400</v>
      </c>
      <c r="E50" s="4">
        <v>13.344055583499308</v>
      </c>
      <c r="F50" s="4">
        <v>4.3828125</v>
      </c>
      <c r="G50" s="6">
        <f>GBSPrice</f>
        <v>13.346464945879582</v>
      </c>
      <c r="H50" s="7">
        <f t="shared" si="4"/>
        <v>2.4093623802734498E-3</v>
      </c>
      <c r="I50" s="5">
        <f t="shared" si="1"/>
        <v>5.7824697126562796</v>
      </c>
    </row>
    <row r="51" spans="4:9" x14ac:dyDescent="0.3">
      <c r="D51" s="4">
        <f t="shared" si="5"/>
        <v>2500</v>
      </c>
      <c r="E51" s="4">
        <v>13.344226146280239</v>
      </c>
      <c r="F51" s="4">
        <v>4.7109375</v>
      </c>
      <c r="G51" s="6">
        <f>GBSPrice</f>
        <v>13.346464945879582</v>
      </c>
      <c r="H51" s="7">
        <f t="shared" si="4"/>
        <v>2.2387995993433663E-3</v>
      </c>
      <c r="I51" s="5">
        <f t="shared" si="1"/>
        <v>5.5969989983584156</v>
      </c>
    </row>
  </sheetData>
  <mergeCells count="8">
    <mergeCell ref="H1:H2"/>
    <mergeCell ref="I1:I2"/>
    <mergeCell ref="A1:B2"/>
    <mergeCell ref="A14:B15"/>
    <mergeCell ref="D1:D2"/>
    <mergeCell ref="E1:E2"/>
    <mergeCell ref="F1:F2"/>
    <mergeCell ref="G1:G2"/>
  </mergeCells>
  <conditionalFormatting sqref="B12">
    <cfRule type="expression" dxfId="0" priority="1">
      <formula>B10&lt;=0</formula>
    </cfRule>
  </conditionalFormatting>
  <dataValidations count="4">
    <dataValidation type="custom" allowBlank="1" showInputMessage="1" showErrorMessage="1" errorTitle="Erreur de saisie" error="La cellule ne peut être remplie que si le dividende est supérieur à 0" sqref="B12" xr:uid="{CA3CA7C8-4D77-4548-B74F-77407BA5BF80}">
      <formula1>B10&gt;0</formula1>
    </dataValidation>
    <dataValidation type="decimal" allowBlank="1" showInputMessage="1" showErrorMessage="1" sqref="B7 B9" xr:uid="{947771DC-E105-4D01-8C76-5ADCF5AFB5B5}">
      <formula1>0</formula1>
      <formula2>1</formula2>
    </dataValidation>
    <dataValidation type="list" allowBlank="1" showInputMessage="1" showErrorMessage="1" sqref="B4" xr:uid="{33F57626-A7C0-484C-B8FE-2386567617DB}">
      <formula1>"European, American, Bermudean"</formula1>
    </dataValidation>
    <dataValidation type="list" allowBlank="1" showInputMessage="1" showErrorMessage="1" sqref="B3" xr:uid="{88248351-440F-4E37-81DF-A017428AA8CC}">
      <formula1>"Call, Put"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PriceTreeStep">
                <anchor moveWithCells="1" sizeWithCells="1">
                  <from>
                    <xdr:col>0</xdr:col>
                    <xdr:colOff>205740</xdr:colOff>
                    <xdr:row>17</xdr:row>
                    <xdr:rowOff>144780</xdr:rowOff>
                  </from>
                  <to>
                    <xdr:col>2</xdr:col>
                    <xdr:colOff>68580</xdr:colOff>
                    <xdr:row>21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39</vt:i4>
      </vt:variant>
    </vt:vector>
  </HeadingPairs>
  <TitlesOfParts>
    <vt:vector size="44" baseType="lpstr">
      <vt:lpstr>Pricer</vt:lpstr>
      <vt:lpstr>OptionPricePlot</vt:lpstr>
      <vt:lpstr>UnderlyingPlot</vt:lpstr>
      <vt:lpstr>Graphs</vt:lpstr>
      <vt:lpstr>Graphique</vt:lpstr>
      <vt:lpstr>begin_plot</vt:lpstr>
      <vt:lpstr>begin_undl_plot</vt:lpstr>
      <vt:lpstr>GBSPrice</vt:lpstr>
      <vt:lpstr>Gdiv</vt:lpstr>
      <vt:lpstr>GexType</vt:lpstr>
      <vt:lpstr>Gmat</vt:lpstr>
      <vt:lpstr>Grate</vt:lpstr>
      <vt:lpstr>Gspot</vt:lpstr>
      <vt:lpstr>GstartDate</vt:lpstr>
      <vt:lpstr>Gstrike</vt:lpstr>
      <vt:lpstr>Gtype</vt:lpstr>
      <vt:lpstr>Gvol</vt:lpstr>
      <vt:lpstr>IBSPrice</vt:lpstr>
      <vt:lpstr>IDelta</vt:lpstr>
      <vt:lpstr>IDiv</vt:lpstr>
      <vt:lpstr>IDivDate</vt:lpstr>
      <vt:lpstr>IExerciseType</vt:lpstr>
      <vt:lpstr>IGamma</vt:lpstr>
      <vt:lpstr>IGreeks</vt:lpstr>
      <vt:lpstr>IMaturity</vt:lpstr>
      <vt:lpstr>INbSteps</vt:lpstr>
      <vt:lpstr>IOptionPrice</vt:lpstr>
      <vt:lpstr>IOptionType</vt:lpstr>
      <vt:lpstr>IPricingMethod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ITimePrice</vt:lpstr>
      <vt:lpstr>ITimeTotal</vt:lpstr>
      <vt:lpstr>ITimeTree</vt:lpstr>
      <vt:lpstr>IVega</vt:lpstr>
      <vt:lpstr>IVOl</vt:lpstr>
      <vt:lpstr>Spot</vt:lpstr>
      <vt:lpstr>StepRange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2024-10-08T15:07:07Z</dcterms:modified>
</cp:coreProperties>
</file>