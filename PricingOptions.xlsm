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ibc\OneDrive\Documents\GitHub\Trinomial-Tree\"/>
    </mc:Choice>
  </mc:AlternateContent>
  <xr:revisionPtr revIDLastSave="0" documentId="13_ncr:1_{7CEA2AF4-9270-4349-A72C-1C04CB38F7BB}" xr6:coauthVersionLast="47" xr6:coauthVersionMax="47" xr10:uidLastSave="{00000000-0000-0000-0000-000000000000}"/>
  <bookViews>
    <workbookView xWindow="-120" yWindow="-120" windowWidth="29040" windowHeight="15840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Greeks" sheetId="12" r:id="rId5"/>
    <sheet name="Convergence Study" sheetId="3" r:id="rId6"/>
    <sheet name="Gap Study" sheetId="11" r:id="rId7"/>
  </sheets>
  <functionGroups builtInGroupCount="19"/>
  <definedNames>
    <definedName name="begin_plot">OptionPricePlot!$A$3</definedName>
    <definedName name="begin_proba_plot">NodeProbaPlot!$A$4</definedName>
    <definedName name="begin_undl_plot">UnderlyingPlot!$A$3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PythonPrice">Interface!$E$26</definedName>
    <definedName name="IPythonPriceTime">Interface!$E$28</definedName>
    <definedName name="IPythonTimeTree">Interface!$E$27</definedName>
    <definedName name="IPythonTotalTime">Interface!$E$29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/>
  <c r="E10" i="3"/>
  <c r="E11" i="3"/>
  <c r="F11" i="3" s="1"/>
  <c r="E12" i="3"/>
  <c r="F12" i="3" s="1"/>
  <c r="E13" i="3"/>
  <c r="F13" i="3" s="1"/>
  <c r="E14" i="3"/>
  <c r="F14" i="3" s="1"/>
  <c r="E15" i="3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E53" i="3"/>
  <c r="F53" i="3" s="1"/>
  <c r="E54" i="3"/>
  <c r="F54" i="3" s="1"/>
  <c r="E55" i="3"/>
  <c r="F55" i="3" s="1"/>
  <c r="E56" i="3"/>
  <c r="F56" i="3" s="1"/>
  <c r="E8" i="3"/>
  <c r="F10" i="3"/>
  <c r="F8" i="3"/>
  <c r="E29" i="10"/>
  <c r="E22" i="10"/>
  <c r="E13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F9" i="3"/>
  <c r="F15" i="3"/>
  <c r="F27" i="3"/>
  <c r="F52" i="3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<sst xmlns="http://schemas.openxmlformats.org/spreadsheetml/2006/main" count="68" uniqueCount="59">
  <si>
    <t>Inputs</t>
  </si>
  <si>
    <t>Type</t>
  </si>
  <si>
    <t>Execution Time</t>
  </si>
  <si>
    <t>Div Date</t>
  </si>
  <si>
    <t>Start Date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</si>
  <si>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</si>
  <si>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</si>
  <si>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</si>
  <si>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</si>
  <si>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</si>
  <si>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</si>
  <si>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</si>
  <si>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</si>
  <si>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</si>
  <si>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</si>
  <si>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</si>
  <si>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</si>
  <si>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</si>
  <si>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</si>
  <si>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</si>
  <si>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</si>
  <si>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</si>
  <si>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</si>
  <si>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</si>
  <si>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</si>
  <si>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</si>
  <si>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</si>
  <si>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</si>
  <si>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</si>
  <si>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</si>
  <si>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</si>
  <si>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</si>
  <si>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</si>
  <si>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</si>
  <si>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</si>
  <si>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</si>
  <si>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</si>
  <si>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</si>
  <si>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</si>
  <si>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</si>
  <si>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</si>
  <si>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</si>
  <si>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</si>
  <si>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</si>
  <si>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</si>
  <si>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</si>
  <si>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</si>
  <si>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</si>
  <si>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</si>
  <si>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</si>
  <si>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</si>
  <si>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</si>
  <si>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</si>
  <si>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</si>
  <si>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</si>
  <si>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</si>
  <si>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*</t>
  </si>
  <si>
    <t>Call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</si>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</sst>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%"/>
    <numFmt numFmtId="166" formatCode="0.000000"/>
    <numFmt numFmtId="167" formatCode="0.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0" fillId="9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167" fontId="0" fillId="5" borderId="3" xfId="0" applyNumberFormat="1" applyFill="1" applyBorder="1" applyAlignment="1">
      <alignment horizontal="center" vertical="center"/>
    </xf>
    <xf numFmtId="167" fontId="0" fillId="5" borderId="9" xfId="0" applyNumberFormat="1" applyFill="1" applyBorder="1" applyAlignment="1">
      <alignment horizontal="center" vertical="center"/>
    </xf>
    <xf numFmtId="167" fontId="0" fillId="5" borderId="2" xfId="0" applyNumberFormat="1" applyFill="1" applyBorder="1" applyAlignment="1">
      <alignment horizontal="center" vertical="center"/>
    </xf>
    <xf numFmtId="167" fontId="0" fillId="5" borderId="4" xfId="0" applyNumberFormat="1" applyFill="1" applyBorder="1" applyAlignment="1">
      <alignment horizontal="center" vertical="center"/>
    </xf>
    <xf numFmtId="167" fontId="0" fillId="5" borderId="10" xfId="0" applyNumberFormat="1" applyFill="1" applyBorder="1" applyAlignment="1">
      <alignment horizontal="center" vertical="center"/>
    </xf>
    <xf numFmtId="167" fontId="0" fillId="5" borderId="5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9.7815897837004009</c:v>
                </c:pt>
                <c:pt idx="2">
                  <c:v>11.709742865766286</c:v>
                </c:pt>
                <c:pt idx="3">
                  <c:v>11.894039630881981</c:v>
                </c:pt>
                <c:pt idx="4">
                  <c:v>11.955106128445587</c:v>
                </c:pt>
                <c:pt idx="5">
                  <c:v>11.966097318427627</c:v>
                </c:pt>
                <c:pt idx="6">
                  <c:v>11.96766194127764</c:v>
                </c:pt>
                <c:pt idx="7">
                  <c:v>11.96387095466398</c:v>
                </c:pt>
                <c:pt idx="8">
                  <c:v>11.959873285370753</c:v>
                </c:pt>
                <c:pt idx="9">
                  <c:v>11.956403293059161</c:v>
                </c:pt>
                <c:pt idx="10">
                  <c:v>11.953457799421647</c:v>
                </c:pt>
                <c:pt idx="11">
                  <c:v>11.95094103122441</c:v>
                </c:pt>
                <c:pt idx="12">
                  <c:v>11.948767949234204</c:v>
                </c:pt>
                <c:pt idx="13">
                  <c:v>11.946873550480198</c:v>
                </c:pt>
                <c:pt idx="14">
                  <c:v>11.945201085736254</c:v>
                </c:pt>
                <c:pt idx="15">
                  <c:v>11.943709076042806</c:v>
                </c:pt>
                <c:pt idx="16">
                  <c:v>11.942372051919488</c:v>
                </c:pt>
                <c:pt idx="17">
                  <c:v>11.941162704939233</c:v>
                </c:pt>
                <c:pt idx="18">
                  <c:v>11.940060888823833</c:v>
                </c:pt>
                <c:pt idx="19">
                  <c:v>11.940203576241586</c:v>
                </c:pt>
                <c:pt idx="20">
                  <c:v>11.941843158764884</c:v>
                </c:pt>
                <c:pt idx="21">
                  <c:v>11.943174337886743</c:v>
                </c:pt>
                <c:pt idx="22">
                  <c:v>11.944256643242266</c:v>
                </c:pt>
                <c:pt idx="23">
                  <c:v>11.945143609095853</c:v>
                </c:pt>
                <c:pt idx="24">
                  <c:v>11.945865217995129</c:v>
                </c:pt>
                <c:pt idx="25">
                  <c:v>11.946922972545082</c:v>
                </c:pt>
                <c:pt idx="26">
                  <c:v>11.947602557363272</c:v>
                </c:pt>
                <c:pt idx="27">
                  <c:v>11.948012266654001</c:v>
                </c:pt>
                <c:pt idx="28">
                  <c:v>11.948228450987196</c:v>
                </c:pt>
                <c:pt idx="29">
                  <c:v>11.948303365415127</c:v>
                </c:pt>
                <c:pt idx="30">
                  <c:v>11.948269499055217</c:v>
                </c:pt>
                <c:pt idx="31">
                  <c:v>11.948161455521145</c:v>
                </c:pt>
                <c:pt idx="32">
                  <c:v>11.947994428158472</c:v>
                </c:pt>
                <c:pt idx="33">
                  <c:v>11.94777912139287</c:v>
                </c:pt>
                <c:pt idx="34">
                  <c:v>11.947536146085461</c:v>
                </c:pt>
                <c:pt idx="35">
                  <c:v>11.946974618847664</c:v>
                </c:pt>
                <c:pt idx="36">
                  <c:v>11.946367077881254</c:v>
                </c:pt>
                <c:pt idx="37">
                  <c:v>11.945730931265341</c:v>
                </c:pt>
                <c:pt idx="38">
                  <c:v>11.945087906029372</c:v>
                </c:pt>
                <c:pt idx="39">
                  <c:v>11.945023271121354</c:v>
                </c:pt>
                <c:pt idx="40">
                  <c:v>11.945676740838824</c:v>
                </c:pt>
                <c:pt idx="41">
                  <c:v>11.946157270166964</c:v>
                </c:pt>
                <c:pt idx="42">
                  <c:v>11.946500306401445</c:v>
                </c:pt>
                <c:pt idx="43">
                  <c:v>11.94673156350974</c:v>
                </c:pt>
                <c:pt idx="44">
                  <c:v>11.946876664948501</c:v>
                </c:pt>
                <c:pt idx="45">
                  <c:v>11.94695188548852</c:v>
                </c:pt>
                <c:pt idx="46">
                  <c:v>11.946966373051616</c:v>
                </c:pt>
                <c:pt idx="47">
                  <c:v>11.946935529639404</c:v>
                </c:pt>
                <c:pt idx="48">
                  <c:v>11.946868110948067</c:v>
                </c:pt>
                <c:pt idx="49">
                  <c:v>11.946770031892383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11.946724297682652</c:v>
                </c:pt>
                <c:pt idx="2">
                  <c:v>11.946724297682652</c:v>
                </c:pt>
                <c:pt idx="3">
                  <c:v>11.946724297682652</c:v>
                </c:pt>
                <c:pt idx="4">
                  <c:v>11.946724297682652</c:v>
                </c:pt>
                <c:pt idx="5">
                  <c:v>11.946724297682652</c:v>
                </c:pt>
                <c:pt idx="6">
                  <c:v>11.946724297682652</c:v>
                </c:pt>
                <c:pt idx="7">
                  <c:v>11.946724297682652</c:v>
                </c:pt>
                <c:pt idx="8">
                  <c:v>11.946724297682652</c:v>
                </c:pt>
                <c:pt idx="9">
                  <c:v>11.946724297682652</c:v>
                </c:pt>
                <c:pt idx="10">
                  <c:v>11.946724297682652</c:v>
                </c:pt>
                <c:pt idx="11">
                  <c:v>11.946724297682652</c:v>
                </c:pt>
                <c:pt idx="12">
                  <c:v>11.946724297682652</c:v>
                </c:pt>
                <c:pt idx="13">
                  <c:v>11.946724297682652</c:v>
                </c:pt>
                <c:pt idx="14">
                  <c:v>11.946724297682652</c:v>
                </c:pt>
                <c:pt idx="15">
                  <c:v>11.946724297682652</c:v>
                </c:pt>
                <c:pt idx="16">
                  <c:v>11.946724297682652</c:v>
                </c:pt>
                <c:pt idx="17">
                  <c:v>11.946724297682652</c:v>
                </c:pt>
                <c:pt idx="18">
                  <c:v>11.946724297682652</c:v>
                </c:pt>
                <c:pt idx="19">
                  <c:v>11.946724297682652</c:v>
                </c:pt>
                <c:pt idx="20">
                  <c:v>11.946724297682652</c:v>
                </c:pt>
                <c:pt idx="21">
                  <c:v>11.946724297682652</c:v>
                </c:pt>
                <c:pt idx="22">
                  <c:v>11.946724297682652</c:v>
                </c:pt>
                <c:pt idx="23">
                  <c:v>11.946724297682652</c:v>
                </c:pt>
                <c:pt idx="24">
                  <c:v>11.946724297682652</c:v>
                </c:pt>
                <c:pt idx="25">
                  <c:v>11.946724297682652</c:v>
                </c:pt>
                <c:pt idx="26">
                  <c:v>11.946724297682652</c:v>
                </c:pt>
                <c:pt idx="27">
                  <c:v>11.946724297682652</c:v>
                </c:pt>
                <c:pt idx="28">
                  <c:v>11.946724297682652</c:v>
                </c:pt>
                <c:pt idx="29">
                  <c:v>11.946724297682652</c:v>
                </c:pt>
                <c:pt idx="30">
                  <c:v>11.946724297682652</c:v>
                </c:pt>
                <c:pt idx="31">
                  <c:v>11.946724297682652</c:v>
                </c:pt>
                <c:pt idx="32">
                  <c:v>11.946724297682652</c:v>
                </c:pt>
                <c:pt idx="33">
                  <c:v>11.946724297682652</c:v>
                </c:pt>
                <c:pt idx="34">
                  <c:v>11.946724297682652</c:v>
                </c:pt>
                <c:pt idx="35">
                  <c:v>11.946724297682652</c:v>
                </c:pt>
                <c:pt idx="36">
                  <c:v>11.946724297682652</c:v>
                </c:pt>
                <c:pt idx="37">
                  <c:v>11.946724297682652</c:v>
                </c:pt>
                <c:pt idx="38">
                  <c:v>11.946724297682652</c:v>
                </c:pt>
                <c:pt idx="39">
                  <c:v>11.946724297682652</c:v>
                </c:pt>
                <c:pt idx="40">
                  <c:v>11.946724297682652</c:v>
                </c:pt>
                <c:pt idx="41">
                  <c:v>11.946724297682652</c:v>
                </c:pt>
                <c:pt idx="42">
                  <c:v>11.946724297682652</c:v>
                </c:pt>
                <c:pt idx="43">
                  <c:v>11.946724297682652</c:v>
                </c:pt>
                <c:pt idx="44">
                  <c:v>11.946724297682652</c:v>
                </c:pt>
                <c:pt idx="45">
                  <c:v>11.946724297682652</c:v>
                </c:pt>
                <c:pt idx="46">
                  <c:v>11.946724297682652</c:v>
                </c:pt>
                <c:pt idx="47">
                  <c:v>11.946724297682652</c:v>
                </c:pt>
                <c:pt idx="48">
                  <c:v>11.946724297682652</c:v>
                </c:pt>
                <c:pt idx="49">
                  <c:v>11.946724297682652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7.8125E-3</c:v>
                </c:pt>
                <c:pt idx="6">
                  <c:v>7.8125E-3</c:v>
                </c:pt>
                <c:pt idx="7">
                  <c:v>2.34375E-2</c:v>
                </c:pt>
                <c:pt idx="8">
                  <c:v>2.34375E-2</c:v>
                </c:pt>
                <c:pt idx="9">
                  <c:v>4.6875E-2</c:v>
                </c:pt>
                <c:pt idx="10">
                  <c:v>5.859375E-2</c:v>
                </c:pt>
                <c:pt idx="11">
                  <c:v>7.03125E-2</c:v>
                </c:pt>
                <c:pt idx="12">
                  <c:v>9.375E-2</c:v>
                </c:pt>
                <c:pt idx="13">
                  <c:v>0.109375</c:v>
                </c:pt>
                <c:pt idx="14">
                  <c:v>0.1328125</c:v>
                </c:pt>
                <c:pt idx="15">
                  <c:v>0.1484375</c:v>
                </c:pt>
                <c:pt idx="16">
                  <c:v>0.203125</c:v>
                </c:pt>
                <c:pt idx="17">
                  <c:v>0.203125</c:v>
                </c:pt>
                <c:pt idx="18">
                  <c:v>0.2109375</c:v>
                </c:pt>
                <c:pt idx="19">
                  <c:v>0.23828125</c:v>
                </c:pt>
                <c:pt idx="20">
                  <c:v>0.25</c:v>
                </c:pt>
                <c:pt idx="21">
                  <c:v>0.28125</c:v>
                </c:pt>
                <c:pt idx="22">
                  <c:v>0.296875</c:v>
                </c:pt>
                <c:pt idx="23">
                  <c:v>0.3359375</c:v>
                </c:pt>
                <c:pt idx="24">
                  <c:v>0.34765625</c:v>
                </c:pt>
                <c:pt idx="25">
                  <c:v>0.43359375</c:v>
                </c:pt>
                <c:pt idx="26">
                  <c:v>0.45703125</c:v>
                </c:pt>
                <c:pt idx="27">
                  <c:v>0.53515625</c:v>
                </c:pt>
                <c:pt idx="28">
                  <c:v>0.6171875</c:v>
                </c:pt>
                <c:pt idx="29">
                  <c:v>0.6796875</c:v>
                </c:pt>
                <c:pt idx="30">
                  <c:v>0.76953125</c:v>
                </c:pt>
                <c:pt idx="31">
                  <c:v>0.85546875</c:v>
                </c:pt>
                <c:pt idx="32">
                  <c:v>0.8984375</c:v>
                </c:pt>
                <c:pt idx="33">
                  <c:v>1</c:v>
                </c:pt>
                <c:pt idx="34">
                  <c:v>1.01953125</c:v>
                </c:pt>
                <c:pt idx="35">
                  <c:v>1.34375</c:v>
                </c:pt>
                <c:pt idx="36">
                  <c:v>1.328125</c:v>
                </c:pt>
                <c:pt idx="37">
                  <c:v>1.546875</c:v>
                </c:pt>
                <c:pt idx="38">
                  <c:v>1.84765625</c:v>
                </c:pt>
                <c:pt idx="39">
                  <c:v>1.8125</c:v>
                </c:pt>
                <c:pt idx="40">
                  <c:v>2.109375</c:v>
                </c:pt>
                <c:pt idx="41">
                  <c:v>2.1328125</c:v>
                </c:pt>
                <c:pt idx="42">
                  <c:v>2.42578125</c:v>
                </c:pt>
                <c:pt idx="43">
                  <c:v>2.671875</c:v>
                </c:pt>
                <c:pt idx="44">
                  <c:v>2.7109375</c:v>
                </c:pt>
                <c:pt idx="45">
                  <c:v>3.04296875</c:v>
                </c:pt>
                <c:pt idx="46">
                  <c:v>3.1875</c:v>
                </c:pt>
                <c:pt idx="47">
                  <c:v>3.34375</c:v>
                </c:pt>
                <c:pt idx="48">
                  <c:v>3.515625</c:v>
                </c:pt>
                <c:pt idx="49">
                  <c:v>3.81640625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0.23698143191636589</c:v>
                </c:pt>
                <c:pt idx="3">
                  <c:v>5.2684666800670854E-2</c:v>
                </c:pt>
                <c:pt idx="4">
                  <c:v>-8.3818307629357491E-3</c:v>
                </c:pt>
                <c:pt idx="5">
                  <c:v>-1.9373020744975378E-2</c:v>
                </c:pt>
                <c:pt idx="6">
                  <c:v>-2.0937643594988842E-2</c:v>
                </c:pt>
                <c:pt idx="7">
                  <c:v>-1.7146656981328334E-2</c:v>
                </c:pt>
                <c:pt idx="8">
                  <c:v>-1.3148987688101244E-2</c:v>
                </c:pt>
                <c:pt idx="9">
                  <c:v>-9.6789953765092918E-3</c:v>
                </c:pt>
                <c:pt idx="10">
                  <c:v>-6.7335017389957841E-3</c:v>
                </c:pt>
                <c:pt idx="11">
                  <c:v>-4.2167335417584439E-3</c:v>
                </c:pt>
                <c:pt idx="12">
                  <c:v>-2.0436515515527276E-3</c:v>
                </c:pt>
                <c:pt idx="13">
                  <c:v>-1.492527975468505E-4</c:v>
                </c:pt>
                <c:pt idx="14">
                  <c:v>1.5232119463970406E-3</c:v>
                </c:pt>
                <c:pt idx="15">
                  <c:v>3.0152216398455778E-3</c:v>
                </c:pt>
                <c:pt idx="16">
                  <c:v>4.3522457631635092E-3</c:v>
                </c:pt>
                <c:pt idx="17">
                  <c:v>5.5615927434189416E-3</c:v>
                </c:pt>
                <c:pt idx="18">
                  <c:v>6.6634088588184426E-3</c:v>
                </c:pt>
                <c:pt idx="19">
                  <c:v>6.5207214410651915E-3</c:v>
                </c:pt>
                <c:pt idx="20">
                  <c:v>4.8811389177672027E-3</c:v>
                </c:pt>
                <c:pt idx="21">
                  <c:v>3.5499597959081086E-3</c:v>
                </c:pt>
                <c:pt idx="22">
                  <c:v>2.4676544403856582E-3</c:v>
                </c:pt>
                <c:pt idx="23">
                  <c:v>1.5806885867988285E-3</c:v>
                </c:pt>
                <c:pt idx="24">
                  <c:v>8.5907968752252373E-4</c:v>
                </c:pt>
                <c:pt idx="25">
                  <c:v>-1.9867486243008159E-4</c:v>
                </c:pt>
                <c:pt idx="26">
                  <c:v>-8.7825968062027471E-4</c:v>
                </c:pt>
                <c:pt idx="27">
                  <c:v>-1.2879689713489739E-3</c:v>
                </c:pt>
                <c:pt idx="28">
                  <c:v>-1.5041533045447864E-3</c:v>
                </c:pt>
                <c:pt idx="29">
                  <c:v>-1.5790677324751812E-3</c:v>
                </c:pt>
                <c:pt idx="30">
                  <c:v>-1.5452013725649749E-3</c:v>
                </c:pt>
                <c:pt idx="31">
                  <c:v>-1.4371578384935191E-3</c:v>
                </c:pt>
                <c:pt idx="32">
                  <c:v>-1.2701304758202525E-3</c:v>
                </c:pt>
                <c:pt idx="33">
                  <c:v>-1.0548237102181446E-3</c:v>
                </c:pt>
                <c:pt idx="34">
                  <c:v>-8.1184840280990045E-4</c:v>
                </c:pt>
                <c:pt idx="35">
                  <c:v>-2.503211650122239E-4</c:v>
                </c:pt>
                <c:pt idx="36">
                  <c:v>3.5721980139769016E-4</c:v>
                </c:pt>
                <c:pt idx="37">
                  <c:v>9.9336641731007091E-4</c:v>
                </c:pt>
                <c:pt idx="38">
                  <c:v>1.6363916532800005E-3</c:v>
                </c:pt>
                <c:pt idx="39">
                  <c:v>1.7010265612977804E-3</c:v>
                </c:pt>
                <c:pt idx="40">
                  <c:v>1.047556843827735E-3</c:v>
                </c:pt>
                <c:pt idx="41">
                  <c:v>5.6702751568771248E-4</c:v>
                </c:pt>
                <c:pt idx="42">
                  <c:v>2.23991281206537E-4</c:v>
                </c:pt>
                <c:pt idx="43">
                  <c:v>-7.2658270884318199E-6</c:v>
                </c:pt>
                <c:pt idx="44">
                  <c:v>-1.523672658496622E-4</c:v>
                </c:pt>
                <c:pt idx="45">
                  <c:v>-2.2758780586862315E-4</c:v>
                </c:pt>
                <c:pt idx="46">
                  <c:v>-2.4207536896447834E-4</c:v>
                </c:pt>
                <c:pt idx="47">
                  <c:v>-2.1123195675265549E-4</c:v>
                </c:pt>
                <c:pt idx="48">
                  <c:v>-1.4381326541546002E-4</c:v>
                </c:pt>
                <c:pt idx="49">
                  <c:v>-4.5734209731307374E-5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1.1849071595818295</c:v>
                </c:pt>
                <c:pt idx="3">
                  <c:v>0.52684666800670854</c:v>
                </c:pt>
                <c:pt idx="4">
                  <c:v>-0.16763661525871498</c:v>
                </c:pt>
                <c:pt idx="5">
                  <c:v>-0.58119062234926133</c:v>
                </c:pt>
                <c:pt idx="6">
                  <c:v>-1.0468821797494421</c:v>
                </c:pt>
                <c:pt idx="7">
                  <c:v>-1.2859992735996251</c:v>
                </c:pt>
                <c:pt idx="8">
                  <c:v>-1.3148987688101244</c:v>
                </c:pt>
                <c:pt idx="9">
                  <c:v>-1.2098744220636615</c:v>
                </c:pt>
                <c:pt idx="10">
                  <c:v>-1.0100252608493676</c:v>
                </c:pt>
                <c:pt idx="11">
                  <c:v>-0.73792836980772769</c:v>
                </c:pt>
                <c:pt idx="12">
                  <c:v>-0.40873031031054552</c:v>
                </c:pt>
                <c:pt idx="13">
                  <c:v>-3.3581879448041363E-2</c:v>
                </c:pt>
                <c:pt idx="14">
                  <c:v>0.38080298659926015</c:v>
                </c:pt>
                <c:pt idx="15">
                  <c:v>0.82918595095753389</c:v>
                </c:pt>
                <c:pt idx="16">
                  <c:v>1.3056737289490528</c:v>
                </c:pt>
                <c:pt idx="17">
                  <c:v>1.807517641611156</c:v>
                </c:pt>
                <c:pt idx="18">
                  <c:v>2.3321931005864549</c:v>
                </c:pt>
                <c:pt idx="19">
                  <c:v>2.4452705403994468</c:v>
                </c:pt>
                <c:pt idx="20">
                  <c:v>1.9524555671068811</c:v>
                </c:pt>
                <c:pt idx="21">
                  <c:v>1.5087329132609462</c:v>
                </c:pt>
                <c:pt idx="22">
                  <c:v>1.1104444981735462</c:v>
                </c:pt>
                <c:pt idx="23">
                  <c:v>0.75082707872944354</c:v>
                </c:pt>
                <c:pt idx="24">
                  <c:v>0.42953984376126186</c:v>
                </c:pt>
                <c:pt idx="25">
                  <c:v>-0.10927117433654487</c:v>
                </c:pt>
                <c:pt idx="26">
                  <c:v>-0.52695580837216482</c:v>
                </c:pt>
                <c:pt idx="27">
                  <c:v>-0.83717983137683305</c:v>
                </c:pt>
                <c:pt idx="28">
                  <c:v>-1.0529073131813504</c:v>
                </c:pt>
                <c:pt idx="29">
                  <c:v>-1.1843007993563859</c:v>
                </c:pt>
                <c:pt idx="30">
                  <c:v>-1.2361610980519799</c:v>
                </c:pt>
                <c:pt idx="31">
                  <c:v>-1.2215841627194912</c:v>
                </c:pt>
                <c:pt idx="32">
                  <c:v>-1.1431174282382273</c:v>
                </c:pt>
                <c:pt idx="33">
                  <c:v>-1.0020825247072374</c:v>
                </c:pt>
                <c:pt idx="34">
                  <c:v>-0.81184840280990045</c:v>
                </c:pt>
                <c:pt idx="35">
                  <c:v>-0.27535328151344629</c:v>
                </c:pt>
                <c:pt idx="36">
                  <c:v>0.42866376167722819</c:v>
                </c:pt>
                <c:pt idx="37">
                  <c:v>1.2913763425030922</c:v>
                </c:pt>
                <c:pt idx="38">
                  <c:v>2.2909483145920007</c:v>
                </c:pt>
                <c:pt idx="39">
                  <c:v>2.5515398419466706</c:v>
                </c:pt>
                <c:pt idx="40">
                  <c:v>1.6760909501243759</c:v>
                </c:pt>
                <c:pt idx="41">
                  <c:v>0.96394677666911122</c:v>
                </c:pt>
                <c:pt idx="42">
                  <c:v>0.40318430617176659</c:v>
                </c:pt>
                <c:pt idx="43">
                  <c:v>-1.3805071468020458E-2</c:v>
                </c:pt>
                <c:pt idx="44">
                  <c:v>-0.30473453169932441</c:v>
                </c:pt>
                <c:pt idx="45">
                  <c:v>-0.47793439232410861</c:v>
                </c:pt>
                <c:pt idx="46">
                  <c:v>-0.53256581172185236</c:v>
                </c:pt>
                <c:pt idx="47">
                  <c:v>-0.48583350053110763</c:v>
                </c:pt>
                <c:pt idx="48">
                  <c:v>-0.34515183699710406</c:v>
                </c:pt>
                <c:pt idx="49">
                  <c:v>-0.11433552432826843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-0.76214302842612724</c:v>
                </c:pt>
                <c:pt idx="2">
                  <c:v>-0.75864759133263604</c:v>
                </c:pt>
                <c:pt idx="3">
                  <c:v>-0.75864759133262183</c:v>
                </c:pt>
                <c:pt idx="4">
                  <c:v>-0.75864759133263249</c:v>
                </c:pt>
                <c:pt idx="5">
                  <c:v>-0.68985509822371682</c:v>
                </c:pt>
                <c:pt idx="6">
                  <c:v>-0.68094746766881364</c:v>
                </c:pt>
                <c:pt idx="7">
                  <c:v>-0.68094746766881897</c:v>
                </c:pt>
                <c:pt idx="8">
                  <c:v>-0.6809474676688172</c:v>
                </c:pt>
                <c:pt idx="9">
                  <c:v>-0.625286421992584</c:v>
                </c:pt>
                <c:pt idx="10">
                  <c:v>-0.59275030364689663</c:v>
                </c:pt>
                <c:pt idx="11">
                  <c:v>-0.59275030364689663</c:v>
                </c:pt>
                <c:pt idx="12">
                  <c:v>-0.5927503036468913</c:v>
                </c:pt>
                <c:pt idx="13">
                  <c:v>-0.57636968165205715</c:v>
                </c:pt>
                <c:pt idx="14">
                  <c:v>-0.49846898665271588</c:v>
                </c:pt>
                <c:pt idx="15">
                  <c:v>-0.49846898665270523</c:v>
                </c:pt>
                <c:pt idx="16">
                  <c:v>-0.49846898665270878</c:v>
                </c:pt>
                <c:pt idx="17">
                  <c:v>-0.49846898665270967</c:v>
                </c:pt>
                <c:pt idx="18">
                  <c:v>-0.45067054606050583</c:v>
                </c:pt>
                <c:pt idx="19">
                  <c:v>-0.4035546283878535</c:v>
                </c:pt>
                <c:pt idx="20">
                  <c:v>-0.40355462838785439</c:v>
                </c:pt>
                <c:pt idx="21">
                  <c:v>-0.40355462838785439</c:v>
                </c:pt>
                <c:pt idx="22">
                  <c:v>-0.40355462838785083</c:v>
                </c:pt>
                <c:pt idx="23">
                  <c:v>-0.34861849642550524</c:v>
                </c:pt>
                <c:pt idx="24">
                  <c:v>-0.31356914562410321</c:v>
                </c:pt>
                <c:pt idx="25">
                  <c:v>-0.31356914562409965</c:v>
                </c:pt>
                <c:pt idx="26">
                  <c:v>-0.31356914562410143</c:v>
                </c:pt>
                <c:pt idx="27">
                  <c:v>-0.31356914562410054</c:v>
                </c:pt>
                <c:pt idx="28">
                  <c:v>-0.27469822128449239</c:v>
                </c:pt>
                <c:pt idx="29">
                  <c:v>-0.23322610910572017</c:v>
                </c:pt>
                <c:pt idx="30">
                  <c:v>-0.23322610910571884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-1.9622336877226587E-2</c:v>
                </c:pt>
                <c:pt idx="1">
                  <c:v>2.9343314234466789E-3</c:v>
                </c:pt>
                <c:pt idx="2">
                  <c:v>1.2096340122702998E-2</c:v>
                </c:pt>
                <c:pt idx="3">
                  <c:v>3.7356311605414305E-3</c:v>
                </c:pt>
                <c:pt idx="4">
                  <c:v>-2.2730785257087049E-2</c:v>
                </c:pt>
                <c:pt idx="5">
                  <c:v>9.6020075806535488E-4</c:v>
                </c:pt>
                <c:pt idx="6">
                  <c:v>1.4451291371823771E-2</c:v>
                </c:pt>
                <c:pt idx="7">
                  <c:v>8.4220539817554396E-3</c:v>
                </c:pt>
                <c:pt idx="8">
                  <c:v>-1.7478660575267924E-2</c:v>
                </c:pt>
                <c:pt idx="9">
                  <c:v>-7.877946684082815E-3</c:v>
                </c:pt>
                <c:pt idx="10">
                  <c:v>1.3874843202801301E-2</c:v>
                </c:pt>
                <c:pt idx="11">
                  <c:v>1.5082958819141012E-2</c:v>
                </c:pt>
                <c:pt idx="12">
                  <c:v>-4.350956524595162E-3</c:v>
                </c:pt>
                <c:pt idx="13">
                  <c:v>-2.808143791356521E-2</c:v>
                </c:pt>
                <c:pt idx="14">
                  <c:v>5.4370414065001427E-3</c:v>
                </c:pt>
                <c:pt idx="15">
                  <c:v>1.8387798151326962E-2</c:v>
                </c:pt>
                <c:pt idx="16">
                  <c:v>1.0910937415264499E-2</c:v>
                </c:pt>
                <c:pt idx="17">
                  <c:v>-1.6800164214307856E-2</c:v>
                </c:pt>
                <c:pt idx="18">
                  <c:v>-1.6703541916393227E-2</c:v>
                </c:pt>
                <c:pt idx="19">
                  <c:v>1.0808582648336618E-2</c:v>
                </c:pt>
                <c:pt idx="20">
                  <c:v>1.8953806873387435E-2</c:v>
                </c:pt>
                <c:pt idx="21">
                  <c:v>8.1051560822125168E-3</c:v>
                </c:pt>
                <c:pt idx="22">
                  <c:v>-2.1328628282234696E-2</c:v>
                </c:pt>
                <c:pt idx="23">
                  <c:v>-1.3970794782542484E-2</c:v>
                </c:pt>
                <c:pt idx="24">
                  <c:v>1.0760533993089183E-2</c:v>
                </c:pt>
                <c:pt idx="25">
                  <c:v>1.8308904379495061E-2</c:v>
                </c:pt>
                <c:pt idx="26">
                  <c:v>9.1877251238994262E-3</c:v>
                </c:pt>
                <c:pt idx="27">
                  <c:v>-1.6072705784900165E-2</c:v>
                </c:pt>
                <c:pt idx="28">
                  <c:v>-1.8057767766053168E-2</c:v>
                </c:pt>
                <c:pt idx="29">
                  <c:v>6.3874845478997244E-3</c:v>
                </c:pt>
                <c:pt idx="30">
                  <c:v>1.6351593460270486E-2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18.537831183939122</c:v>
                </c:pt>
                <c:pt idx="1">
                  <c:v>17.775688155512995</c:v>
                </c:pt>
                <c:pt idx="2">
                  <c:v>17.017040564180359</c:v>
                </c:pt>
                <c:pt idx="3">
                  <c:v>16.258392972847737</c:v>
                </c:pt>
                <c:pt idx="4">
                  <c:v>15.499745381515105</c:v>
                </c:pt>
                <c:pt idx="5">
                  <c:v>14.809890283291388</c:v>
                </c:pt>
                <c:pt idx="6">
                  <c:v>14.128942815622574</c:v>
                </c:pt>
                <c:pt idx="7">
                  <c:v>13.447995347953755</c:v>
                </c:pt>
                <c:pt idx="8">
                  <c:v>12.767047880284938</c:v>
                </c:pt>
                <c:pt idx="9">
                  <c:v>12.141761458292354</c:v>
                </c:pt>
                <c:pt idx="10">
                  <c:v>11.549011154645457</c:v>
                </c:pt>
                <c:pt idx="11">
                  <c:v>10.956260850998561</c:v>
                </c:pt>
                <c:pt idx="12">
                  <c:v>10.36351054735167</c:v>
                </c:pt>
                <c:pt idx="13">
                  <c:v>9.7871408656996124</c:v>
                </c:pt>
                <c:pt idx="14">
                  <c:v>9.2886718790468965</c:v>
                </c:pt>
                <c:pt idx="15">
                  <c:v>8.7902028923941913</c:v>
                </c:pt>
                <c:pt idx="16">
                  <c:v>8.2917339057414825</c:v>
                </c:pt>
                <c:pt idx="17">
                  <c:v>7.7932649190887728</c:v>
                </c:pt>
                <c:pt idx="18">
                  <c:v>7.342594373028267</c:v>
                </c:pt>
                <c:pt idx="19">
                  <c:v>6.9390397446404135</c:v>
                </c:pt>
                <c:pt idx="20">
                  <c:v>6.5354851162525591</c:v>
                </c:pt>
                <c:pt idx="21">
                  <c:v>6.1319304878647047</c:v>
                </c:pt>
                <c:pt idx="22">
                  <c:v>5.7283758594768539</c:v>
                </c:pt>
                <c:pt idx="23">
                  <c:v>5.3797573630513487</c:v>
                </c:pt>
                <c:pt idx="24">
                  <c:v>5.0661882174272455</c:v>
                </c:pt>
                <c:pt idx="25">
                  <c:v>4.7526190718031458</c:v>
                </c:pt>
                <c:pt idx="26">
                  <c:v>4.4390499261790444</c:v>
                </c:pt>
                <c:pt idx="27">
                  <c:v>4.1254807805549438</c:v>
                </c:pt>
                <c:pt idx="28">
                  <c:v>3.8507825592704514</c:v>
                </c:pt>
                <c:pt idx="29">
                  <c:v>3.6175564501647313</c:v>
                </c:pt>
                <c:pt idx="30">
                  <c:v>3.3843303410590124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chart" Target="../charts/chart3.xml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chart" Target="../charts/chart4.xml"/><Relationship Id="rId9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261506</xdr:colOff>
      <xdr:row>30</xdr:row>
      <xdr:rowOff>12121</xdr:rowOff>
    </xdr:from>
    <xdr:to>
      <xdr:col>3</xdr:col>
      <xdr:colOff>534993</xdr:colOff>
      <xdr:row>32</xdr:row>
      <xdr:rowOff>138545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033" y="5831030"/>
          <a:ext cx="1936033" cy="4866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25</xdr:row>
          <xdr:rowOff>19050</xdr:rowOff>
        </xdr:from>
        <xdr:to>
          <xdr:col>7</xdr:col>
          <xdr:colOff>552450</xdr:colOff>
          <xdr:row>29</xdr:row>
          <xdr:rowOff>9525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3</xdr:row>
          <xdr:rowOff>95250</xdr:rowOff>
        </xdr:from>
        <xdr:to>
          <xdr:col>20</xdr:col>
          <xdr:colOff>542925</xdr:colOff>
          <xdr:row>10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Génération des graphiques des grecs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235528</xdr:colOff>
      <xdr:row>1</xdr:row>
      <xdr:rowOff>96981</xdr:rowOff>
    </xdr:from>
    <xdr:to>
      <xdr:col>7</xdr:col>
      <xdr:colOff>498764</xdr:colOff>
      <xdr:row>18</xdr:row>
      <xdr:rowOff>15872</xdr:rowOff>
    </xdr:to>
    <xdr:pic>
      <xdr:nvPicPr>
        <xdr:cNvPr id="43" name="Chart 1">
          <a:extLst>
            <a:ext uri="{FF2B5EF4-FFF2-40B4-BE49-F238E27FC236}">
              <a16:creationId xmlns:a16="http://schemas.microsoft.com/office/drawing/2014/main" id="{155FC5D0-F89C-EA14-21F1-1E2509D87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28" y="279861"/>
          <a:ext cx="4530436" cy="3027851"/>
        </a:xfrm>
        <a:prstGeom prst="rect">
          <a:avLst/>
        </a:prstGeom>
      </xdr:spPr>
    </xdr:pic>
    <xdr:clientData/>
  </xdr:twoCellAnchor>
  <xdr:twoCellAnchor editAs="oneCell">
    <xdr:from>
      <xdr:col>8</xdr:col>
      <xdr:colOff>425650</xdr:colOff>
      <xdr:row>1</xdr:row>
      <xdr:rowOff>139240</xdr:rowOff>
    </xdr:from>
    <xdr:to>
      <xdr:col>16</xdr:col>
      <xdr:colOff>124692</xdr:colOff>
      <xdr:row>18</xdr:row>
      <xdr:rowOff>61725</xdr:rowOff>
    </xdr:to>
    <xdr:pic>
      <xdr:nvPicPr>
        <xdr:cNvPr id="45" name="Chart 2">
          <a:extLst>
            <a:ext uri="{FF2B5EF4-FFF2-40B4-BE49-F238E27FC236}">
              <a16:creationId xmlns:a16="http://schemas.microsoft.com/office/drawing/2014/main" id="{B033682D-292F-8A3A-EDA7-AB68CD183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450" y="322120"/>
          <a:ext cx="4575842" cy="3031445"/>
        </a:xfrm>
        <a:prstGeom prst="rect">
          <a:avLst/>
        </a:prstGeom>
      </xdr:spPr>
    </xdr:pic>
    <xdr:clientData/>
  </xdr:twoCellAnchor>
  <xdr:twoCellAnchor editAs="oneCell">
    <xdr:from>
      <xdr:col>0</xdr:col>
      <xdr:colOff>96982</xdr:colOff>
      <xdr:row>19</xdr:row>
      <xdr:rowOff>14546</xdr:rowOff>
    </xdr:from>
    <xdr:to>
      <xdr:col>7</xdr:col>
      <xdr:colOff>500019</xdr:colOff>
      <xdr:row>36</xdr:row>
      <xdr:rowOff>96981</xdr:rowOff>
    </xdr:to>
    <xdr:pic>
      <xdr:nvPicPr>
        <xdr:cNvPr id="47" name="Chart 3">
          <a:extLst>
            <a:ext uri="{FF2B5EF4-FFF2-40B4-BE49-F238E27FC236}">
              <a16:creationId xmlns:a16="http://schemas.microsoft.com/office/drawing/2014/main" id="{4231CE18-8204-D97F-3A37-3B0E20439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82" y="3489266"/>
          <a:ext cx="4670237" cy="3191395"/>
        </a:xfrm>
        <a:prstGeom prst="rect">
          <a:avLst/>
        </a:prstGeom>
      </xdr:spPr>
    </xdr:pic>
    <xdr:clientData/>
  </xdr:twoCellAnchor>
  <xdr:twoCellAnchor editAs="oneCell">
    <xdr:from>
      <xdr:col>8</xdr:col>
      <xdr:colOff>374073</xdr:colOff>
      <xdr:row>19</xdr:row>
      <xdr:rowOff>152399</xdr:rowOff>
    </xdr:from>
    <xdr:to>
      <xdr:col>16</xdr:col>
      <xdr:colOff>55418</xdr:colOff>
      <xdr:row>36</xdr:row>
      <xdr:rowOff>146236</xdr:rowOff>
    </xdr:to>
    <xdr:pic>
      <xdr:nvPicPr>
        <xdr:cNvPr id="49" name="Chart 4">
          <a:extLst>
            <a:ext uri="{FF2B5EF4-FFF2-40B4-BE49-F238E27FC236}">
              <a16:creationId xmlns:a16="http://schemas.microsoft.com/office/drawing/2014/main" id="{DB81479A-A890-8B50-06AF-8991350EC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0873" y="3627119"/>
          <a:ext cx="4558145" cy="3102797"/>
        </a:xfrm>
        <a:prstGeom prst="rect">
          <a:avLst/>
        </a:prstGeom>
      </xdr:spPr>
    </xdr:pic>
    <xdr:clientData/>
  </xdr:twoCellAnchor>
  <xdr:twoCellAnchor editAs="oneCell">
    <xdr:from>
      <xdr:col>4</xdr:col>
      <xdr:colOff>156557</xdr:colOff>
      <xdr:row>37</xdr:row>
      <xdr:rowOff>80356</xdr:rowOff>
    </xdr:from>
    <xdr:to>
      <xdr:col>11</xdr:col>
      <xdr:colOff>499564</xdr:colOff>
      <xdr:row>54</xdr:row>
      <xdr:rowOff>69272</xdr:rowOff>
    </xdr:to>
    <xdr:pic>
      <xdr:nvPicPr>
        <xdr:cNvPr id="51" name="Chart 5">
          <a:extLst>
            <a:ext uri="{FF2B5EF4-FFF2-40B4-BE49-F238E27FC236}">
              <a16:creationId xmlns:a16="http://schemas.microsoft.com/office/drawing/2014/main" id="{1CADAA5A-20B1-B67E-76D7-85ADB7519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57" y="6846916"/>
          <a:ext cx="4610207" cy="30978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0</xdr:row>
          <xdr:rowOff>76200</xdr:rowOff>
        </xdr:from>
        <xdr:to>
          <xdr:col>5</xdr:col>
          <xdr:colOff>1209675</xdr:colOff>
          <xdr:row>2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400050</xdr:colOff>
          <xdr:row>31</xdr:row>
          <xdr:rowOff>19050</xdr:rowOff>
        </xdr:from>
        <xdr:to>
          <xdr:col>19</xdr:col>
          <xdr:colOff>257175</xdr:colOff>
          <xdr:row>33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31" name="ConvPlot">
          <a:extLst>
            <a:ext uri="{FF2B5EF4-FFF2-40B4-BE49-F238E27FC236}">
              <a16:creationId xmlns:a16="http://schemas.microsoft.com/office/drawing/2014/main" id="{1F19301C-C3B2-77C3-848E-940972FC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33" name="TimePlot">
          <a:extLst>
            <a:ext uri="{FF2B5EF4-FFF2-40B4-BE49-F238E27FC236}">
              <a16:creationId xmlns:a16="http://schemas.microsoft.com/office/drawing/2014/main" id="{99F68F6E-B9FF-3994-C6D2-671BB960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35" name="GapPlot">
          <a:extLst>
            <a:ext uri="{FF2B5EF4-FFF2-40B4-BE49-F238E27FC236}">
              <a16:creationId xmlns:a16="http://schemas.microsoft.com/office/drawing/2014/main" id="{27773573-06DB-B164-0B1D-52D01354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37" name="GapStepPlot">
          <a:extLst>
            <a:ext uri="{FF2B5EF4-FFF2-40B4-BE49-F238E27FC236}">
              <a16:creationId xmlns:a16="http://schemas.microsoft.com/office/drawing/2014/main" id="{EF0EC48E-7FBE-ED31-914D-8626CF03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6</xdr:col>
      <xdr:colOff>322730</xdr:colOff>
      <xdr:row>34</xdr:row>
      <xdr:rowOff>98612</xdr:rowOff>
    </xdr:from>
    <xdr:to>
      <xdr:col>14</xdr:col>
      <xdr:colOff>448235</xdr:colOff>
      <xdr:row>50</xdr:row>
      <xdr:rowOff>0</xdr:rowOff>
    </xdr:to>
    <xdr:pic>
      <xdr:nvPicPr>
        <xdr:cNvPr id="15" name="Picture 1">
          <a:extLst>
            <a:ext uri="{FF2B5EF4-FFF2-40B4-BE49-F238E27FC236}">
              <a16:creationId xmlns:a16="http://schemas.microsoft.com/office/drawing/2014/main" id="{0F62750B-6162-5E66-3CCF-BE1D41A6C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9110" y="6316532"/>
          <a:ext cx="5116605" cy="2827468"/>
        </a:xfrm>
        <a:prstGeom prst="rect">
          <a:avLst/>
        </a:prstGeom>
      </xdr:spPr>
    </xdr:pic>
    <xdr:clientData/>
  </xdr:twoCellAnchor>
  <xdr:twoCellAnchor editAs="oneCell">
    <xdr:from>
      <xdr:col>14</xdr:col>
      <xdr:colOff>522416</xdr:colOff>
      <xdr:row>34</xdr:row>
      <xdr:rowOff>123399</xdr:rowOff>
    </xdr:from>
    <xdr:to>
      <xdr:col>22</xdr:col>
      <xdr:colOff>166004</xdr:colOff>
      <xdr:row>50</xdr:row>
      <xdr:rowOff>53787</xdr:rowOff>
    </xdr:to>
    <xdr:pic>
      <xdr:nvPicPr>
        <xdr:cNvPr id="17" name="Picture 2">
          <a:extLst>
            <a:ext uri="{FF2B5EF4-FFF2-40B4-BE49-F238E27FC236}">
              <a16:creationId xmlns:a16="http://schemas.microsoft.com/office/drawing/2014/main" id="{682474E7-C229-1A0E-A6E2-FB4B6A5BA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896" y="6341319"/>
          <a:ext cx="4642308" cy="2856468"/>
        </a:xfrm>
        <a:prstGeom prst="rect">
          <a:avLst/>
        </a:prstGeom>
      </xdr:spPr>
    </xdr:pic>
    <xdr:clientData/>
  </xdr:twoCellAnchor>
  <xdr:twoCellAnchor editAs="oneCell">
    <xdr:from>
      <xdr:col>6</xdr:col>
      <xdr:colOff>398110</xdr:colOff>
      <xdr:row>50</xdr:row>
      <xdr:rowOff>129047</xdr:rowOff>
    </xdr:from>
    <xdr:to>
      <xdr:col>14</xdr:col>
      <xdr:colOff>421340</xdr:colOff>
      <xdr:row>66</xdr:row>
      <xdr:rowOff>116541</xdr:rowOff>
    </xdr:to>
    <xdr:pic>
      <xdr:nvPicPr>
        <xdr:cNvPr id="19" name="Picture 7">
          <a:extLst>
            <a:ext uri="{FF2B5EF4-FFF2-40B4-BE49-F238E27FC236}">
              <a16:creationId xmlns:a16="http://schemas.microsoft.com/office/drawing/2014/main" id="{C49BD6CC-08DE-D5F9-BF16-804D923F1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4490" y="9273047"/>
          <a:ext cx="5014330" cy="2913574"/>
        </a:xfrm>
        <a:prstGeom prst="rect">
          <a:avLst/>
        </a:prstGeom>
      </xdr:spPr>
    </xdr:pic>
    <xdr:clientData/>
  </xdr:twoCellAnchor>
  <xdr:twoCellAnchor editAs="oneCell">
    <xdr:from>
      <xdr:col>14</xdr:col>
      <xdr:colOff>578863</xdr:colOff>
      <xdr:row>50</xdr:row>
      <xdr:rowOff>157013</xdr:rowOff>
    </xdr:from>
    <xdr:to>
      <xdr:col>22</xdr:col>
      <xdr:colOff>376518</xdr:colOff>
      <xdr:row>67</xdr:row>
      <xdr:rowOff>44823</xdr:rowOff>
    </xdr:to>
    <xdr:pic>
      <xdr:nvPicPr>
        <xdr:cNvPr id="21" name="Picture 8">
          <a:extLst>
            <a:ext uri="{FF2B5EF4-FFF2-40B4-BE49-F238E27FC236}">
              <a16:creationId xmlns:a16="http://schemas.microsoft.com/office/drawing/2014/main" id="{574760DE-6EFA-7084-4C0A-0D4F485A1F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6343" y="9301013"/>
          <a:ext cx="4796375" cy="29967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1038225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2"/>
  <sheetViews>
    <sheetView tabSelected="1" topLeftCell="B1" zoomScale="110" zoomScaleNormal="110" workbookViewId="0">
      <selection activeCell="I10" sqref="I10"/>
    </sheetView>
  </sheetViews>
  <sheetFormatPr baseColWidth="10" defaultColWidth="9" defaultRowHeight="15" x14ac:dyDescent="0.25"/>
  <cols>
    <col min="1" max="1" width="9" style="10" customWidth="1"/>
    <col min="2" max="2" width="10.28515625" style="10" customWidth="1"/>
    <col min="3" max="3" width="13.85546875" style="10" customWidth="1"/>
    <col min="4" max="4" width="16.7109375" style="10" customWidth="1"/>
    <col min="5" max="5" width="13.140625" style="10" customWidth="1"/>
    <col min="6" max="11" width="9" style="10"/>
    <col min="12" max="12" width="8.28515625" style="10" customWidth="1"/>
    <col min="13" max="13" width="9" style="10"/>
    <col min="14" max="14" width="8" style="10" customWidth="1"/>
    <col min="15" max="16384" width="9" style="10"/>
  </cols>
  <sheetData>
    <row r="1" spans="2:15" ht="14.45" customHeight="1" x14ac:dyDescent="0.25">
      <c r="B1" s="50" t="s">
        <v>36</v>
      </c>
      <c r="C1" s="50"/>
      <c r="D1" s="50"/>
      <c r="E1" s="50"/>
    </row>
    <row r="2" spans="2:15" ht="14.45" customHeight="1" x14ac:dyDescent="0.25">
      <c r="B2" s="50"/>
      <c r="C2" s="50"/>
      <c r="D2" s="50"/>
      <c r="E2" s="50"/>
    </row>
    <row r="3" spans="2:15" ht="14.45" customHeight="1" x14ac:dyDescent="0.25">
      <c r="B3" s="50"/>
      <c r="C3" s="50"/>
      <c r="D3" s="50"/>
      <c r="E3" s="50"/>
    </row>
    <row r="6" spans="2:15" ht="14.45" customHeight="1" x14ac:dyDescent="0.25">
      <c r="B6" s="46" t="s">
        <v>0</v>
      </c>
      <c r="C6" s="52" t="s">
        <v>10</v>
      </c>
      <c r="D6" s="11" t="s">
        <v>12</v>
      </c>
      <c r="E6" s="1">
        <v>100</v>
      </c>
      <c r="J6" s="48" t="s">
        <v>16</v>
      </c>
      <c r="K6" s="48"/>
      <c r="L6" s="48"/>
      <c r="M6" s="47" t="s">
        <v>58</v>
      </c>
      <c r="N6" s="47"/>
      <c r="O6" s="47"/>
    </row>
    <row r="7" spans="2:15" x14ac:dyDescent="0.25">
      <c r="B7" s="46"/>
      <c r="C7" s="52"/>
      <c r="D7" s="11" t="s">
        <v>22</v>
      </c>
      <c r="E7" s="2">
        <v>0.21</v>
      </c>
      <c r="J7" s="48"/>
      <c r="K7" s="48"/>
      <c r="L7" s="48"/>
      <c r="M7" s="47"/>
      <c r="N7" s="47"/>
      <c r="O7" s="47"/>
    </row>
    <row r="8" spans="2:15" x14ac:dyDescent="0.25">
      <c r="B8" s="46"/>
      <c r="C8" s="52"/>
      <c r="D8" s="11" t="s">
        <v>23</v>
      </c>
      <c r="E8" s="2">
        <v>0.03</v>
      </c>
      <c r="J8" s="48" t="s">
        <v>15</v>
      </c>
      <c r="K8" s="48"/>
      <c r="L8" s="48"/>
      <c r="M8" s="47" t="s">
        <v>47</v>
      </c>
      <c r="N8" s="47"/>
      <c r="O8" s="47"/>
    </row>
    <row r="9" spans="2:15" x14ac:dyDescent="0.25">
      <c r="B9" s="46"/>
      <c r="C9" s="52"/>
      <c r="D9" s="11" t="s">
        <v>13</v>
      </c>
      <c r="E9" s="1">
        <v>3</v>
      </c>
      <c r="J9" s="48"/>
      <c r="K9" s="48"/>
      <c r="L9" s="48"/>
      <c r="M9" s="47"/>
      <c r="N9" s="47"/>
      <c r="O9" s="47"/>
    </row>
    <row r="10" spans="2:15" x14ac:dyDescent="0.25">
      <c r="B10" s="46"/>
      <c r="C10" s="52"/>
      <c r="D10" s="11" t="s">
        <v>3</v>
      </c>
      <c r="E10" s="3">
        <v>45652</v>
      </c>
      <c r="I10" s="26"/>
      <c r="J10" s="49"/>
      <c r="K10" s="49"/>
      <c r="L10" s="49"/>
      <c r="M10" s="49"/>
      <c r="N10" s="49"/>
      <c r="O10" s="49"/>
    </row>
    <row r="11" spans="2:15" ht="15.6" customHeight="1" x14ac:dyDescent="0.25">
      <c r="B11" s="46"/>
      <c r="C11" s="53" t="s">
        <v>11</v>
      </c>
      <c r="D11" s="11" t="s">
        <v>4</v>
      </c>
      <c r="E11" s="3">
        <v>45352</v>
      </c>
      <c r="I11" s="26"/>
      <c r="J11" s="49"/>
      <c r="K11" s="49"/>
      <c r="L11" s="49"/>
      <c r="M11" s="49"/>
      <c r="N11" s="49"/>
      <c r="O11" s="49"/>
    </row>
    <row r="12" spans="2:15" ht="15.6" customHeight="1" x14ac:dyDescent="0.25">
      <c r="B12" s="46"/>
      <c r="C12" s="54"/>
      <c r="D12" s="11" t="s">
        <v>46</v>
      </c>
      <c r="E12" s="3">
        <v>45652</v>
      </c>
      <c r="I12" s="26"/>
      <c r="J12" s="49"/>
      <c r="K12" s="49"/>
      <c r="L12" s="49"/>
      <c r="M12" s="49"/>
      <c r="N12" s="49"/>
      <c r="O12" s="49"/>
    </row>
    <row r="13" spans="2:15" ht="15.6" customHeight="1" x14ac:dyDescent="0.25">
      <c r="B13" s="46"/>
      <c r="C13" s="54"/>
      <c r="D13" s="11" t="s">
        <v>24</v>
      </c>
      <c r="E13" s="27">
        <f>(IEndDate-IStartDate)/365</f>
        <v>0.82191780821917804</v>
      </c>
      <c r="J13" s="49"/>
      <c r="K13" s="49"/>
      <c r="L13" s="49"/>
      <c r="M13" s="49"/>
      <c r="N13" s="49"/>
      <c r="O13" s="49"/>
    </row>
    <row r="14" spans="2:15" ht="14.45" customHeight="1" x14ac:dyDescent="0.25">
      <c r="B14" s="46"/>
      <c r="C14" s="54"/>
      <c r="D14" s="11" t="s">
        <v>14</v>
      </c>
      <c r="E14" s="1">
        <v>101</v>
      </c>
      <c r="J14" s="49"/>
      <c r="K14" s="49"/>
      <c r="L14" s="49"/>
      <c r="M14" s="49"/>
      <c r="N14" s="49"/>
      <c r="O14" s="49"/>
    </row>
    <row r="15" spans="2:15" ht="14.45" customHeight="1" x14ac:dyDescent="0.25">
      <c r="B15" s="46"/>
      <c r="C15" s="54"/>
      <c r="D15" s="11" t="s">
        <v>1</v>
      </c>
      <c r="E15" s="1" t="s">
        <v>57</v>
      </c>
    </row>
    <row r="16" spans="2:15" ht="14.45" customHeight="1" x14ac:dyDescent="0.25">
      <c r="B16" s="46"/>
      <c r="C16" s="55"/>
      <c r="D16" s="11" t="s">
        <v>25</v>
      </c>
      <c r="E16" s="1" t="s">
        <v>5</v>
      </c>
      <c r="J16" s="40" t="s">
        <v>51</v>
      </c>
      <c r="K16" s="41"/>
      <c r="L16" s="42"/>
      <c r="M16" s="34">
        <v>0.50444053840035252</v>
      </c>
      <c r="N16" s="35"/>
      <c r="O16" s="36"/>
    </row>
    <row r="17" spans="2:15" ht="16.7" customHeight="1" x14ac:dyDescent="0.25">
      <c r="B17" s="46"/>
      <c r="C17" s="51" t="s">
        <v>26</v>
      </c>
      <c r="D17" s="11" t="s">
        <v>27</v>
      </c>
      <c r="E17" s="1">
        <v>100</v>
      </c>
      <c r="J17" s="43"/>
      <c r="K17" s="44"/>
      <c r="L17" s="45"/>
      <c r="M17" s="37"/>
      <c r="N17" s="38"/>
      <c r="O17" s="39"/>
    </row>
    <row r="18" spans="2:15" x14ac:dyDescent="0.25">
      <c r="B18" s="46"/>
      <c r="C18" s="51"/>
      <c r="D18" s="11" t="s">
        <v>28</v>
      </c>
      <c r="E18" s="4">
        <v>1E-8</v>
      </c>
      <c r="J18" s="40" t="s">
        <v>52</v>
      </c>
      <c r="K18" s="41"/>
      <c r="L18" s="42"/>
      <c r="M18" s="34">
        <v>1.9244416576036229E-2</v>
      </c>
      <c r="N18" s="35"/>
      <c r="O18" s="36"/>
    </row>
    <row r="19" spans="2:15" ht="18.75" customHeight="1" x14ac:dyDescent="0.25">
      <c r="J19" s="43"/>
      <c r="K19" s="44"/>
      <c r="L19" s="45"/>
      <c r="M19" s="37"/>
      <c r="N19" s="38"/>
      <c r="O19" s="39"/>
    </row>
    <row r="20" spans="2:15" ht="15.75" x14ac:dyDescent="0.25">
      <c r="B20" s="31" t="s">
        <v>17</v>
      </c>
      <c r="C20" s="28" t="s">
        <v>7</v>
      </c>
      <c r="D20" s="12" t="s">
        <v>30</v>
      </c>
      <c r="E20" s="13">
        <v>6.9370101134945727</v>
      </c>
      <c r="J20" s="40" t="s">
        <v>55</v>
      </c>
      <c r="K20" s="41"/>
      <c r="L20" s="42"/>
      <c r="M20" s="34">
        <v>0.36181734106099439</v>
      </c>
      <c r="N20" s="35"/>
      <c r="O20" s="36"/>
    </row>
    <row r="21" spans="2:15" ht="18" customHeight="1" x14ac:dyDescent="0.25">
      <c r="B21" s="32"/>
      <c r="C21" s="29"/>
      <c r="D21" s="12" t="s">
        <v>31</v>
      </c>
      <c r="E21" s="13">
        <v>6.6699689812041552</v>
      </c>
      <c r="J21" s="43"/>
      <c r="K21" s="44"/>
      <c r="L21" s="45"/>
      <c r="M21" s="37"/>
      <c r="N21" s="38"/>
      <c r="O21" s="39"/>
    </row>
    <row r="22" spans="2:15" ht="18.75" customHeight="1" x14ac:dyDescent="0.25">
      <c r="B22" s="32"/>
      <c r="C22" s="30"/>
      <c r="D22" s="12" t="s">
        <v>41</v>
      </c>
      <c r="E22" s="16">
        <f>(3*IVol^2)/(INbSteps*8*SQRT(2*PI())*SQRT(EXP(IVol^2)-1))</f>
        <v>3.1070978871970955E-4</v>
      </c>
      <c r="J22" s="40" t="s">
        <v>53</v>
      </c>
      <c r="K22" s="41"/>
      <c r="L22" s="42"/>
      <c r="M22" s="34">
        <v>61.790792616588242</v>
      </c>
      <c r="N22" s="35"/>
      <c r="O22" s="36"/>
    </row>
    <row r="23" spans="2:15" ht="18" customHeight="1" x14ac:dyDescent="0.25">
      <c r="B23" s="32"/>
      <c r="C23" s="28" t="s">
        <v>29</v>
      </c>
      <c r="D23" s="12" t="s">
        <v>32</v>
      </c>
      <c r="E23" s="14">
        <v>1.1796875</v>
      </c>
      <c r="J23" s="43"/>
      <c r="K23" s="44"/>
      <c r="L23" s="45"/>
      <c r="M23" s="37"/>
      <c r="N23" s="38"/>
      <c r="O23" s="39"/>
    </row>
    <row r="24" spans="2:15" ht="16.350000000000001" customHeight="1" x14ac:dyDescent="0.25">
      <c r="B24" s="32"/>
      <c r="C24" s="29"/>
      <c r="D24" s="12" t="s">
        <v>33</v>
      </c>
      <c r="E24" s="14">
        <v>0.1953125</v>
      </c>
      <c r="J24" s="40" t="s">
        <v>54</v>
      </c>
      <c r="K24" s="41"/>
      <c r="L24" s="42"/>
      <c r="M24" s="34">
        <v>35.759622232893619</v>
      </c>
      <c r="N24" s="35"/>
      <c r="O24" s="36"/>
    </row>
    <row r="25" spans="2:15" ht="16.350000000000001" customHeight="1" x14ac:dyDescent="0.25">
      <c r="B25" s="32"/>
      <c r="C25" s="30"/>
      <c r="D25" s="12" t="s">
        <v>34</v>
      </c>
      <c r="E25" s="15">
        <f>ITimeTree+IPriceTime</f>
        <v>1.375</v>
      </c>
      <c r="J25" s="43"/>
      <c r="K25" s="44"/>
      <c r="L25" s="45"/>
      <c r="M25" s="37"/>
      <c r="N25" s="38"/>
      <c r="O25" s="39"/>
    </row>
    <row r="26" spans="2:15" ht="15.75" x14ac:dyDescent="0.25">
      <c r="B26" s="32"/>
      <c r="C26" s="28" t="s">
        <v>48</v>
      </c>
      <c r="D26" s="12" t="s">
        <v>30</v>
      </c>
      <c r="E26" s="13">
        <v>6.9282593387414497</v>
      </c>
    </row>
    <row r="27" spans="2:15" x14ac:dyDescent="0.25">
      <c r="B27" s="32"/>
      <c r="C27" s="29"/>
      <c r="D27" s="12" t="s">
        <v>32</v>
      </c>
      <c r="E27" s="14">
        <v>0.21506667137145996</v>
      </c>
    </row>
    <row r="28" spans="2:15" x14ac:dyDescent="0.25">
      <c r="B28" s="32"/>
      <c r="C28" s="29"/>
      <c r="D28" s="12" t="s">
        <v>33</v>
      </c>
      <c r="E28" s="14">
        <v>3.0778884887695313E-2</v>
      </c>
    </row>
    <row r="29" spans="2:15" ht="15.75" x14ac:dyDescent="0.25">
      <c r="B29" s="33"/>
      <c r="C29" s="30"/>
      <c r="D29" s="12" t="s">
        <v>49</v>
      </c>
      <c r="E29" s="15">
        <f>IPythonTimeTree+IPythonPriceTime</f>
        <v>0.24584555625915527</v>
      </c>
    </row>
    <row r="30" spans="2:15" x14ac:dyDescent="0.25">
      <c r="B30" s="17"/>
      <c r="C30" s="17"/>
      <c r="D30" s="17"/>
      <c r="E30" s="17"/>
    </row>
    <row r="32" spans="2:15" x14ac:dyDescent="0.25">
      <c r="B32" s="10" t="s">
        <v>56</v>
      </c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4">
    <mergeCell ref="J16:L17"/>
    <mergeCell ref="M16:O17"/>
    <mergeCell ref="B1:E3"/>
    <mergeCell ref="J6:L7"/>
    <mergeCell ref="C20:C22"/>
    <mergeCell ref="C17:C18"/>
    <mergeCell ref="C6:C10"/>
    <mergeCell ref="C11:C16"/>
    <mergeCell ref="C26:C29"/>
    <mergeCell ref="B20:B29"/>
    <mergeCell ref="M18:O19"/>
    <mergeCell ref="M20:O21"/>
    <mergeCell ref="M22:O23"/>
    <mergeCell ref="M24:O25"/>
    <mergeCell ref="J18:L19"/>
    <mergeCell ref="J20:L21"/>
    <mergeCell ref="J22:L23"/>
    <mergeCell ref="J24:L25"/>
    <mergeCell ref="B6:B18"/>
    <mergeCell ref="C23:C25"/>
    <mergeCell ref="M6:O7"/>
    <mergeCell ref="J8:L9"/>
    <mergeCell ref="M8:O9"/>
    <mergeCell ref="J10:O14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ythonPrice">
                <anchor moveWithCells="1" sizeWithCells="1">
                  <from>
                    <xdr:col>5</xdr:col>
                    <xdr:colOff>57150</xdr:colOff>
                    <xdr:row>25</xdr:row>
                    <xdr:rowOff>19050</xdr:rowOff>
                  </from>
                  <to>
                    <xdr:col>7</xdr:col>
                    <xdr:colOff>552450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topLeftCell="BX43" zoomScale="85" zoomScaleNormal="85" workbookViewId="0">
      <selection activeCell="G10" sqref="G10"/>
    </sheetView>
  </sheetViews>
  <sheetFormatPr baseColWidth="10" defaultColWidth="9.140625" defaultRowHeight="15" x14ac:dyDescent="0.25"/>
  <cols>
    <col min="1" max="1" width="14.28515625" style="23" customWidth="1"/>
    <col min="2" max="16384" width="9.140625" style="23"/>
  </cols>
  <sheetData>
    <row r="1" spans="1:3" x14ac:dyDescent="0.25">
      <c r="A1" s="56" t="s">
        <v>19</v>
      </c>
      <c r="B1" s="56"/>
      <c r="C1" s="56"/>
    </row>
    <row r="2" spans="1:3" x14ac:dyDescent="0.25">
      <c r="A2" s="56"/>
      <c r="B2" s="56"/>
      <c r="C2" s="56"/>
    </row>
    <row r="3" spans="1:3" x14ac:dyDescent="0.25">
      <c r="A3" s="56"/>
      <c r="B3" s="56"/>
      <c r="C3" s="56"/>
    </row>
    <row r="48" spans="10:10" x14ac:dyDescent="0.25">
      <c r="J48" s="25"/>
    </row>
  </sheetData>
  <mergeCells count="1">
    <mergeCell ref="A1:C3"/>
  </mergeCells>
  <conditionalFormatting sqref="A4:XFD1048576 D1:XFD3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topLeftCell="BX52" zoomScale="85" zoomScaleNormal="85" workbookViewId="0">
      <selection activeCell="B14" sqref="B14:K14"/>
    </sheetView>
  </sheetViews>
  <sheetFormatPr baseColWidth="10" defaultColWidth="9.140625" defaultRowHeight="15" x14ac:dyDescent="0.25"/>
  <cols>
    <col min="1" max="1" width="14.5703125" style="23" customWidth="1"/>
    <col min="2" max="16384" width="9.140625" style="23"/>
  </cols>
  <sheetData>
    <row r="1" spans="1:3" x14ac:dyDescent="0.25">
      <c r="A1" s="56" t="s">
        <v>18</v>
      </c>
      <c r="B1" s="56"/>
      <c r="C1" s="56"/>
    </row>
    <row r="2" spans="1:3" x14ac:dyDescent="0.25">
      <c r="A2" s="56"/>
      <c r="B2" s="56"/>
      <c r="C2" s="56"/>
    </row>
    <row r="3" spans="1:3" x14ac:dyDescent="0.25">
      <c r="A3" s="56"/>
      <c r="B3" s="56"/>
      <c r="C3" s="56"/>
    </row>
  </sheetData>
  <mergeCells count="1">
    <mergeCell ref="A1:C3"/>
  </mergeCells>
  <conditionalFormatting sqref="A4:XFD1048576 A1 D1:XFD3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topLeftCell="BY43" zoomScale="70" zoomScaleNormal="70" workbookViewId="0">
      <selection activeCell="B15" sqref="B15:K15"/>
    </sheetView>
  </sheetViews>
  <sheetFormatPr baseColWidth="10" defaultColWidth="11.42578125" defaultRowHeight="15" x14ac:dyDescent="0.25"/>
  <cols>
    <col min="1" max="1" width="13.85546875" style="23" customWidth="1"/>
    <col min="2" max="16384" width="11.42578125" style="23"/>
  </cols>
  <sheetData>
    <row r="1" spans="1:3" x14ac:dyDescent="0.25">
      <c r="A1" s="56" t="s">
        <v>21</v>
      </c>
      <c r="B1" s="56"/>
      <c r="C1" s="56"/>
    </row>
    <row r="2" spans="1:3" x14ac:dyDescent="0.25">
      <c r="A2" s="56"/>
      <c r="B2" s="56"/>
      <c r="C2" s="56"/>
    </row>
    <row r="3" spans="1:3" x14ac:dyDescent="0.25">
      <c r="A3" s="56"/>
      <c r="B3" s="56"/>
      <c r="C3" s="56"/>
    </row>
  </sheetData>
  <mergeCells count="1">
    <mergeCell ref="A1:C3"/>
  </mergeCells>
  <conditionalFormatting sqref="A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D92C9-2F47-437B-8D45-FD2D7D9739CC}">
  <sheetPr codeName="Sheet4">
    <tabColor theme="5" tint="0.59999389629810485"/>
  </sheetPr>
  <dimension ref="V16"/>
  <sheetViews>
    <sheetView topLeftCell="A29" zoomScale="77" zoomScaleNormal="55" workbookViewId="0">
      <selection activeCell="Y15" sqref="Y15"/>
    </sheetView>
  </sheetViews>
  <sheetFormatPr baseColWidth="10" defaultColWidth="9.140625" defaultRowHeight="15" x14ac:dyDescent="0.25"/>
  <sheetData>
    <row r="16" spans="22:22" x14ac:dyDescent="0.25">
      <c r="V16" t="s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enerate_greeks_graphs">
                <anchor moveWithCells="1" sizeWithCells="1">
                  <from>
                    <xdr:col>17</xdr:col>
                    <xdr:colOff>57150</xdr:colOff>
                    <xdr:row>3</xdr:row>
                    <xdr:rowOff>95250</xdr:rowOff>
                  </from>
                  <to>
                    <xdr:col>20</xdr:col>
                    <xdr:colOff>542925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36" zoomScale="85" zoomScaleNormal="85" workbookViewId="0">
      <selection activeCell="S70" sqref="S70"/>
    </sheetView>
  </sheetViews>
  <sheetFormatPr baseColWidth="10" defaultColWidth="9.140625" defaultRowHeight="15" x14ac:dyDescent="0.25"/>
  <cols>
    <col min="1" max="2" width="9.140625" style="7"/>
    <col min="3" max="4" width="13.28515625" style="7" customWidth="1"/>
    <col min="5" max="5" width="15.7109375" style="7" customWidth="1"/>
    <col min="6" max="6" width="17.140625" style="7" customWidth="1"/>
    <col min="7" max="7" width="9.140625" style="7" customWidth="1"/>
    <col min="8" max="9" width="9.140625" style="7"/>
    <col min="10" max="10" width="9" style="7" customWidth="1"/>
    <col min="11" max="16384" width="9.140625" style="7"/>
  </cols>
  <sheetData>
    <row r="1" spans="1:10" x14ac:dyDescent="0.25">
      <c r="A1" s="57" t="s">
        <v>35</v>
      </c>
      <c r="B1" s="57"/>
      <c r="C1" s="57"/>
      <c r="H1" s="57" t="s">
        <v>38</v>
      </c>
      <c r="I1" s="57"/>
      <c r="J1" s="57"/>
    </row>
    <row r="2" spans="1:10" x14ac:dyDescent="0.25">
      <c r="A2" s="57"/>
      <c r="B2" s="57"/>
      <c r="C2" s="57"/>
      <c r="H2" s="57"/>
      <c r="I2" s="57"/>
      <c r="J2" s="57"/>
    </row>
    <row r="3" spans="1:10" x14ac:dyDescent="0.25">
      <c r="A3" s="57"/>
      <c r="B3" s="57"/>
      <c r="C3" s="57"/>
      <c r="H3" s="57"/>
      <c r="I3" s="57"/>
      <c r="J3" s="57"/>
    </row>
    <row r="4" spans="1:10" ht="12.4" customHeight="1" x14ac:dyDescent="0.25">
      <c r="A4" s="18"/>
      <c r="B4" s="18"/>
      <c r="C4" s="18"/>
    </row>
    <row r="5" spans="1:10" ht="16.5" thickBot="1" x14ac:dyDescent="0.3">
      <c r="A5" s="58" t="s">
        <v>37</v>
      </c>
      <c r="B5" s="58"/>
      <c r="C5" s="58"/>
      <c r="D5" s="58"/>
      <c r="E5" s="58"/>
      <c r="F5" s="58"/>
    </row>
    <row r="6" spans="1:10" ht="14.45" customHeight="1" x14ac:dyDescent="0.25">
      <c r="A6" s="61" t="s">
        <v>6</v>
      </c>
      <c r="B6" s="61" t="s">
        <v>7</v>
      </c>
      <c r="C6" s="61" t="s">
        <v>2</v>
      </c>
      <c r="D6" s="61" t="s">
        <v>20</v>
      </c>
      <c r="E6" s="61" t="s">
        <v>8</v>
      </c>
      <c r="F6" s="61" t="s">
        <v>9</v>
      </c>
    </row>
    <row r="7" spans="1:10" ht="14.45" customHeight="1" thickBot="1" x14ac:dyDescent="0.3">
      <c r="A7" s="62"/>
      <c r="B7" s="62"/>
      <c r="C7" s="62"/>
      <c r="D7" s="62"/>
      <c r="E7" s="62"/>
      <c r="F7" s="62"/>
    </row>
    <row r="8" spans="1:10" x14ac:dyDescent="0.25">
      <c r="A8" s="8">
        <f>1</f>
        <v>1</v>
      </c>
      <c r="B8" s="8">
        <v>9.7815897837004009</v>
      </c>
      <c r="C8" s="8">
        <v>0</v>
      </c>
      <c r="D8" s="8">
        <v>11.946724297682652</v>
      </c>
      <c r="E8" s="9">
        <f>IF(D8&lt;&gt;"" &amp; B8&lt;&gt;"",D8-B8,"")</f>
        <v>2.1651345139822507</v>
      </c>
      <c r="F8" s="9">
        <f>IF($E8&lt;&gt;"", $E8*$A8, "")</f>
        <v>2.1651345139822507</v>
      </c>
    </row>
    <row r="9" spans="1:10" x14ac:dyDescent="0.25">
      <c r="A9" s="6">
        <v>5</v>
      </c>
      <c r="B9" s="8">
        <v>11.709742865766286</v>
      </c>
      <c r="C9" s="6">
        <v>0</v>
      </c>
      <c r="D9" s="8">
        <v>11.946724297682652</v>
      </c>
      <c r="E9" s="9">
        <f t="shared" ref="E9:E56" si="0">IF(D9&lt;&gt;"" &amp; B9&lt;&gt;"",D9-B9,"")</f>
        <v>0.23698143191636589</v>
      </c>
      <c r="F9" s="5">
        <f t="shared" ref="F9:F56" si="1">IF($E9&lt;&gt;"", $E9*$A9, "")</f>
        <v>1.1849071595818295</v>
      </c>
    </row>
    <row r="10" spans="1:10" x14ac:dyDescent="0.25">
      <c r="A10" s="6">
        <v>10</v>
      </c>
      <c r="B10" s="8">
        <v>11.894039630881981</v>
      </c>
      <c r="C10" s="6">
        <v>0</v>
      </c>
      <c r="D10" s="8">
        <v>11.946724297682652</v>
      </c>
      <c r="E10" s="9">
        <f t="shared" si="0"/>
        <v>5.2684666800670854E-2</v>
      </c>
      <c r="F10" s="5">
        <f t="shared" si="1"/>
        <v>0.52684666800670854</v>
      </c>
    </row>
    <row r="11" spans="1:10" x14ac:dyDescent="0.25">
      <c r="A11" s="6">
        <v>20</v>
      </c>
      <c r="B11" s="8">
        <v>11.955106128445587</v>
      </c>
      <c r="C11" s="6">
        <v>0</v>
      </c>
      <c r="D11" s="8">
        <v>11.946724297682652</v>
      </c>
      <c r="E11" s="9">
        <f t="shared" si="0"/>
        <v>-8.3818307629357491E-3</v>
      </c>
      <c r="F11" s="5">
        <f t="shared" si="1"/>
        <v>-0.16763661525871498</v>
      </c>
    </row>
    <row r="12" spans="1:10" x14ac:dyDescent="0.25">
      <c r="A12" s="6">
        <v>30</v>
      </c>
      <c r="B12" s="8">
        <v>11.966097318427627</v>
      </c>
      <c r="C12" s="6">
        <v>7.8125E-3</v>
      </c>
      <c r="D12" s="8">
        <v>11.946724297682652</v>
      </c>
      <c r="E12" s="9">
        <f t="shared" si="0"/>
        <v>-1.9373020744975378E-2</v>
      </c>
      <c r="F12" s="5">
        <f t="shared" si="1"/>
        <v>-0.58119062234926133</v>
      </c>
    </row>
    <row r="13" spans="1:10" x14ac:dyDescent="0.25">
      <c r="A13" s="6">
        <v>50</v>
      </c>
      <c r="B13" s="8">
        <v>11.96766194127764</v>
      </c>
      <c r="C13" s="6">
        <v>7.8125E-3</v>
      </c>
      <c r="D13" s="8">
        <v>11.946724297682652</v>
      </c>
      <c r="E13" s="9">
        <f t="shared" si="0"/>
        <v>-2.0937643594988842E-2</v>
      </c>
      <c r="F13" s="5">
        <f t="shared" si="1"/>
        <v>-1.0468821797494421</v>
      </c>
    </row>
    <row r="14" spans="1:10" x14ac:dyDescent="0.25">
      <c r="A14" s="6">
        <v>75</v>
      </c>
      <c r="B14" s="8">
        <v>11.96387095466398</v>
      </c>
      <c r="C14" s="6">
        <v>2.34375E-2</v>
      </c>
      <c r="D14" s="8">
        <v>11.946724297682652</v>
      </c>
      <c r="E14" s="9">
        <f t="shared" si="0"/>
        <v>-1.7146656981328334E-2</v>
      </c>
      <c r="F14" s="5">
        <f t="shared" si="1"/>
        <v>-1.2859992735996251</v>
      </c>
    </row>
    <row r="15" spans="1:10" x14ac:dyDescent="0.25">
      <c r="A15" s="6">
        <v>100</v>
      </c>
      <c r="B15" s="8">
        <v>11.959873285370753</v>
      </c>
      <c r="C15" s="6">
        <v>2.34375E-2</v>
      </c>
      <c r="D15" s="8">
        <v>11.946724297682652</v>
      </c>
      <c r="E15" s="9">
        <f t="shared" si="0"/>
        <v>-1.3148987688101244E-2</v>
      </c>
      <c r="F15" s="5">
        <f t="shared" si="1"/>
        <v>-1.3148987688101244</v>
      </c>
    </row>
    <row r="16" spans="1:10" x14ac:dyDescent="0.25">
      <c r="A16" s="6">
        <v>125</v>
      </c>
      <c r="B16" s="8">
        <v>11.956403293059161</v>
      </c>
      <c r="C16" s="6">
        <v>4.6875E-2</v>
      </c>
      <c r="D16" s="8">
        <v>11.946724297682652</v>
      </c>
      <c r="E16" s="9">
        <f t="shared" si="0"/>
        <v>-9.6789953765092918E-3</v>
      </c>
      <c r="F16" s="5">
        <f t="shared" si="1"/>
        <v>-1.2098744220636615</v>
      </c>
    </row>
    <row r="17" spans="1:10" x14ac:dyDescent="0.25">
      <c r="A17" s="6">
        <f>A16+25</f>
        <v>150</v>
      </c>
      <c r="B17" s="8">
        <v>11.953457799421647</v>
      </c>
      <c r="C17" s="6">
        <v>5.859375E-2</v>
      </c>
      <c r="D17" s="8">
        <v>11.946724297682652</v>
      </c>
      <c r="E17" s="9">
        <f t="shared" si="0"/>
        <v>-6.7335017389957841E-3</v>
      </c>
      <c r="F17" s="5">
        <f t="shared" si="1"/>
        <v>-1.0100252608493676</v>
      </c>
    </row>
    <row r="18" spans="1:10" x14ac:dyDescent="0.25">
      <c r="A18" s="6">
        <f t="shared" ref="A18:A31" si="2">A17+25</f>
        <v>175</v>
      </c>
      <c r="B18" s="8">
        <v>11.95094103122441</v>
      </c>
      <c r="C18" s="6">
        <v>7.03125E-2</v>
      </c>
      <c r="D18" s="8">
        <v>11.946724297682652</v>
      </c>
      <c r="E18" s="9">
        <f t="shared" si="0"/>
        <v>-4.2167335417584439E-3</v>
      </c>
      <c r="F18" s="5">
        <f t="shared" si="1"/>
        <v>-0.73792836980772769</v>
      </c>
    </row>
    <row r="19" spans="1:10" ht="14.45" customHeight="1" x14ac:dyDescent="0.25">
      <c r="A19" s="6">
        <f t="shared" si="2"/>
        <v>200</v>
      </c>
      <c r="B19" s="8">
        <v>11.948767949234204</v>
      </c>
      <c r="C19" s="6">
        <v>9.375E-2</v>
      </c>
      <c r="D19" s="8">
        <v>11.946724297682652</v>
      </c>
      <c r="E19" s="9">
        <f t="shared" si="0"/>
        <v>-2.0436515515527276E-3</v>
      </c>
      <c r="F19" s="5">
        <f t="shared" si="1"/>
        <v>-0.40873031031054552</v>
      </c>
    </row>
    <row r="20" spans="1:10" ht="14.45" customHeight="1" x14ac:dyDescent="0.25">
      <c r="A20" s="6">
        <f t="shared" si="2"/>
        <v>225</v>
      </c>
      <c r="B20" s="8">
        <v>11.946873550480198</v>
      </c>
      <c r="C20" s="6">
        <v>0.109375</v>
      </c>
      <c r="D20" s="8">
        <v>11.946724297682652</v>
      </c>
      <c r="E20" s="9">
        <f t="shared" si="0"/>
        <v>-1.492527975468505E-4</v>
      </c>
      <c r="F20" s="5">
        <f t="shared" si="1"/>
        <v>-3.3581879448041363E-2</v>
      </c>
    </row>
    <row r="21" spans="1:10" ht="15" customHeight="1" x14ac:dyDescent="0.25">
      <c r="A21" s="6">
        <f>A20+25</f>
        <v>250</v>
      </c>
      <c r="B21" s="8">
        <v>11.945201085736254</v>
      </c>
      <c r="C21" s="6">
        <v>0.1328125</v>
      </c>
      <c r="D21" s="8">
        <v>11.946724297682652</v>
      </c>
      <c r="E21" s="9">
        <f t="shared" si="0"/>
        <v>1.5232119463970406E-3</v>
      </c>
      <c r="F21" s="5">
        <f>IF($E21&lt;&gt;"", $E21*$A21, "")</f>
        <v>0.38080298659926015</v>
      </c>
    </row>
    <row r="22" spans="1:10" x14ac:dyDescent="0.25">
      <c r="A22" s="6">
        <f>A21+25</f>
        <v>275</v>
      </c>
      <c r="B22" s="8">
        <v>11.943709076042806</v>
      </c>
      <c r="C22" s="6">
        <v>0.1484375</v>
      </c>
      <c r="D22" s="8">
        <v>11.946724297682652</v>
      </c>
      <c r="E22" s="9">
        <f t="shared" si="0"/>
        <v>3.0152216398455778E-3</v>
      </c>
      <c r="F22" s="5">
        <f t="shared" si="1"/>
        <v>0.82918595095753389</v>
      </c>
    </row>
    <row r="23" spans="1:10" x14ac:dyDescent="0.25">
      <c r="A23" s="6">
        <f t="shared" si="2"/>
        <v>300</v>
      </c>
      <c r="B23" s="8">
        <v>11.942372051919488</v>
      </c>
      <c r="C23" s="6">
        <v>0.203125</v>
      </c>
      <c r="D23" s="8">
        <v>11.946724297682652</v>
      </c>
      <c r="E23" s="9">
        <f t="shared" si="0"/>
        <v>4.3522457631635092E-3</v>
      </c>
      <c r="F23" s="5">
        <f t="shared" si="1"/>
        <v>1.3056737289490528</v>
      </c>
    </row>
    <row r="24" spans="1:10" x14ac:dyDescent="0.25">
      <c r="A24" s="6">
        <f t="shared" si="2"/>
        <v>325</v>
      </c>
      <c r="B24" s="8">
        <v>11.941162704939233</v>
      </c>
      <c r="C24" s="6">
        <v>0.203125</v>
      </c>
      <c r="D24" s="8">
        <v>11.946724297682652</v>
      </c>
      <c r="E24" s="9">
        <f t="shared" si="0"/>
        <v>5.5615927434189416E-3</v>
      </c>
      <c r="F24" s="5">
        <f t="shared" si="1"/>
        <v>1.807517641611156</v>
      </c>
    </row>
    <row r="25" spans="1:10" x14ac:dyDescent="0.25">
      <c r="A25" s="6">
        <f t="shared" si="2"/>
        <v>350</v>
      </c>
      <c r="B25" s="8">
        <v>11.940060888823833</v>
      </c>
      <c r="C25" s="6">
        <v>0.2109375</v>
      </c>
      <c r="D25" s="8">
        <v>11.946724297682652</v>
      </c>
      <c r="E25" s="9">
        <f t="shared" si="0"/>
        <v>6.6634088588184426E-3</v>
      </c>
      <c r="F25" s="5">
        <f t="shared" si="1"/>
        <v>2.3321931005864549</v>
      </c>
    </row>
    <row r="26" spans="1:10" x14ac:dyDescent="0.25">
      <c r="A26" s="6">
        <f t="shared" si="2"/>
        <v>375</v>
      </c>
      <c r="B26" s="8">
        <v>11.940203576241586</v>
      </c>
      <c r="C26" s="6">
        <v>0.23828125</v>
      </c>
      <c r="D26" s="8">
        <v>11.946724297682652</v>
      </c>
      <c r="E26" s="9">
        <f t="shared" si="0"/>
        <v>6.5207214410651915E-3</v>
      </c>
      <c r="F26" s="5">
        <f t="shared" si="1"/>
        <v>2.4452705403994468</v>
      </c>
    </row>
    <row r="27" spans="1:10" x14ac:dyDescent="0.25">
      <c r="A27" s="6">
        <f t="shared" si="2"/>
        <v>400</v>
      </c>
      <c r="B27" s="8">
        <v>11.941843158764884</v>
      </c>
      <c r="C27" s="6">
        <v>0.25</v>
      </c>
      <c r="D27" s="8">
        <v>11.946724297682652</v>
      </c>
      <c r="E27" s="9">
        <f t="shared" si="0"/>
        <v>4.8811389177672027E-3</v>
      </c>
      <c r="F27" s="5">
        <f t="shared" si="1"/>
        <v>1.9524555671068811</v>
      </c>
    </row>
    <row r="28" spans="1:10" x14ac:dyDescent="0.25">
      <c r="A28" s="6">
        <f t="shared" si="2"/>
        <v>425</v>
      </c>
      <c r="B28" s="8">
        <v>11.943174337886743</v>
      </c>
      <c r="C28" s="6">
        <v>0.28125</v>
      </c>
      <c r="D28" s="8">
        <v>11.946724297682652</v>
      </c>
      <c r="E28" s="9">
        <f t="shared" si="0"/>
        <v>3.5499597959081086E-3</v>
      </c>
      <c r="F28" s="5">
        <f t="shared" si="1"/>
        <v>1.5087329132609462</v>
      </c>
    </row>
    <row r="29" spans="1:10" x14ac:dyDescent="0.25">
      <c r="A29" s="6">
        <f t="shared" si="2"/>
        <v>450</v>
      </c>
      <c r="B29" s="8">
        <v>11.944256643242266</v>
      </c>
      <c r="C29" s="6">
        <v>0.296875</v>
      </c>
      <c r="D29" s="8">
        <v>11.946724297682652</v>
      </c>
      <c r="E29" s="9">
        <f t="shared" si="0"/>
        <v>2.4676544403856582E-3</v>
      </c>
      <c r="F29" s="5">
        <f t="shared" si="1"/>
        <v>1.1104444981735462</v>
      </c>
    </row>
    <row r="30" spans="1:10" x14ac:dyDescent="0.25">
      <c r="A30" s="6">
        <f t="shared" si="2"/>
        <v>475</v>
      </c>
      <c r="B30" s="8">
        <v>11.945143609095853</v>
      </c>
      <c r="C30" s="6">
        <v>0.3359375</v>
      </c>
      <c r="D30" s="8">
        <v>11.946724297682652</v>
      </c>
      <c r="E30" s="9">
        <f t="shared" si="0"/>
        <v>1.5806885867988285E-3</v>
      </c>
      <c r="F30" s="5">
        <f t="shared" si="1"/>
        <v>0.75082707872944354</v>
      </c>
    </row>
    <row r="31" spans="1:10" x14ac:dyDescent="0.25">
      <c r="A31" s="6">
        <f t="shared" si="2"/>
        <v>500</v>
      </c>
      <c r="B31" s="8">
        <v>11.945865217995129</v>
      </c>
      <c r="C31" s="6">
        <v>0.34765625</v>
      </c>
      <c r="D31" s="8">
        <v>11.946724297682652</v>
      </c>
      <c r="E31" s="9">
        <f t="shared" si="0"/>
        <v>8.5907968752252373E-4</v>
      </c>
      <c r="F31" s="5">
        <f t="shared" si="1"/>
        <v>0.42953984376126186</v>
      </c>
    </row>
    <row r="32" spans="1:10" x14ac:dyDescent="0.25">
      <c r="A32" s="6">
        <f>A31+50</f>
        <v>550</v>
      </c>
      <c r="B32" s="8">
        <v>11.946922972545082</v>
      </c>
      <c r="C32" s="6">
        <v>0.43359375</v>
      </c>
      <c r="D32" s="8">
        <v>11.946724297682652</v>
      </c>
      <c r="E32" s="9">
        <f t="shared" si="0"/>
        <v>-1.9867486243008159E-4</v>
      </c>
      <c r="F32" s="5">
        <f t="shared" si="1"/>
        <v>-0.10927117433654487</v>
      </c>
      <c r="H32" s="57" t="s">
        <v>39</v>
      </c>
      <c r="I32" s="57"/>
      <c r="J32" s="57"/>
    </row>
    <row r="33" spans="1:15" x14ac:dyDescent="0.25">
      <c r="A33" s="6">
        <f t="shared" ref="A33:A41" si="3">A32+50</f>
        <v>600</v>
      </c>
      <c r="B33" s="8">
        <v>11.947602557363272</v>
      </c>
      <c r="C33" s="6">
        <v>0.45703125</v>
      </c>
      <c r="D33" s="8">
        <v>11.946724297682652</v>
      </c>
      <c r="E33" s="9">
        <f t="shared" si="0"/>
        <v>-8.7825968062027471E-4</v>
      </c>
      <c r="F33" s="5">
        <f t="shared" si="1"/>
        <v>-0.52695580837216482</v>
      </c>
      <c r="H33" s="57"/>
      <c r="I33" s="57"/>
      <c r="J33" s="57"/>
      <c r="K33" s="59" t="s">
        <v>40</v>
      </c>
      <c r="L33" s="60"/>
      <c r="M33" s="60"/>
      <c r="N33" s="60"/>
      <c r="O33" s="60"/>
    </row>
    <row r="34" spans="1:15" x14ac:dyDescent="0.25">
      <c r="A34" s="6">
        <f t="shared" si="3"/>
        <v>650</v>
      </c>
      <c r="B34" s="8">
        <v>11.948012266654001</v>
      </c>
      <c r="C34" s="6">
        <v>0.53515625</v>
      </c>
      <c r="D34" s="8">
        <v>11.946724297682652</v>
      </c>
      <c r="E34" s="9">
        <f t="shared" si="0"/>
        <v>-1.2879689713489739E-3</v>
      </c>
      <c r="F34" s="5">
        <f t="shared" si="1"/>
        <v>-0.83717983137683305</v>
      </c>
      <c r="H34" s="57"/>
      <c r="I34" s="57"/>
      <c r="J34" s="57"/>
    </row>
    <row r="35" spans="1:15" x14ac:dyDescent="0.25">
      <c r="A35" s="6">
        <f t="shared" si="3"/>
        <v>700</v>
      </c>
      <c r="B35" s="8">
        <v>11.948228450987196</v>
      </c>
      <c r="C35" s="6">
        <v>0.6171875</v>
      </c>
      <c r="D35" s="8">
        <v>11.946724297682652</v>
      </c>
      <c r="E35" s="9">
        <f t="shared" si="0"/>
        <v>-1.5041533045447864E-3</v>
      </c>
      <c r="F35" s="5">
        <f t="shared" si="1"/>
        <v>-1.0529073131813504</v>
      </c>
      <c r="H35" s="7" t="s">
        <v>50</v>
      </c>
    </row>
    <row r="36" spans="1:15" x14ac:dyDescent="0.25">
      <c r="A36" s="6">
        <f t="shared" si="3"/>
        <v>750</v>
      </c>
      <c r="B36" s="8">
        <v>11.948303365415127</v>
      </c>
      <c r="C36" s="6">
        <v>0.6796875</v>
      </c>
      <c r="D36" s="8">
        <v>11.946724297682652</v>
      </c>
      <c r="E36" s="9">
        <f t="shared" si="0"/>
        <v>-1.5790677324751812E-3</v>
      </c>
      <c r="F36" s="5">
        <f t="shared" si="1"/>
        <v>-1.1843007993563859</v>
      </c>
    </row>
    <row r="37" spans="1:15" x14ac:dyDescent="0.25">
      <c r="A37" s="6">
        <f t="shared" si="3"/>
        <v>800</v>
      </c>
      <c r="B37" s="8">
        <v>11.948269499055217</v>
      </c>
      <c r="C37" s="6">
        <v>0.76953125</v>
      </c>
      <c r="D37" s="8">
        <v>11.946724297682652</v>
      </c>
      <c r="E37" s="9">
        <f t="shared" si="0"/>
        <v>-1.5452013725649749E-3</v>
      </c>
      <c r="F37" s="5">
        <f t="shared" si="1"/>
        <v>-1.2361610980519799</v>
      </c>
    </row>
    <row r="38" spans="1:15" x14ac:dyDescent="0.25">
      <c r="A38" s="6">
        <f t="shared" si="3"/>
        <v>850</v>
      </c>
      <c r="B38" s="8">
        <v>11.948161455521145</v>
      </c>
      <c r="C38" s="6">
        <v>0.85546875</v>
      </c>
      <c r="D38" s="8">
        <v>11.946724297682652</v>
      </c>
      <c r="E38" s="9">
        <f t="shared" si="0"/>
        <v>-1.4371578384935191E-3</v>
      </c>
      <c r="F38" s="5">
        <f t="shared" si="1"/>
        <v>-1.2215841627194912</v>
      </c>
    </row>
    <row r="39" spans="1:15" x14ac:dyDescent="0.25">
      <c r="A39" s="6">
        <f t="shared" si="3"/>
        <v>900</v>
      </c>
      <c r="B39" s="8">
        <v>11.947994428158472</v>
      </c>
      <c r="C39" s="6">
        <v>0.8984375</v>
      </c>
      <c r="D39" s="8">
        <v>11.946724297682652</v>
      </c>
      <c r="E39" s="9">
        <f t="shared" si="0"/>
        <v>-1.2701304758202525E-3</v>
      </c>
      <c r="F39" s="5">
        <f t="shared" si="1"/>
        <v>-1.1431174282382273</v>
      </c>
    </row>
    <row r="40" spans="1:15" x14ac:dyDescent="0.25">
      <c r="A40" s="6">
        <f>A39+50</f>
        <v>950</v>
      </c>
      <c r="B40" s="8">
        <v>11.94777912139287</v>
      </c>
      <c r="C40" s="6">
        <v>1</v>
      </c>
      <c r="D40" s="8">
        <v>11.946724297682652</v>
      </c>
      <c r="E40" s="9">
        <f t="shared" si="0"/>
        <v>-1.0548237102181446E-3</v>
      </c>
      <c r="F40" s="5">
        <f t="shared" si="1"/>
        <v>-1.0020825247072374</v>
      </c>
    </row>
    <row r="41" spans="1:15" x14ac:dyDescent="0.25">
      <c r="A41" s="6">
        <f t="shared" si="3"/>
        <v>1000</v>
      </c>
      <c r="B41" s="8">
        <v>11.947536146085461</v>
      </c>
      <c r="C41" s="6">
        <v>1.01953125</v>
      </c>
      <c r="D41" s="8">
        <v>11.946724297682652</v>
      </c>
      <c r="E41" s="9">
        <f t="shared" si="0"/>
        <v>-8.1184840280990045E-4</v>
      </c>
      <c r="F41" s="5">
        <f t="shared" si="1"/>
        <v>-0.81184840280990045</v>
      </c>
    </row>
    <row r="42" spans="1:15" x14ac:dyDescent="0.25">
      <c r="A42" s="6">
        <f>A41+100</f>
        <v>1100</v>
      </c>
      <c r="B42" s="8">
        <v>11.946974618847664</v>
      </c>
      <c r="C42" s="6">
        <v>1.34375</v>
      </c>
      <c r="D42" s="8">
        <v>11.946724297682652</v>
      </c>
      <c r="E42" s="9">
        <f t="shared" si="0"/>
        <v>-2.503211650122239E-4</v>
      </c>
      <c r="F42" s="5">
        <f t="shared" si="1"/>
        <v>-0.27535328151344629</v>
      </c>
    </row>
    <row r="43" spans="1:15" x14ac:dyDescent="0.25">
      <c r="A43" s="6">
        <f t="shared" ref="A43:A56" si="4">A42+100</f>
        <v>1200</v>
      </c>
      <c r="B43" s="8">
        <v>11.946367077881254</v>
      </c>
      <c r="C43" s="6">
        <v>1.328125</v>
      </c>
      <c r="D43" s="8">
        <v>11.946724297682652</v>
      </c>
      <c r="E43" s="9">
        <f t="shared" si="0"/>
        <v>3.5721980139769016E-4</v>
      </c>
      <c r="F43" s="5">
        <f t="shared" si="1"/>
        <v>0.42866376167722819</v>
      </c>
    </row>
    <row r="44" spans="1:15" x14ac:dyDescent="0.25">
      <c r="A44" s="6">
        <f t="shared" si="4"/>
        <v>1300</v>
      </c>
      <c r="B44" s="8">
        <v>11.945730931265341</v>
      </c>
      <c r="C44" s="6">
        <v>1.546875</v>
      </c>
      <c r="D44" s="8">
        <v>11.946724297682652</v>
      </c>
      <c r="E44" s="9">
        <f t="shared" si="0"/>
        <v>9.9336641731007091E-4</v>
      </c>
      <c r="F44" s="5">
        <f t="shared" si="1"/>
        <v>1.2913763425030922</v>
      </c>
    </row>
    <row r="45" spans="1:15" x14ac:dyDescent="0.25">
      <c r="A45" s="6">
        <f t="shared" si="4"/>
        <v>1400</v>
      </c>
      <c r="B45" s="8">
        <v>11.945087906029372</v>
      </c>
      <c r="C45" s="6">
        <v>1.84765625</v>
      </c>
      <c r="D45" s="8">
        <v>11.946724297682652</v>
      </c>
      <c r="E45" s="9">
        <f t="shared" si="0"/>
        <v>1.6363916532800005E-3</v>
      </c>
      <c r="F45" s="5">
        <f t="shared" si="1"/>
        <v>2.2909483145920007</v>
      </c>
    </row>
    <row r="46" spans="1:15" x14ac:dyDescent="0.25">
      <c r="A46" s="6">
        <f t="shared" si="4"/>
        <v>1500</v>
      </c>
      <c r="B46" s="8">
        <v>11.945023271121354</v>
      </c>
      <c r="C46" s="6">
        <v>1.8125</v>
      </c>
      <c r="D46" s="8">
        <v>11.946724297682652</v>
      </c>
      <c r="E46" s="9">
        <f t="shared" si="0"/>
        <v>1.7010265612977804E-3</v>
      </c>
      <c r="F46" s="5">
        <f t="shared" si="1"/>
        <v>2.5515398419466706</v>
      </c>
    </row>
    <row r="47" spans="1:15" x14ac:dyDescent="0.25">
      <c r="A47" s="6">
        <f t="shared" si="4"/>
        <v>1600</v>
      </c>
      <c r="B47" s="8">
        <v>11.945676740838824</v>
      </c>
      <c r="C47" s="6">
        <v>2.109375</v>
      </c>
      <c r="D47" s="8">
        <v>11.946724297682652</v>
      </c>
      <c r="E47" s="9">
        <f t="shared" si="0"/>
        <v>1.047556843827735E-3</v>
      </c>
      <c r="F47" s="5">
        <f t="shared" si="1"/>
        <v>1.6760909501243759</v>
      </c>
    </row>
    <row r="48" spans="1:15" x14ac:dyDescent="0.25">
      <c r="A48" s="6">
        <f t="shared" si="4"/>
        <v>1700</v>
      </c>
      <c r="B48" s="8">
        <v>11.946157270166964</v>
      </c>
      <c r="C48" s="6">
        <v>2.1328125</v>
      </c>
      <c r="D48" s="8">
        <v>11.946724297682652</v>
      </c>
      <c r="E48" s="9">
        <f t="shared" si="0"/>
        <v>5.6702751568771248E-4</v>
      </c>
      <c r="F48" s="5">
        <f t="shared" si="1"/>
        <v>0.96394677666911122</v>
      </c>
    </row>
    <row r="49" spans="1:6" x14ac:dyDescent="0.25">
      <c r="A49" s="6">
        <f t="shared" si="4"/>
        <v>1800</v>
      </c>
      <c r="B49" s="8">
        <v>11.946500306401445</v>
      </c>
      <c r="C49" s="6">
        <v>2.42578125</v>
      </c>
      <c r="D49" s="8">
        <v>11.946724297682652</v>
      </c>
      <c r="E49" s="9">
        <f t="shared" si="0"/>
        <v>2.23991281206537E-4</v>
      </c>
      <c r="F49" s="5">
        <f t="shared" si="1"/>
        <v>0.40318430617176659</v>
      </c>
    </row>
    <row r="50" spans="1:6" x14ac:dyDescent="0.25">
      <c r="A50" s="6">
        <f t="shared" si="4"/>
        <v>1900</v>
      </c>
      <c r="B50" s="6">
        <v>11.94673156350974</v>
      </c>
      <c r="C50" s="6">
        <v>2.671875</v>
      </c>
      <c r="D50" s="8">
        <v>11.946724297682652</v>
      </c>
      <c r="E50" s="9">
        <f t="shared" si="0"/>
        <v>-7.2658270884318199E-6</v>
      </c>
      <c r="F50" s="5">
        <f t="shared" si="1"/>
        <v>-1.3805071468020458E-2</v>
      </c>
    </row>
    <row r="51" spans="1:6" x14ac:dyDescent="0.25">
      <c r="A51" s="6">
        <f t="shared" si="4"/>
        <v>2000</v>
      </c>
      <c r="B51" s="6">
        <v>11.946876664948501</v>
      </c>
      <c r="C51" s="6">
        <v>2.7109375</v>
      </c>
      <c r="D51" s="8">
        <v>11.946724297682652</v>
      </c>
      <c r="E51" s="9">
        <f t="shared" si="0"/>
        <v>-1.523672658496622E-4</v>
      </c>
      <c r="F51" s="5">
        <f t="shared" si="1"/>
        <v>-0.30473453169932441</v>
      </c>
    </row>
    <row r="52" spans="1:6" x14ac:dyDescent="0.25">
      <c r="A52" s="6">
        <f t="shared" si="4"/>
        <v>2100</v>
      </c>
      <c r="B52" s="6">
        <v>11.94695188548852</v>
      </c>
      <c r="C52" s="6">
        <v>3.04296875</v>
      </c>
      <c r="D52" s="8">
        <v>11.946724297682652</v>
      </c>
      <c r="E52" s="9">
        <f t="shared" si="0"/>
        <v>-2.2758780586862315E-4</v>
      </c>
      <c r="F52" s="5">
        <f t="shared" si="1"/>
        <v>-0.47793439232410861</v>
      </c>
    </row>
    <row r="53" spans="1:6" x14ac:dyDescent="0.25">
      <c r="A53" s="6">
        <f t="shared" si="4"/>
        <v>2200</v>
      </c>
      <c r="B53" s="6">
        <v>11.946966373051616</v>
      </c>
      <c r="C53" s="6">
        <v>3.1875</v>
      </c>
      <c r="D53" s="8">
        <v>11.946724297682652</v>
      </c>
      <c r="E53" s="9">
        <f t="shared" si="0"/>
        <v>-2.4207536896447834E-4</v>
      </c>
      <c r="F53" s="5">
        <f t="shared" si="1"/>
        <v>-0.53256581172185236</v>
      </c>
    </row>
    <row r="54" spans="1:6" x14ac:dyDescent="0.25">
      <c r="A54" s="6">
        <f t="shared" si="4"/>
        <v>2300</v>
      </c>
      <c r="B54" s="6">
        <v>11.946935529639404</v>
      </c>
      <c r="C54" s="6">
        <v>3.34375</v>
      </c>
      <c r="D54" s="8">
        <v>11.946724297682652</v>
      </c>
      <c r="E54" s="9">
        <f t="shared" si="0"/>
        <v>-2.1123195675265549E-4</v>
      </c>
      <c r="F54" s="5">
        <f t="shared" si="1"/>
        <v>-0.48583350053110763</v>
      </c>
    </row>
    <row r="55" spans="1:6" x14ac:dyDescent="0.25">
      <c r="A55" s="6">
        <f t="shared" si="4"/>
        <v>2400</v>
      </c>
      <c r="B55" s="6">
        <v>11.946868110948067</v>
      </c>
      <c r="C55" s="6">
        <v>3.515625</v>
      </c>
      <c r="D55" s="8">
        <v>11.946724297682652</v>
      </c>
      <c r="E55" s="9">
        <f t="shared" si="0"/>
        <v>-1.4381326541546002E-4</v>
      </c>
      <c r="F55" s="5">
        <f t="shared" si="1"/>
        <v>-0.34515183699710406</v>
      </c>
    </row>
    <row r="56" spans="1:6" x14ac:dyDescent="0.25">
      <c r="A56" s="6">
        <f t="shared" si="4"/>
        <v>2500</v>
      </c>
      <c r="B56" s="6">
        <v>11.946770031892383</v>
      </c>
      <c r="C56" s="6">
        <v>3.81640625</v>
      </c>
      <c r="D56" s="8">
        <v>11.946724297682652</v>
      </c>
      <c r="E56" s="9">
        <f t="shared" si="0"/>
        <v>-4.5734209731307374E-5</v>
      </c>
      <c r="F56" s="5">
        <f t="shared" si="1"/>
        <v>-0.11433552432826843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933450</xdr:colOff>
                    <xdr:row>0</xdr:row>
                    <xdr:rowOff>76200</xdr:rowOff>
                  </from>
                  <to>
                    <xdr:col>5</xdr:col>
                    <xdr:colOff>1209675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400050</xdr:colOff>
                    <xdr:row>31</xdr:row>
                    <xdr:rowOff>19050</xdr:rowOff>
                  </from>
                  <to>
                    <xdr:col>19</xdr:col>
                    <xdr:colOff>257175</xdr:colOff>
                    <xdr:row>33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="85" zoomScaleNormal="85" workbookViewId="0">
      <selection activeCell="H36" sqref="H36"/>
    </sheetView>
  </sheetViews>
  <sheetFormatPr baseColWidth="10" defaultColWidth="9" defaultRowHeight="15" x14ac:dyDescent="0.25"/>
  <cols>
    <col min="1" max="1" width="16" style="7" customWidth="1"/>
    <col min="2" max="2" width="14.7109375" style="7" customWidth="1"/>
    <col min="3" max="3" width="13" style="7" customWidth="1"/>
    <col min="4" max="4" width="15.140625" style="7" customWidth="1"/>
    <col min="5" max="5" width="15.42578125" style="7" customWidth="1"/>
    <col min="6" max="6" width="15.140625" style="7" customWidth="1"/>
    <col min="7" max="16384" width="9" style="7"/>
  </cols>
  <sheetData>
    <row r="1" spans="1:8" x14ac:dyDescent="0.25">
      <c r="A1" s="63" t="s">
        <v>42</v>
      </c>
      <c r="B1" s="63"/>
      <c r="C1" s="63"/>
    </row>
    <row r="2" spans="1:8" x14ac:dyDescent="0.25">
      <c r="A2" s="63"/>
      <c r="B2" s="63"/>
      <c r="C2" s="63"/>
    </row>
    <row r="3" spans="1:8" x14ac:dyDescent="0.25">
      <c r="A3" s="63"/>
      <c r="B3" s="63"/>
      <c r="C3" s="63"/>
    </row>
    <row r="4" spans="1:8" x14ac:dyDescent="0.25">
      <c r="H4" s="24"/>
    </row>
    <row r="5" spans="1:8" ht="16.5" thickBot="1" x14ac:dyDescent="0.3">
      <c r="A5" s="58" t="s">
        <v>37</v>
      </c>
      <c r="B5" s="58"/>
      <c r="C5" s="58"/>
      <c r="D5" s="58"/>
      <c r="E5" s="58"/>
      <c r="F5" s="58"/>
    </row>
    <row r="6" spans="1:8" ht="27.75" customHeight="1" x14ac:dyDescent="0.25">
      <c r="A6" s="19" t="s">
        <v>14</v>
      </c>
      <c r="B6" s="19" t="s">
        <v>30</v>
      </c>
      <c r="C6" s="19" t="s">
        <v>31</v>
      </c>
      <c r="D6" s="19" t="s">
        <v>43</v>
      </c>
      <c r="E6" s="19" t="s">
        <v>44</v>
      </c>
      <c r="F6" s="19" t="s">
        <v>45</v>
      </c>
    </row>
    <row r="7" spans="1:8" x14ac:dyDescent="0.25">
      <c r="A7" s="21">
        <v>85</v>
      </c>
      <c r="B7" s="22">
        <v>18.537831183939122</v>
      </c>
      <c r="C7" s="20">
        <v>18.557453520816349</v>
      </c>
      <c r="D7" s="20"/>
      <c r="E7" s="20"/>
      <c r="F7" s="20">
        <f t="shared" ref="F7:F37" si="0">B7-C7</f>
        <v>-1.9622336877226587E-2</v>
      </c>
    </row>
    <row r="8" spans="1:8" x14ac:dyDescent="0.25">
      <c r="A8" s="21">
        <v>86</v>
      </c>
      <c r="B8" s="22">
        <v>17.775688155512995</v>
      </c>
      <c r="C8" s="20">
        <v>17.772753824089548</v>
      </c>
      <c r="D8" s="20">
        <f t="shared" ref="D8:D37" si="1">(B8-B7)/(A8-A7)</f>
        <v>-0.76214302842612724</v>
      </c>
      <c r="E8" s="20">
        <f t="shared" ref="E8:E37" si="2">(C8-C7)/(A8-A7)</f>
        <v>-0.78469969672680051</v>
      </c>
      <c r="F8" s="20">
        <f t="shared" si="0"/>
        <v>2.9343314234466789E-3</v>
      </c>
    </row>
    <row r="9" spans="1:8" x14ac:dyDescent="0.25">
      <c r="A9" s="21">
        <v>87</v>
      </c>
      <c r="B9" s="22">
        <v>17.017040564180359</v>
      </c>
      <c r="C9" s="20">
        <v>17.004944224057656</v>
      </c>
      <c r="D9" s="20">
        <f t="shared" si="1"/>
        <v>-0.75864759133263604</v>
      </c>
      <c r="E9" s="20">
        <f t="shared" si="2"/>
        <v>-0.76780960003189236</v>
      </c>
      <c r="F9" s="20">
        <f t="shared" si="0"/>
        <v>1.2096340122702998E-2</v>
      </c>
    </row>
    <row r="10" spans="1:8" x14ac:dyDescent="0.25">
      <c r="A10" s="21">
        <v>88</v>
      </c>
      <c r="B10" s="22">
        <v>16.258392972847737</v>
      </c>
      <c r="C10" s="20">
        <v>16.254657341687196</v>
      </c>
      <c r="D10" s="20">
        <f t="shared" si="1"/>
        <v>-0.75864759133262183</v>
      </c>
      <c r="E10" s="20">
        <f t="shared" si="2"/>
        <v>-0.75028688237046026</v>
      </c>
      <c r="F10" s="20">
        <f t="shared" si="0"/>
        <v>3.7356311605414305E-3</v>
      </c>
    </row>
    <row r="11" spans="1:8" x14ac:dyDescent="0.25">
      <c r="A11" s="21">
        <v>89</v>
      </c>
      <c r="B11" s="22">
        <v>15.499745381515105</v>
      </c>
      <c r="C11" s="20">
        <v>15.522476166772192</v>
      </c>
      <c r="D11" s="20">
        <f t="shared" si="1"/>
        <v>-0.75864759133263249</v>
      </c>
      <c r="E11" s="20">
        <f t="shared" si="2"/>
        <v>-0.73218117491500401</v>
      </c>
      <c r="F11" s="20">
        <f t="shared" si="0"/>
        <v>-2.2730785257087049E-2</v>
      </c>
    </row>
    <row r="12" spans="1:8" x14ac:dyDescent="0.25">
      <c r="A12" s="21">
        <v>90</v>
      </c>
      <c r="B12" s="22">
        <v>14.809890283291388</v>
      </c>
      <c r="C12" s="20">
        <v>14.808930082533323</v>
      </c>
      <c r="D12" s="20">
        <f t="shared" si="1"/>
        <v>-0.68985509822371682</v>
      </c>
      <c r="E12" s="20">
        <f t="shared" si="2"/>
        <v>-0.71354608423886923</v>
      </c>
      <c r="F12" s="20">
        <f t="shared" si="0"/>
        <v>9.6020075806535488E-4</v>
      </c>
    </row>
    <row r="13" spans="1:8" x14ac:dyDescent="0.25">
      <c r="A13" s="21">
        <v>91</v>
      </c>
      <c r="B13" s="22">
        <v>14.128942815622574</v>
      </c>
      <c r="C13" s="20">
        <v>14.11449152425075</v>
      </c>
      <c r="D13" s="20">
        <f t="shared" si="1"/>
        <v>-0.68094746766881364</v>
      </c>
      <c r="E13" s="20">
        <f t="shared" si="2"/>
        <v>-0.69443855828257206</v>
      </c>
      <c r="F13" s="20">
        <f t="shared" si="0"/>
        <v>1.4451291371823771E-2</v>
      </c>
    </row>
    <row r="14" spans="1:8" x14ac:dyDescent="0.25">
      <c r="A14" s="21">
        <v>92</v>
      </c>
      <c r="B14" s="22">
        <v>13.447995347953755</v>
      </c>
      <c r="C14" s="20">
        <v>13.439573293972</v>
      </c>
      <c r="D14" s="20">
        <f t="shared" si="1"/>
        <v>-0.68094746766881897</v>
      </c>
      <c r="E14" s="20">
        <f t="shared" si="2"/>
        <v>-0.67491823027875064</v>
      </c>
      <c r="F14" s="20">
        <f t="shared" si="0"/>
        <v>8.4220539817554396E-3</v>
      </c>
    </row>
    <row r="15" spans="1:8" x14ac:dyDescent="0.25">
      <c r="A15" s="21">
        <v>93</v>
      </c>
      <c r="B15" s="22">
        <v>12.767047880284938</v>
      </c>
      <c r="C15" s="20">
        <v>12.784526540860206</v>
      </c>
      <c r="D15" s="20">
        <f t="shared" si="1"/>
        <v>-0.6809474676688172</v>
      </c>
      <c r="E15" s="20">
        <f t="shared" si="2"/>
        <v>-0.65504675311179383</v>
      </c>
      <c r="F15" s="20">
        <f t="shared" si="0"/>
        <v>-1.7478660575267924E-2</v>
      </c>
    </row>
    <row r="16" spans="1:8" x14ac:dyDescent="0.25">
      <c r="A16" s="21">
        <v>94</v>
      </c>
      <c r="B16" s="22">
        <v>12.141761458292354</v>
      </c>
      <c r="C16" s="20">
        <v>12.149639404976437</v>
      </c>
      <c r="D16" s="20">
        <f t="shared" si="1"/>
        <v>-0.625286421992584</v>
      </c>
      <c r="E16" s="20">
        <f t="shared" si="2"/>
        <v>-0.6348871358837691</v>
      </c>
      <c r="F16" s="20">
        <f t="shared" si="0"/>
        <v>-7.877946684082815E-3</v>
      </c>
    </row>
    <row r="17" spans="1:6" x14ac:dyDescent="0.25">
      <c r="A17" s="21">
        <v>95</v>
      </c>
      <c r="B17" s="22">
        <v>11.549011154645457</v>
      </c>
      <c r="C17" s="20">
        <v>11.535136311442656</v>
      </c>
      <c r="D17" s="20">
        <f t="shared" si="1"/>
        <v>-0.59275030364689663</v>
      </c>
      <c r="E17" s="20">
        <f t="shared" si="2"/>
        <v>-0.61450309353378074</v>
      </c>
      <c r="F17" s="20">
        <f t="shared" si="0"/>
        <v>1.3874843202801301E-2</v>
      </c>
    </row>
    <row r="18" spans="1:6" x14ac:dyDescent="0.25">
      <c r="A18" s="21">
        <v>96</v>
      </c>
      <c r="B18" s="22">
        <v>10.956260850998561</v>
      </c>
      <c r="C18" s="20">
        <v>10.94117789217942</v>
      </c>
      <c r="D18" s="20">
        <f t="shared" si="1"/>
        <v>-0.59275030364689663</v>
      </c>
      <c r="E18" s="20">
        <f t="shared" si="2"/>
        <v>-0.59395841926323634</v>
      </c>
      <c r="F18" s="20">
        <f t="shared" si="0"/>
        <v>1.5082958819141012E-2</v>
      </c>
    </row>
    <row r="19" spans="1:6" x14ac:dyDescent="0.25">
      <c r="A19" s="21">
        <v>97</v>
      </c>
      <c r="B19" s="22">
        <v>10.36351054735167</v>
      </c>
      <c r="C19" s="20">
        <v>10.367861503876265</v>
      </c>
      <c r="D19" s="20">
        <f t="shared" si="1"/>
        <v>-0.5927503036468913</v>
      </c>
      <c r="E19" s="20">
        <f t="shared" si="2"/>
        <v>-0.57331638830315512</v>
      </c>
      <c r="F19" s="20">
        <f t="shared" si="0"/>
        <v>-4.350956524595162E-3</v>
      </c>
    </row>
    <row r="20" spans="1:6" x14ac:dyDescent="0.25">
      <c r="A20" s="21">
        <v>98</v>
      </c>
      <c r="B20" s="22">
        <v>9.7871408656996124</v>
      </c>
      <c r="C20" s="20">
        <v>9.8152223036131776</v>
      </c>
      <c r="D20" s="20">
        <f t="shared" si="1"/>
        <v>-0.57636968165205715</v>
      </c>
      <c r="E20" s="20">
        <f t="shared" si="2"/>
        <v>-0.5526392002630871</v>
      </c>
      <c r="F20" s="20">
        <f t="shared" si="0"/>
        <v>-2.808143791356521E-2</v>
      </c>
    </row>
    <row r="21" spans="1:6" x14ac:dyDescent="0.25">
      <c r="A21" s="21">
        <v>99</v>
      </c>
      <c r="B21" s="22">
        <v>9.2886718790468965</v>
      </c>
      <c r="C21" s="20">
        <v>9.2832348376403964</v>
      </c>
      <c r="D21" s="20">
        <f t="shared" si="1"/>
        <v>-0.49846898665271588</v>
      </c>
      <c r="E21" s="20">
        <f t="shared" si="2"/>
        <v>-0.53198746597278124</v>
      </c>
      <c r="F21" s="20">
        <f t="shared" si="0"/>
        <v>5.4370414065001427E-3</v>
      </c>
    </row>
    <row r="22" spans="1:6" x14ac:dyDescent="0.25">
      <c r="A22" s="21">
        <v>100</v>
      </c>
      <c r="B22" s="22">
        <v>8.7902028923941913</v>
      </c>
      <c r="C22" s="20">
        <v>8.7718150942428643</v>
      </c>
      <c r="D22" s="20">
        <f t="shared" si="1"/>
        <v>-0.49846898665270523</v>
      </c>
      <c r="E22" s="20">
        <f t="shared" si="2"/>
        <v>-0.51141974339753205</v>
      </c>
      <c r="F22" s="20">
        <f t="shared" si="0"/>
        <v>1.8387798151326962E-2</v>
      </c>
    </row>
    <row r="23" spans="1:6" x14ac:dyDescent="0.25">
      <c r="A23" s="21">
        <v>101</v>
      </c>
      <c r="B23" s="22">
        <v>8.2917339057414825</v>
      </c>
      <c r="C23" s="20">
        <v>8.280822968326218</v>
      </c>
      <c r="D23" s="20">
        <f t="shared" si="1"/>
        <v>-0.49846898665270878</v>
      </c>
      <c r="E23" s="20">
        <f t="shared" si="2"/>
        <v>-0.49099212591664632</v>
      </c>
      <c r="F23" s="20">
        <f t="shared" si="0"/>
        <v>1.0910937415264499E-2</v>
      </c>
    </row>
    <row r="24" spans="1:6" x14ac:dyDescent="0.25">
      <c r="A24" s="21">
        <v>102</v>
      </c>
      <c r="B24" s="22">
        <v>7.7932649190887728</v>
      </c>
      <c r="C24" s="20">
        <v>7.8100650833030807</v>
      </c>
      <c r="D24" s="20">
        <f t="shared" si="1"/>
        <v>-0.49846898665270967</v>
      </c>
      <c r="E24" s="20">
        <f t="shared" si="2"/>
        <v>-0.47075788502313731</v>
      </c>
      <c r="F24" s="20">
        <f t="shared" si="0"/>
        <v>-1.6800164214307856E-2</v>
      </c>
    </row>
    <row r="25" spans="1:6" x14ac:dyDescent="0.25">
      <c r="A25" s="21">
        <v>103</v>
      </c>
      <c r="B25" s="22">
        <v>7.342594373028267</v>
      </c>
      <c r="C25" s="20">
        <v>7.3592979149446602</v>
      </c>
      <c r="D25" s="20">
        <f t="shared" si="1"/>
        <v>-0.45067054606050583</v>
      </c>
      <c r="E25" s="20">
        <f t="shared" si="2"/>
        <v>-0.45076716835842046</v>
      </c>
      <c r="F25" s="20">
        <f t="shared" si="0"/>
        <v>-1.6703541916393227E-2</v>
      </c>
    </row>
    <row r="26" spans="1:6" x14ac:dyDescent="0.25">
      <c r="A26" s="21">
        <v>104</v>
      </c>
      <c r="B26" s="22">
        <v>6.9390397446404135</v>
      </c>
      <c r="C26" s="20">
        <v>6.9282311619920769</v>
      </c>
      <c r="D26" s="20">
        <f t="shared" si="1"/>
        <v>-0.4035546283878535</v>
      </c>
      <c r="E26" s="20">
        <f t="shared" si="2"/>
        <v>-0.43106675295258334</v>
      </c>
      <c r="F26" s="20">
        <f t="shared" si="0"/>
        <v>1.0808582648336618E-2</v>
      </c>
    </row>
    <row r="27" spans="1:6" x14ac:dyDescent="0.25">
      <c r="A27" s="21">
        <v>105</v>
      </c>
      <c r="B27" s="22">
        <v>6.5354851162525591</v>
      </c>
      <c r="C27" s="20">
        <v>6.5165313093791717</v>
      </c>
      <c r="D27" s="20">
        <f t="shared" si="1"/>
        <v>-0.40355462838785439</v>
      </c>
      <c r="E27" s="20">
        <f t="shared" si="2"/>
        <v>-0.4116998526129052</v>
      </c>
      <c r="F27" s="20">
        <f t="shared" si="0"/>
        <v>1.8953806873387435E-2</v>
      </c>
    </row>
    <row r="28" spans="1:6" x14ac:dyDescent="0.25">
      <c r="A28" s="21">
        <v>106</v>
      </c>
      <c r="B28" s="22">
        <v>6.1319304878647047</v>
      </c>
      <c r="C28" s="20">
        <v>6.1238253317824922</v>
      </c>
      <c r="D28" s="20">
        <f t="shared" si="1"/>
        <v>-0.40355462838785439</v>
      </c>
      <c r="E28" s="20">
        <f t="shared" si="2"/>
        <v>-0.39270597759667947</v>
      </c>
      <c r="F28" s="20">
        <f t="shared" si="0"/>
        <v>8.1051560822125168E-3</v>
      </c>
    </row>
    <row r="29" spans="1:6" x14ac:dyDescent="0.25">
      <c r="A29" s="21">
        <v>107</v>
      </c>
      <c r="B29" s="22">
        <v>5.7283758594768539</v>
      </c>
      <c r="C29" s="20">
        <v>5.7497044877590886</v>
      </c>
      <c r="D29" s="20">
        <f t="shared" si="1"/>
        <v>-0.40355462838785083</v>
      </c>
      <c r="E29" s="20">
        <f t="shared" si="2"/>
        <v>-0.37412084402340362</v>
      </c>
      <c r="F29" s="20">
        <f t="shared" si="0"/>
        <v>-2.1328628282234696E-2</v>
      </c>
    </row>
    <row r="30" spans="1:6" x14ac:dyDescent="0.25">
      <c r="A30" s="21">
        <v>108</v>
      </c>
      <c r="B30" s="22">
        <v>5.3797573630513487</v>
      </c>
      <c r="C30" s="20">
        <v>5.3937281578338911</v>
      </c>
      <c r="D30" s="20">
        <f t="shared" si="1"/>
        <v>-0.34861849642550524</v>
      </c>
      <c r="E30" s="20">
        <f t="shared" si="2"/>
        <v>-0.35597632992519745</v>
      </c>
      <c r="F30" s="20">
        <f t="shared" si="0"/>
        <v>-1.3970794782542484E-2</v>
      </c>
    </row>
    <row r="31" spans="1:6" x14ac:dyDescent="0.25">
      <c r="A31" s="21">
        <v>109</v>
      </c>
      <c r="B31" s="22">
        <v>5.0661882174272455</v>
      </c>
      <c r="C31" s="20">
        <v>5.0554276834341563</v>
      </c>
      <c r="D31" s="20">
        <f t="shared" si="1"/>
        <v>-0.31356914562410321</v>
      </c>
      <c r="E31" s="20">
        <f t="shared" si="2"/>
        <v>-0.33830047439973487</v>
      </c>
      <c r="F31" s="20">
        <f t="shared" si="0"/>
        <v>1.0760533993089183E-2</v>
      </c>
    </row>
    <row r="32" spans="1:6" x14ac:dyDescent="0.25">
      <c r="A32" s="21">
        <v>110</v>
      </c>
      <c r="B32" s="22">
        <v>4.7526190718031458</v>
      </c>
      <c r="C32" s="20">
        <v>4.7343101674236507</v>
      </c>
      <c r="D32" s="20">
        <f t="shared" si="1"/>
        <v>-0.31356914562409965</v>
      </c>
      <c r="E32" s="20">
        <f t="shared" si="2"/>
        <v>-0.32111751601050553</v>
      </c>
      <c r="F32" s="20">
        <f t="shared" si="0"/>
        <v>1.8308904379495061E-2</v>
      </c>
    </row>
    <row r="33" spans="1:6" x14ac:dyDescent="0.25">
      <c r="A33" s="21">
        <v>111</v>
      </c>
      <c r="B33" s="22">
        <v>4.4390499261790444</v>
      </c>
      <c r="C33" s="20">
        <v>4.4298622010551449</v>
      </c>
      <c r="D33" s="20">
        <f t="shared" si="1"/>
        <v>-0.31356914562410143</v>
      </c>
      <c r="E33" s="20">
        <f t="shared" si="2"/>
        <v>-0.3044479663685058</v>
      </c>
      <c r="F33" s="20">
        <f t="shared" si="0"/>
        <v>9.1877251238994262E-3</v>
      </c>
    </row>
    <row r="34" spans="1:6" x14ac:dyDescent="0.25">
      <c r="A34" s="21">
        <v>112</v>
      </c>
      <c r="B34" s="22">
        <v>4.1254807805549438</v>
      </c>
      <c r="C34" s="20">
        <v>4.141553486339844</v>
      </c>
      <c r="D34" s="20">
        <f t="shared" si="1"/>
        <v>-0.31356914562410054</v>
      </c>
      <c r="E34" s="20">
        <f t="shared" si="2"/>
        <v>-0.28830871471530095</v>
      </c>
      <c r="F34" s="20">
        <f t="shared" si="0"/>
        <v>-1.6072705784900165E-2</v>
      </c>
    </row>
    <row r="35" spans="1:6" x14ac:dyDescent="0.25">
      <c r="A35" s="21">
        <v>113</v>
      </c>
      <c r="B35" s="22">
        <v>3.8507825592704514</v>
      </c>
      <c r="C35" s="20">
        <v>3.8688403270365046</v>
      </c>
      <c r="D35" s="20">
        <f t="shared" si="1"/>
        <v>-0.27469822128449239</v>
      </c>
      <c r="E35" s="20">
        <f t="shared" si="2"/>
        <v>-0.27271315930333939</v>
      </c>
      <c r="F35" s="20">
        <f t="shared" si="0"/>
        <v>-1.8057767766053168E-2</v>
      </c>
    </row>
    <row r="36" spans="1:6" x14ac:dyDescent="0.25">
      <c r="A36" s="21">
        <v>114</v>
      </c>
      <c r="B36" s="22">
        <v>3.6175564501647313</v>
      </c>
      <c r="C36" s="20">
        <v>3.6111689656168315</v>
      </c>
      <c r="D36" s="20">
        <f t="shared" si="1"/>
        <v>-0.23322610910572017</v>
      </c>
      <c r="E36" s="20">
        <f t="shared" si="2"/>
        <v>-0.25767136141967306</v>
      </c>
      <c r="F36" s="20">
        <f t="shared" si="0"/>
        <v>6.3874845478997244E-3</v>
      </c>
    </row>
    <row r="37" spans="1:6" x14ac:dyDescent="0.25">
      <c r="A37" s="21">
        <v>115</v>
      </c>
      <c r="B37" s="22">
        <v>3.3843303410590124</v>
      </c>
      <c r="C37" s="20">
        <v>3.3679787475987419</v>
      </c>
      <c r="D37" s="20">
        <f t="shared" si="1"/>
        <v>-0.23322610910571884</v>
      </c>
      <c r="E37" s="20">
        <f t="shared" si="2"/>
        <v>-0.2431902180180896</v>
      </c>
      <c r="F37" s="20">
        <f t="shared" si="0"/>
        <v>1.6351593460270486E-2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1038225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34</vt:i4>
      </vt:variant>
    </vt:vector>
  </HeadingPairs>
  <TitlesOfParts>
    <vt:vector size="41" baseType="lpstr">
      <vt:lpstr>Interface</vt:lpstr>
      <vt:lpstr>UnderlyingPlot</vt:lpstr>
      <vt:lpstr>OptionPricePlot</vt:lpstr>
      <vt:lpstr>NodeProbaPlot</vt:lpstr>
      <vt:lpstr>Greeks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IPythonPrice</vt:lpstr>
      <vt:lpstr>IPythonPriceTime</vt:lpstr>
      <vt:lpstr>IPythonTimeTree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CHARBONNIER Thibault</cp:lastModifiedBy>
  <dcterms:created xsi:type="dcterms:W3CDTF">2024-09-02T18:05:29Z</dcterms:created>
  <dcterms:modified xsi:type="dcterms:W3CDTF">2024-10-20T17:01:20Z</dcterms:modified>
</cp:coreProperties>
</file>