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hibc\OneDrive\Documents\GitHub\Trinomial-Tree\"/>
    </mc:Choice>
  </mc:AlternateContent>
  <xr:revisionPtr revIDLastSave="0" documentId="13_ncr:1_{89BB3F32-8B1D-4007-A91D-0F9805DCC7BB}" xr6:coauthVersionLast="47" xr6:coauthVersionMax="47" xr10:uidLastSave="{00000000-0000-0000-0000-000000000000}"/>
  <bookViews>
    <workbookView xWindow="-120" yWindow="-120" windowWidth="29040" windowHeight="15840" tabRatio="708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>
    <functionGroup name="GPT for Excel Word"/>
  </functionGroups>
  <definedNames>
    <definedName name="begin_plot">OptionPricePlot!$A$3</definedName>
    <definedName name="begin_proba_plot">NodeProbaPlot!$A$4</definedName>
    <definedName name="begin_undl_plot">UnderlyingPlot!$A$3</definedName>
    <definedName name="GBSPrice">'Convergence Study'!#REF!</definedName>
    <definedName name="Gdiv">'Convergence Study'!#REF!</definedName>
    <definedName name="GexType">'Convergence Study'!#REF!</definedName>
    <definedName name="Gmat">'Convergence Study'!#REF!</definedName>
    <definedName name="Grate">'Convergence Study'!#REF!</definedName>
    <definedName name="Gspot">'Convergence Study'!#REF!</definedName>
    <definedName name="GstartDate">'Convergence Study'!#REF!</definedName>
    <definedName name="Gstrike">'Convergence Study'!#REF!</definedName>
    <definedName name="Gtype">'Convergence Study'!#REF!</definedName>
    <definedName name="Gvol">'Convergence Study'!#REF!</definedName>
    <definedName name="IBSPrice">Interface!$E$20</definedName>
    <definedName name="IDelta">Interface!$M$15</definedName>
    <definedName name="IDiv">Interface!$E$9</definedName>
    <definedName name="IDivDate">Interface!$E$10</definedName>
    <definedName name="IExerciseType">Interface!$E$15</definedName>
    <definedName name="IGamma">Interface!$M$17</definedName>
    <definedName name="IGreeks">Interface!$M$8</definedName>
    <definedName name="IMaturity">Interface!$E$11</definedName>
    <definedName name="INbSteps">Interface!$E$16</definedName>
    <definedName name="IOptionType">Interface!$E$14</definedName>
    <definedName name="IPriceTime">Interface!$E$23</definedName>
    <definedName name="IPrunning">Interface!$E$17</definedName>
    <definedName name="IRate">Interface!$E$8</definedName>
    <definedName name="IRho">Interface!$M$23</definedName>
    <definedName name="IShowTree">Interface!$M$6</definedName>
    <definedName name="ISpot">Interface!$E$6</definedName>
    <definedName name="IStartDate">Interface!$E$13</definedName>
    <definedName name="IStrike">Interface!$E$12</definedName>
    <definedName name="ITheta">Interface!$M$21</definedName>
    <definedName name="ITimeTree">Interface!$E$22</definedName>
    <definedName name="ITotalTime">Interface!$E$24</definedName>
    <definedName name="ITreePrice">Interface!$E$19</definedName>
    <definedName name="IVega">Interface!$M$19</definedName>
    <definedName name="IVol">Interface!$E$7</definedName>
    <definedName name="Spot">'Convergence Study'!#REF!</definedName>
    <definedName name="StepRange">'Convergence Study'!$A$8:$A$56</definedName>
    <definedName name="StrikeRange">'Gap Study'!$A$7:$A$37</definedName>
  </definedName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11" l="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8" i="3"/>
  <c r="E21" i="10"/>
  <c r="E24" i="10"/>
  <c r="A8" i="3"/>
  <c r="F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F56" i="3"/>
  <c r="F55" i="3"/>
  <c r="F54" i="3"/>
  <c r="F53" i="3"/>
  <c r="F52" i="3"/>
  <c r="F51" i="3"/>
  <c r="F50" i="3"/>
  <c r="F18" i="3"/>
  <c r="F30" i="3"/>
  <c r="F42" i="3"/>
  <c r="F44" i="3"/>
  <c r="F23" i="3"/>
  <c r="F35" i="3"/>
  <c r="F47" i="3"/>
  <c r="F10" i="3"/>
  <c r="F13" i="3"/>
  <c r="F16" i="3"/>
  <c r="F28" i="3"/>
  <c r="F40" i="3"/>
  <c r="F21" i="3"/>
  <c r="F33" i="3"/>
  <c r="F45" i="3"/>
  <c r="F9" i="3"/>
  <c r="F26" i="3"/>
  <c r="F38" i="3"/>
  <c r="F19" i="3"/>
  <c r="F31" i="3"/>
  <c r="F43" i="3"/>
  <c r="F11" i="3"/>
  <c r="F14" i="3"/>
  <c r="F24" i="3"/>
  <c r="F36" i="3"/>
  <c r="F48" i="3"/>
  <c r="F32" i="3"/>
  <c r="F17" i="3"/>
  <c r="F29" i="3"/>
  <c r="F41" i="3"/>
  <c r="F15" i="3"/>
  <c r="F22" i="3"/>
  <c r="F34" i="3"/>
  <c r="F46" i="3"/>
  <c r="F12" i="3"/>
  <c r="F27" i="3"/>
  <c r="F39" i="3"/>
  <c r="F20" i="3"/>
  <c r="F25" i="3"/>
  <c r="F37" i="3"/>
  <c r="F49" i="3"/>
</calcChain>
</file>

<file path=xl/sharedStrings.xml><?xml version="1.0" encoding="utf-8"?>
<sst xmlns="http://schemas.openxmlformats.org/spreadsheetml/2006/main" count="60" uniqueCount="54">
  <si>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</si>
  <si>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</si>
  <si>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</si>
  <si>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</si>
  <si>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</si>
  <si>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</si>
  <si>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</si>
  <si>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</si>
  <si>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</si>
  <si>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</si>
  <si>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</si>
  <si>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</si>
  <si>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</si>
  <si>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</si>
  <si>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</si>
  <si>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</si>
  <si>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</si>
  <si>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</si>
  <si>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</si>
  <si>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Delta</t>
  </si>
  <si>
    <t>Gamma</t>
  </si>
  <si>
    <t>Vega</t>
  </si>
  <si>
    <t>Theta</t>
  </si>
  <si>
    <t>Rho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</si>
  <si>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</si>
  <si>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</si>
  <si>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</si>
  <si>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</si>
  <si>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</si>
  <si>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</si>
  <si>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</si>
  <si>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</si>
  <si>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</si>
  <si>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</si>
  <si>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</si>
  <si>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</si>
  <si>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</si>
  <si>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</si>
  <si>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</si>
  <si>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</si>
  <si>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</si>
  <si>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 xml:space="preserve">*  : 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</si>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</sst>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0</c:v>
                </c:pt>
                <c:pt idx="2">
                  <c:v>9.1532218255407596</c:v>
                </c:pt>
                <c:pt idx="3">
                  <c:v>9.885952034609474</c:v>
                </c:pt>
                <c:pt idx="4">
                  <c:v>10.169111805734914</c:v>
                </c:pt>
                <c:pt idx="5">
                  <c:v>10.241536846623694</c:v>
                </c:pt>
                <c:pt idx="6">
                  <c:v>10.283793769983403</c:v>
                </c:pt>
                <c:pt idx="7">
                  <c:v>10.366449770738569</c:v>
                </c:pt>
                <c:pt idx="8">
                  <c:v>10.395147854133819</c:v>
                </c:pt>
                <c:pt idx="9">
                  <c:v>10.405881336518165</c:v>
                </c:pt>
                <c:pt idx="10">
                  <c:v>10.409194942821095</c:v>
                </c:pt>
                <c:pt idx="11">
                  <c:v>10.409066876492723</c:v>
                </c:pt>
                <c:pt idx="12">
                  <c:v>10.410750220872679</c:v>
                </c:pt>
                <c:pt idx="13">
                  <c:v>10.420231525731108</c:v>
                </c:pt>
                <c:pt idx="14">
                  <c:v>10.426307917572029</c:v>
                </c:pt>
                <c:pt idx="15">
                  <c:v>10.430101140710535</c:v>
                </c:pt>
                <c:pt idx="16">
                  <c:v>10.432321494924157</c:v>
                </c:pt>
                <c:pt idx="17">
                  <c:v>10.433435463102411</c:v>
                </c:pt>
                <c:pt idx="18">
                  <c:v>10.433758711154615</c:v>
                </c:pt>
                <c:pt idx="19">
                  <c:v>10.433510227616019</c:v>
                </c:pt>
                <c:pt idx="20">
                  <c:v>10.432845135970384</c:v>
                </c:pt>
                <c:pt idx="21">
                  <c:v>10.431875273226145</c:v>
                </c:pt>
                <c:pt idx="22">
                  <c:v>10.433443663660622</c:v>
                </c:pt>
                <c:pt idx="23">
                  <c:v>10.435948240441416</c:v>
                </c:pt>
                <c:pt idx="24">
                  <c:v>10.437860740894754</c:v>
                </c:pt>
                <c:pt idx="25">
                  <c:v>10.440317791417934</c:v>
                </c:pt>
                <c:pt idx="26">
                  <c:v>10.441440887218961</c:v>
                </c:pt>
                <c:pt idx="27">
                  <c:v>10.441639000647232</c:v>
                </c:pt>
                <c:pt idx="28">
                  <c:v>10.441187229958647</c:v>
                </c:pt>
                <c:pt idx="29">
                  <c:v>10.440275152845722</c:v>
                </c:pt>
                <c:pt idx="30">
                  <c:v>10.441217856394012</c:v>
                </c:pt>
                <c:pt idx="31">
                  <c:v>10.442966363443686</c:v>
                </c:pt>
                <c:pt idx="32">
                  <c:v>10.444111971478552</c:v>
                </c:pt>
                <c:pt idx="33">
                  <c:v>10.444780336317137</c:v>
                </c:pt>
                <c:pt idx="34">
                  <c:v>10.445068425491515</c:v>
                </c:pt>
                <c:pt idx="35">
                  <c:v>10.444790365781673</c:v>
                </c:pt>
                <c:pt idx="36">
                  <c:v>10.443712394489504</c:v>
                </c:pt>
                <c:pt idx="37">
                  <c:v>10.445588706849128</c:v>
                </c:pt>
                <c:pt idx="38">
                  <c:v>10.446584669782963</c:v>
                </c:pt>
                <c:pt idx="39">
                  <c:v>10.446877812325441</c:v>
                </c:pt>
                <c:pt idx="40">
                  <c:v>10.446650588408035</c:v>
                </c:pt>
                <c:pt idx="41">
                  <c:v>10.446035509334093</c:v>
                </c:pt>
                <c:pt idx="42">
                  <c:v>10.446637585478943</c:v>
                </c:pt>
                <c:pt idx="43">
                  <c:v>10.447433809742295</c:v>
                </c:pt>
                <c:pt idx="44">
                  <c:v>10.447831947832821</c:v>
                </c:pt>
                <c:pt idx="45">
                  <c:v>10.447910429170538</c:v>
                </c:pt>
                <c:pt idx="46">
                  <c:v>10.447731124887728</c:v>
                </c:pt>
                <c:pt idx="47">
                  <c:v>10.447343272762678</c:v>
                </c:pt>
                <c:pt idx="48">
                  <c:v>10.447425945842401</c:v>
                </c:pt>
                <c:pt idx="49">
                  <c:v>10.448023411980241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10.450583572185572</c:v>
                </c:pt>
                <c:pt idx="3">
                  <c:v>10.450583572185572</c:v>
                </c:pt>
                <c:pt idx="4">
                  <c:v>10.450583572185572</c:v>
                </c:pt>
                <c:pt idx="5">
                  <c:v>10.450583572185572</c:v>
                </c:pt>
                <c:pt idx="6">
                  <c:v>10.450583572185572</c:v>
                </c:pt>
                <c:pt idx="7">
                  <c:v>10.450583572185572</c:v>
                </c:pt>
                <c:pt idx="8">
                  <c:v>10.450583572185572</c:v>
                </c:pt>
                <c:pt idx="9">
                  <c:v>10.450583572185572</c:v>
                </c:pt>
                <c:pt idx="10">
                  <c:v>10.450583572185572</c:v>
                </c:pt>
                <c:pt idx="11">
                  <c:v>10.450583572185572</c:v>
                </c:pt>
                <c:pt idx="12">
                  <c:v>10.450583572185572</c:v>
                </c:pt>
                <c:pt idx="13">
                  <c:v>10.450583572185572</c:v>
                </c:pt>
                <c:pt idx="14">
                  <c:v>10.450583572185572</c:v>
                </c:pt>
                <c:pt idx="15">
                  <c:v>10.450583572185572</c:v>
                </c:pt>
                <c:pt idx="16">
                  <c:v>10.450583572185572</c:v>
                </c:pt>
                <c:pt idx="17">
                  <c:v>10.450583572185572</c:v>
                </c:pt>
                <c:pt idx="18">
                  <c:v>10.450583572185572</c:v>
                </c:pt>
                <c:pt idx="19">
                  <c:v>10.450583572185572</c:v>
                </c:pt>
                <c:pt idx="20">
                  <c:v>10.450583572185572</c:v>
                </c:pt>
                <c:pt idx="21">
                  <c:v>10.450583572185572</c:v>
                </c:pt>
                <c:pt idx="22">
                  <c:v>10.450583572185572</c:v>
                </c:pt>
                <c:pt idx="23">
                  <c:v>10.450583572185572</c:v>
                </c:pt>
                <c:pt idx="24">
                  <c:v>10.450583572185572</c:v>
                </c:pt>
                <c:pt idx="25">
                  <c:v>10.450583572185572</c:v>
                </c:pt>
                <c:pt idx="26">
                  <c:v>10.450583572185572</c:v>
                </c:pt>
                <c:pt idx="27">
                  <c:v>10.450583572185572</c:v>
                </c:pt>
                <c:pt idx="28">
                  <c:v>10.450583572185572</c:v>
                </c:pt>
                <c:pt idx="29">
                  <c:v>10.450583572185572</c:v>
                </c:pt>
                <c:pt idx="30">
                  <c:v>10.450583572185572</c:v>
                </c:pt>
                <c:pt idx="31">
                  <c:v>10.450583572185572</c:v>
                </c:pt>
                <c:pt idx="32">
                  <c:v>10.450583572185572</c:v>
                </c:pt>
                <c:pt idx="33">
                  <c:v>10.450583572185572</c:v>
                </c:pt>
                <c:pt idx="34">
                  <c:v>10.450583572185572</c:v>
                </c:pt>
                <c:pt idx="35">
                  <c:v>10.450583572185572</c:v>
                </c:pt>
                <c:pt idx="36">
                  <c:v>10.450583572185572</c:v>
                </c:pt>
                <c:pt idx="37">
                  <c:v>10.450583572185572</c:v>
                </c:pt>
                <c:pt idx="38">
                  <c:v>10.450583572185572</c:v>
                </c:pt>
                <c:pt idx="39">
                  <c:v>10.450583572185572</c:v>
                </c:pt>
                <c:pt idx="40">
                  <c:v>10.450583572185572</c:v>
                </c:pt>
                <c:pt idx="41">
                  <c:v>10.450583572185572</c:v>
                </c:pt>
                <c:pt idx="42">
                  <c:v>10.450583572185572</c:v>
                </c:pt>
                <c:pt idx="43">
                  <c:v>10.450583572185572</c:v>
                </c:pt>
                <c:pt idx="44">
                  <c:v>10.450583572185572</c:v>
                </c:pt>
                <c:pt idx="45">
                  <c:v>10.450583572185572</c:v>
                </c:pt>
                <c:pt idx="46">
                  <c:v>10.450583572185572</c:v>
                </c:pt>
                <c:pt idx="47">
                  <c:v>10.450583572185572</c:v>
                </c:pt>
                <c:pt idx="48">
                  <c:v>10.450583572185572</c:v>
                </c:pt>
                <c:pt idx="49">
                  <c:v>10.450583572185572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7.8125E-3</c:v>
                </c:pt>
                <c:pt idx="5">
                  <c:v>0</c:v>
                </c:pt>
                <c:pt idx="6">
                  <c:v>1.5625E-2</c:v>
                </c:pt>
                <c:pt idx="7">
                  <c:v>3.125E-2</c:v>
                </c:pt>
                <c:pt idx="8">
                  <c:v>7.8125E-2</c:v>
                </c:pt>
                <c:pt idx="9">
                  <c:v>8.59375E-2</c:v>
                </c:pt>
                <c:pt idx="10">
                  <c:v>0.125</c:v>
                </c:pt>
                <c:pt idx="11">
                  <c:v>0.171875</c:v>
                </c:pt>
                <c:pt idx="12">
                  <c:v>0.22265625</c:v>
                </c:pt>
                <c:pt idx="13">
                  <c:v>0.296875</c:v>
                </c:pt>
                <c:pt idx="14">
                  <c:v>0.34375</c:v>
                </c:pt>
                <c:pt idx="15">
                  <c:v>0.421875</c:v>
                </c:pt>
                <c:pt idx="16">
                  <c:v>0.5</c:v>
                </c:pt>
                <c:pt idx="17">
                  <c:v>0.59375</c:v>
                </c:pt>
                <c:pt idx="18">
                  <c:v>0.69140625</c:v>
                </c:pt>
                <c:pt idx="19">
                  <c:v>0.8125</c:v>
                </c:pt>
                <c:pt idx="20">
                  <c:v>0.9140625</c:v>
                </c:pt>
                <c:pt idx="21">
                  <c:v>1.03515625</c:v>
                </c:pt>
                <c:pt idx="22">
                  <c:v>1.12890625</c:v>
                </c:pt>
                <c:pt idx="23">
                  <c:v>1.26953125</c:v>
                </c:pt>
                <c:pt idx="24">
                  <c:v>1.42578125</c:v>
                </c:pt>
                <c:pt idx="25">
                  <c:v>1.69140625</c:v>
                </c:pt>
                <c:pt idx="26">
                  <c:v>2.00390625</c:v>
                </c:pt>
                <c:pt idx="27">
                  <c:v>2.3046875</c:v>
                </c:pt>
                <c:pt idx="28">
                  <c:v>2.61328125</c:v>
                </c:pt>
                <c:pt idx="29">
                  <c:v>2.9921875</c:v>
                </c:pt>
                <c:pt idx="30">
                  <c:v>3.32421875</c:v>
                </c:pt>
                <c:pt idx="31">
                  <c:v>3.69140625</c:v>
                </c:pt>
                <c:pt idx="32">
                  <c:v>4.0390625</c:v>
                </c:pt>
                <c:pt idx="33">
                  <c:v>4.4296875</c:v>
                </c:pt>
                <c:pt idx="34">
                  <c:v>4.83984375</c:v>
                </c:pt>
                <c:pt idx="35">
                  <c:v>6.09765625</c:v>
                </c:pt>
                <c:pt idx="36">
                  <c:v>7.109375</c:v>
                </c:pt>
                <c:pt idx="37">
                  <c:v>7.52734375</c:v>
                </c:pt>
                <c:pt idx="38">
                  <c:v>8.51953125</c:v>
                </c:pt>
                <c:pt idx="39">
                  <c:v>9.44140625</c:v>
                </c:pt>
                <c:pt idx="40">
                  <c:v>10.51953125</c:v>
                </c:pt>
                <c:pt idx="41">
                  <c:v>11.6796875</c:v>
                </c:pt>
                <c:pt idx="42">
                  <c:v>13</c:v>
                </c:pt>
                <c:pt idx="43">
                  <c:v>14.22265625</c:v>
                </c:pt>
                <c:pt idx="44">
                  <c:v>15.31640625</c:v>
                </c:pt>
                <c:pt idx="45">
                  <c:v>16.625</c:v>
                </c:pt>
                <c:pt idx="46">
                  <c:v>18.375</c:v>
                </c:pt>
                <c:pt idx="47">
                  <c:v>19.7578125</c:v>
                </c:pt>
                <c:pt idx="48">
                  <c:v>20.6796875</c:v>
                </c:pt>
                <c:pt idx="49">
                  <c:v>21.96484375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1.2973617466448122</c:v>
                </c:pt>
                <c:pt idx="3">
                  <c:v>0.56463153757609774</c:v>
                </c:pt>
                <c:pt idx="4">
                  <c:v>0.28147176645065741</c:v>
                </c:pt>
                <c:pt idx="5">
                  <c:v>0.20904672556187798</c:v>
                </c:pt>
                <c:pt idx="6">
                  <c:v>0.16678980220216921</c:v>
                </c:pt>
                <c:pt idx="7">
                  <c:v>8.4133801447002554E-2</c:v>
                </c:pt>
                <c:pt idx="8">
                  <c:v>5.5435718051752403E-2</c:v>
                </c:pt>
                <c:pt idx="9">
                  <c:v>4.4702235667406498E-2</c:v>
                </c:pt>
                <c:pt idx="10">
                  <c:v>4.1388629364476515E-2</c:v>
                </c:pt>
                <c:pt idx="11">
                  <c:v>4.1516695692848771E-2</c:v>
                </c:pt>
                <c:pt idx="12">
                  <c:v>3.9833351312893228E-2</c:v>
                </c:pt>
                <c:pt idx="13">
                  <c:v>3.0352046454463988E-2</c:v>
                </c:pt>
                <c:pt idx="14">
                  <c:v>2.4275654613543196E-2</c:v>
                </c:pt>
                <c:pt idx="15">
                  <c:v>2.0482431475036478E-2</c:v>
                </c:pt>
                <c:pt idx="16">
                  <c:v>1.8262077261415044E-2</c:v>
                </c:pt>
                <c:pt idx="17">
                  <c:v>1.714810908316089E-2</c:v>
                </c:pt>
                <c:pt idx="18">
                  <c:v>1.6824861030956484E-2</c:v>
                </c:pt>
                <c:pt idx="19">
                  <c:v>1.7073344569553228E-2</c:v>
                </c:pt>
                <c:pt idx="20">
                  <c:v>1.7738436215188003E-2</c:v>
                </c:pt>
                <c:pt idx="21">
                  <c:v>1.8708298959426273E-2</c:v>
                </c:pt>
                <c:pt idx="22">
                  <c:v>1.7139908524949732E-2</c:v>
                </c:pt>
                <c:pt idx="23">
                  <c:v>1.4635331744155877E-2</c:v>
                </c:pt>
                <c:pt idx="24">
                  <c:v>1.2722831290817638E-2</c:v>
                </c:pt>
                <c:pt idx="25">
                  <c:v>1.0265780767637622E-2</c:v>
                </c:pt>
                <c:pt idx="26">
                  <c:v>9.1426849666103038E-3</c:v>
                </c:pt>
                <c:pt idx="27">
                  <c:v>8.9445715383398294E-3</c:v>
                </c:pt>
                <c:pt idx="28">
                  <c:v>9.3963422269247587E-3</c:v>
                </c:pt>
                <c:pt idx="29">
                  <c:v>1.0308419339850161E-2</c:v>
                </c:pt>
                <c:pt idx="30">
                  <c:v>9.3657157915600919E-3</c:v>
                </c:pt>
                <c:pt idx="31">
                  <c:v>7.6172087418857615E-3</c:v>
                </c:pt>
                <c:pt idx="32">
                  <c:v>6.4716007070195758E-3</c:v>
                </c:pt>
                <c:pt idx="33">
                  <c:v>5.8032358684343421E-3</c:v>
                </c:pt>
                <c:pt idx="34">
                  <c:v>5.5151466940568383E-3</c:v>
                </c:pt>
                <c:pt idx="35">
                  <c:v>5.7932064038990205E-3</c:v>
                </c:pt>
                <c:pt idx="36">
                  <c:v>6.8711776960679316E-3</c:v>
                </c:pt>
                <c:pt idx="37">
                  <c:v>4.9948653364442208E-3</c:v>
                </c:pt>
                <c:pt idx="38">
                  <c:v>3.998902402608806E-3</c:v>
                </c:pt>
                <c:pt idx="39">
                  <c:v>3.705759860130442E-3</c:v>
                </c:pt>
                <c:pt idx="40">
                  <c:v>3.9329837775365917E-3</c:v>
                </c:pt>
                <c:pt idx="41">
                  <c:v>4.5480628514784627E-3</c:v>
                </c:pt>
                <c:pt idx="42">
                  <c:v>3.9459867066291565E-3</c:v>
                </c:pt>
                <c:pt idx="43">
                  <c:v>3.1497624432770266E-3</c:v>
                </c:pt>
                <c:pt idx="44">
                  <c:v>2.7516243527507811E-3</c:v>
                </c:pt>
                <c:pt idx="45">
                  <c:v>2.6731430150341851E-3</c:v>
                </c:pt>
                <c:pt idx="46">
                  <c:v>2.8524472978439519E-3</c:v>
                </c:pt>
                <c:pt idx="47">
                  <c:v>3.2402994228935E-3</c:v>
                </c:pt>
                <c:pt idx="48">
                  <c:v>3.1576263431709606E-3</c:v>
                </c:pt>
                <c:pt idx="49">
                  <c:v>2.5601602053306749E-3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6.4868087332240609</c:v>
                      </c:pt>
                      <c:pt idx="3">
                        <c:v>5.6463153757609774</c:v>
                      </c:pt>
                      <c:pt idx="4">
                        <c:v>5.6294353290131482</c:v>
                      </c:pt>
                      <c:pt idx="5">
                        <c:v>6.2714017668563393</c:v>
                      </c:pt>
                      <c:pt idx="6">
                        <c:v>8.3394901101084606</c:v>
                      </c:pt>
                      <c:pt idx="7">
                        <c:v>6.3100351085251916</c:v>
                      </c:pt>
                      <c:pt idx="8">
                        <c:v>5.5435718051752403</c:v>
                      </c:pt>
                      <c:pt idx="9">
                        <c:v>5.5877794584258123</c:v>
                      </c:pt>
                      <c:pt idx="10">
                        <c:v>6.2082944046714772</c:v>
                      </c:pt>
                      <c:pt idx="11">
                        <c:v>7.2654217462485349</c:v>
                      </c:pt>
                      <c:pt idx="12">
                        <c:v>7.9666702625786456</c:v>
                      </c:pt>
                      <c:pt idx="13">
                        <c:v>6.8292104522543973</c:v>
                      </c:pt>
                      <c:pt idx="14">
                        <c:v>6.068913653385799</c:v>
                      </c:pt>
                      <c:pt idx="15">
                        <c:v>5.6326686556350314</c:v>
                      </c:pt>
                      <c:pt idx="16">
                        <c:v>5.4786231784245132</c:v>
                      </c:pt>
                      <c:pt idx="17">
                        <c:v>5.5731354520272891</c:v>
                      </c:pt>
                      <c:pt idx="18">
                        <c:v>5.8887013608347694</c:v>
                      </c:pt>
                      <c:pt idx="19">
                        <c:v>6.4025042135824606</c:v>
                      </c:pt>
                      <c:pt idx="20">
                        <c:v>7.095374486075201</c:v>
                      </c:pt>
                      <c:pt idx="21">
                        <c:v>7.9510270577561659</c:v>
                      </c:pt>
                      <c:pt idx="22">
                        <c:v>7.7129588362273793</c:v>
                      </c:pt>
                      <c:pt idx="23">
                        <c:v>6.9517825784740417</c:v>
                      </c:pt>
                      <c:pt idx="24">
                        <c:v>6.3614156454088189</c:v>
                      </c:pt>
                      <c:pt idx="25">
                        <c:v>5.6461794222006922</c:v>
                      </c:pt>
                      <c:pt idx="26">
                        <c:v>5.4856109799661823</c:v>
                      </c:pt>
                      <c:pt idx="27">
                        <c:v>5.8139714999208891</c:v>
                      </c:pt>
                      <c:pt idx="28">
                        <c:v>6.5774395588473311</c:v>
                      </c:pt>
                      <c:pt idx="29">
                        <c:v>7.7313145048876208</c:v>
                      </c:pt>
                      <c:pt idx="30">
                        <c:v>7.4925726332480735</c:v>
                      </c:pt>
                      <c:pt idx="31">
                        <c:v>6.4746274306028972</c:v>
                      </c:pt>
                      <c:pt idx="32">
                        <c:v>5.8244406363176182</c:v>
                      </c:pt>
                      <c:pt idx="33">
                        <c:v>5.513074075012625</c:v>
                      </c:pt>
                      <c:pt idx="34">
                        <c:v>5.5151466940568383</c:v>
                      </c:pt>
                      <c:pt idx="35">
                        <c:v>6.3725270442889226</c:v>
                      </c:pt>
                      <c:pt idx="36">
                        <c:v>8.2454132352815179</c:v>
                      </c:pt>
                      <c:pt idx="37">
                        <c:v>6.4933249373774871</c:v>
                      </c:pt>
                      <c:pt idx="38">
                        <c:v>5.5984633636523284</c:v>
                      </c:pt>
                      <c:pt idx="39">
                        <c:v>5.558639790195663</c:v>
                      </c:pt>
                      <c:pt idx="40">
                        <c:v>6.2927740440585467</c:v>
                      </c:pt>
                      <c:pt idx="41">
                        <c:v>7.7317068475133865</c:v>
                      </c:pt>
                      <c:pt idx="42">
                        <c:v>7.1027760719324817</c:v>
                      </c:pt>
                      <c:pt idx="43">
                        <c:v>5.9845486422263505</c:v>
                      </c:pt>
                      <c:pt idx="44">
                        <c:v>5.5032487055015622</c:v>
                      </c:pt>
                      <c:pt idx="45">
                        <c:v>5.6136003315717886</c:v>
                      </c:pt>
                      <c:pt idx="46">
                        <c:v>6.2753840552566942</c:v>
                      </c:pt>
                      <c:pt idx="47">
                        <c:v>7.4526886726550501</c:v>
                      </c:pt>
                      <c:pt idx="48">
                        <c:v>7.5783032236103054</c:v>
                      </c:pt>
                      <c:pt idx="49">
                        <c:v>6.4004005133266872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10.450583572185572</c:v>
                </c:pt>
                <c:pt idx="2">
                  <c:v>6.4868087332240609</c:v>
                </c:pt>
                <c:pt idx="3">
                  <c:v>5.6463153757609774</c:v>
                </c:pt>
                <c:pt idx="4">
                  <c:v>5.6294353290131482</c:v>
                </c:pt>
                <c:pt idx="5">
                  <c:v>6.2714017668563393</c:v>
                </c:pt>
                <c:pt idx="6">
                  <c:v>8.3394901101084606</c:v>
                </c:pt>
                <c:pt idx="7">
                  <c:v>6.3100351085251916</c:v>
                </c:pt>
                <c:pt idx="8">
                  <c:v>5.5435718051752403</c:v>
                </c:pt>
                <c:pt idx="9">
                  <c:v>5.5877794584258123</c:v>
                </c:pt>
                <c:pt idx="10">
                  <c:v>6.2082944046714772</c:v>
                </c:pt>
                <c:pt idx="11">
                  <c:v>7.2654217462485349</c:v>
                </c:pt>
                <c:pt idx="12">
                  <c:v>7.9666702625786456</c:v>
                </c:pt>
                <c:pt idx="13">
                  <c:v>6.8292104522543973</c:v>
                </c:pt>
                <c:pt idx="14">
                  <c:v>6.068913653385799</c:v>
                </c:pt>
                <c:pt idx="15">
                  <c:v>5.6326686556350314</c:v>
                </c:pt>
                <c:pt idx="16">
                  <c:v>5.4786231784245132</c:v>
                </c:pt>
                <c:pt idx="17">
                  <c:v>5.5731354520272891</c:v>
                </c:pt>
                <c:pt idx="18">
                  <c:v>5.8887013608347694</c:v>
                </c:pt>
                <c:pt idx="19">
                  <c:v>6.4025042135824606</c:v>
                </c:pt>
                <c:pt idx="20">
                  <c:v>7.095374486075201</c:v>
                </c:pt>
                <c:pt idx="21">
                  <c:v>7.9510270577561659</c:v>
                </c:pt>
                <c:pt idx="22">
                  <c:v>7.7129588362273793</c:v>
                </c:pt>
                <c:pt idx="23">
                  <c:v>6.9517825784740417</c:v>
                </c:pt>
                <c:pt idx="24">
                  <c:v>6.3614156454088189</c:v>
                </c:pt>
                <c:pt idx="25">
                  <c:v>5.6461794222006922</c:v>
                </c:pt>
                <c:pt idx="26">
                  <c:v>5.4856109799661823</c:v>
                </c:pt>
                <c:pt idx="27">
                  <c:v>5.8139714999208891</c:v>
                </c:pt>
                <c:pt idx="28">
                  <c:v>6.5774395588473311</c:v>
                </c:pt>
                <c:pt idx="29">
                  <c:v>7.7313145048876208</c:v>
                </c:pt>
                <c:pt idx="30">
                  <c:v>7.4925726332480735</c:v>
                </c:pt>
                <c:pt idx="31">
                  <c:v>6.4746274306028972</c:v>
                </c:pt>
                <c:pt idx="32">
                  <c:v>5.8244406363176182</c:v>
                </c:pt>
                <c:pt idx="33">
                  <c:v>5.513074075012625</c:v>
                </c:pt>
                <c:pt idx="34">
                  <c:v>5.5151466940568383</c:v>
                </c:pt>
                <c:pt idx="35">
                  <c:v>6.3725270442889226</c:v>
                </c:pt>
                <c:pt idx="36">
                  <c:v>8.2454132352815179</c:v>
                </c:pt>
                <c:pt idx="37">
                  <c:v>6.4933249373774871</c:v>
                </c:pt>
                <c:pt idx="38">
                  <c:v>5.5984633636523284</c:v>
                </c:pt>
                <c:pt idx="39">
                  <c:v>5.558639790195663</c:v>
                </c:pt>
                <c:pt idx="40">
                  <c:v>6.2927740440585467</c:v>
                </c:pt>
                <c:pt idx="41">
                  <c:v>7.7317068475133865</c:v>
                </c:pt>
                <c:pt idx="42">
                  <c:v>7.1027760719324817</c:v>
                </c:pt>
                <c:pt idx="43">
                  <c:v>5.9845486422263505</c:v>
                </c:pt>
                <c:pt idx="44">
                  <c:v>5.5032487055015622</c:v>
                </c:pt>
                <c:pt idx="45">
                  <c:v>5.6136003315717886</c:v>
                </c:pt>
                <c:pt idx="46">
                  <c:v>6.2753840552566942</c:v>
                </c:pt>
                <c:pt idx="47">
                  <c:v>7.4526886726550501</c:v>
                </c:pt>
                <c:pt idx="48">
                  <c:v>7.5783032236103054</c:v>
                </c:pt>
                <c:pt idx="49">
                  <c:v>6.4004005133266872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9.1532218255407596</c:v>
                      </c:pt>
                      <c:pt idx="3">
                        <c:v>9.885952034609474</c:v>
                      </c:pt>
                      <c:pt idx="4">
                        <c:v>10.169111805734914</c:v>
                      </c:pt>
                      <c:pt idx="5">
                        <c:v>10.241536846623694</c:v>
                      </c:pt>
                      <c:pt idx="6">
                        <c:v>10.283793769983403</c:v>
                      </c:pt>
                      <c:pt idx="7">
                        <c:v>10.366449770738569</c:v>
                      </c:pt>
                      <c:pt idx="8">
                        <c:v>10.395147854133819</c:v>
                      </c:pt>
                      <c:pt idx="9">
                        <c:v>10.405881336518165</c:v>
                      </c:pt>
                      <c:pt idx="10">
                        <c:v>10.409194942821095</c:v>
                      </c:pt>
                      <c:pt idx="11">
                        <c:v>10.409066876492723</c:v>
                      </c:pt>
                      <c:pt idx="12">
                        <c:v>10.410750220872679</c:v>
                      </c:pt>
                      <c:pt idx="13">
                        <c:v>10.420231525731108</c:v>
                      </c:pt>
                      <c:pt idx="14">
                        <c:v>10.426307917572029</c:v>
                      </c:pt>
                      <c:pt idx="15">
                        <c:v>10.430101140710535</c:v>
                      </c:pt>
                      <c:pt idx="16">
                        <c:v>10.432321494924157</c:v>
                      </c:pt>
                      <c:pt idx="17">
                        <c:v>10.433435463102411</c:v>
                      </c:pt>
                      <c:pt idx="18">
                        <c:v>10.433758711154615</c:v>
                      </c:pt>
                      <c:pt idx="19">
                        <c:v>10.433510227616019</c:v>
                      </c:pt>
                      <c:pt idx="20">
                        <c:v>10.432845135970384</c:v>
                      </c:pt>
                      <c:pt idx="21">
                        <c:v>10.431875273226145</c:v>
                      </c:pt>
                      <c:pt idx="22">
                        <c:v>10.433443663660622</c:v>
                      </c:pt>
                      <c:pt idx="23">
                        <c:v>10.435948240441416</c:v>
                      </c:pt>
                      <c:pt idx="24">
                        <c:v>10.437860740894754</c:v>
                      </c:pt>
                      <c:pt idx="25">
                        <c:v>10.440317791417934</c:v>
                      </c:pt>
                      <c:pt idx="26">
                        <c:v>10.441440887218961</c:v>
                      </c:pt>
                      <c:pt idx="27">
                        <c:v>10.441639000647232</c:v>
                      </c:pt>
                      <c:pt idx="28">
                        <c:v>10.441187229958647</c:v>
                      </c:pt>
                      <c:pt idx="29">
                        <c:v>10.440275152845722</c:v>
                      </c:pt>
                      <c:pt idx="30">
                        <c:v>10.441217856394012</c:v>
                      </c:pt>
                      <c:pt idx="31">
                        <c:v>10.442966363443686</c:v>
                      </c:pt>
                      <c:pt idx="32">
                        <c:v>10.444111971478552</c:v>
                      </c:pt>
                      <c:pt idx="33">
                        <c:v>10.444780336317137</c:v>
                      </c:pt>
                      <c:pt idx="34">
                        <c:v>10.445068425491515</c:v>
                      </c:pt>
                      <c:pt idx="35">
                        <c:v>10.444790365781673</c:v>
                      </c:pt>
                      <c:pt idx="36">
                        <c:v>10.443712394489504</c:v>
                      </c:pt>
                      <c:pt idx="37">
                        <c:v>10.445588706849128</c:v>
                      </c:pt>
                      <c:pt idx="38">
                        <c:v>10.446584669782963</c:v>
                      </c:pt>
                      <c:pt idx="39">
                        <c:v>10.446877812325441</c:v>
                      </c:pt>
                      <c:pt idx="40">
                        <c:v>10.446650588408035</c:v>
                      </c:pt>
                      <c:pt idx="41">
                        <c:v>10.446035509334093</c:v>
                      </c:pt>
                      <c:pt idx="42">
                        <c:v>10.446637585478943</c:v>
                      </c:pt>
                      <c:pt idx="43">
                        <c:v>10.447433809742295</c:v>
                      </c:pt>
                      <c:pt idx="44">
                        <c:v>10.447831947832821</c:v>
                      </c:pt>
                      <c:pt idx="45">
                        <c:v>10.447910429170538</c:v>
                      </c:pt>
                      <c:pt idx="46">
                        <c:v>10.447731124887728</c:v>
                      </c:pt>
                      <c:pt idx="47">
                        <c:v>10.447343272762678</c:v>
                      </c:pt>
                      <c:pt idx="48">
                        <c:v>10.447425945842401</c:v>
                      </c:pt>
                      <c:pt idx="49">
                        <c:v>10.448023411980241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7.8125E-3</c:v>
                      </c:pt>
                      <c:pt idx="5">
                        <c:v>0</c:v>
                      </c:pt>
                      <c:pt idx="6">
                        <c:v>1.5625E-2</c:v>
                      </c:pt>
                      <c:pt idx="7">
                        <c:v>3.125E-2</c:v>
                      </c:pt>
                      <c:pt idx="8">
                        <c:v>7.8125E-2</c:v>
                      </c:pt>
                      <c:pt idx="9">
                        <c:v>8.59375E-2</c:v>
                      </c:pt>
                      <c:pt idx="10">
                        <c:v>0.125</c:v>
                      </c:pt>
                      <c:pt idx="11">
                        <c:v>0.171875</c:v>
                      </c:pt>
                      <c:pt idx="12">
                        <c:v>0.22265625</c:v>
                      </c:pt>
                      <c:pt idx="13">
                        <c:v>0.296875</c:v>
                      </c:pt>
                      <c:pt idx="14">
                        <c:v>0.34375</c:v>
                      </c:pt>
                      <c:pt idx="15">
                        <c:v>0.421875</c:v>
                      </c:pt>
                      <c:pt idx="16">
                        <c:v>0.5</c:v>
                      </c:pt>
                      <c:pt idx="17">
                        <c:v>0.59375</c:v>
                      </c:pt>
                      <c:pt idx="18">
                        <c:v>0.69140625</c:v>
                      </c:pt>
                      <c:pt idx="19">
                        <c:v>0.8125</c:v>
                      </c:pt>
                      <c:pt idx="20">
                        <c:v>0.9140625</c:v>
                      </c:pt>
                      <c:pt idx="21">
                        <c:v>1.03515625</c:v>
                      </c:pt>
                      <c:pt idx="22">
                        <c:v>1.12890625</c:v>
                      </c:pt>
                      <c:pt idx="23">
                        <c:v>1.26953125</c:v>
                      </c:pt>
                      <c:pt idx="24">
                        <c:v>1.42578125</c:v>
                      </c:pt>
                      <c:pt idx="25">
                        <c:v>1.69140625</c:v>
                      </c:pt>
                      <c:pt idx="26">
                        <c:v>2.00390625</c:v>
                      </c:pt>
                      <c:pt idx="27">
                        <c:v>2.3046875</c:v>
                      </c:pt>
                      <c:pt idx="28">
                        <c:v>2.61328125</c:v>
                      </c:pt>
                      <c:pt idx="29">
                        <c:v>2.9921875</c:v>
                      </c:pt>
                      <c:pt idx="30">
                        <c:v>3.32421875</c:v>
                      </c:pt>
                      <c:pt idx="31">
                        <c:v>3.69140625</c:v>
                      </c:pt>
                      <c:pt idx="32">
                        <c:v>4.0390625</c:v>
                      </c:pt>
                      <c:pt idx="33">
                        <c:v>4.4296875</c:v>
                      </c:pt>
                      <c:pt idx="34">
                        <c:v>4.83984375</c:v>
                      </c:pt>
                      <c:pt idx="35">
                        <c:v>6.09765625</c:v>
                      </c:pt>
                      <c:pt idx="36">
                        <c:v>7.109375</c:v>
                      </c:pt>
                      <c:pt idx="37">
                        <c:v>7.52734375</c:v>
                      </c:pt>
                      <c:pt idx="38">
                        <c:v>8.51953125</c:v>
                      </c:pt>
                      <c:pt idx="39">
                        <c:v>9.44140625</c:v>
                      </c:pt>
                      <c:pt idx="40">
                        <c:v>10.51953125</c:v>
                      </c:pt>
                      <c:pt idx="41">
                        <c:v>11.6796875</c:v>
                      </c:pt>
                      <c:pt idx="42">
                        <c:v>13</c:v>
                      </c:pt>
                      <c:pt idx="43">
                        <c:v>14.22265625</c:v>
                      </c:pt>
                      <c:pt idx="44">
                        <c:v>15.31640625</c:v>
                      </c:pt>
                      <c:pt idx="45">
                        <c:v>16.625</c:v>
                      </c:pt>
                      <c:pt idx="46">
                        <c:v>18.375</c:v>
                      </c:pt>
                      <c:pt idx="47">
                        <c:v>19.7578125</c:v>
                      </c:pt>
                      <c:pt idx="48">
                        <c:v>20.6796875</c:v>
                      </c:pt>
                      <c:pt idx="49">
                        <c:v>21.96484375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10.450583572185572</c:v>
                      </c:pt>
                      <c:pt idx="3">
                        <c:v>10.450583572185572</c:v>
                      </c:pt>
                      <c:pt idx="4">
                        <c:v>10.450583572185572</c:v>
                      </c:pt>
                      <c:pt idx="5">
                        <c:v>10.450583572185572</c:v>
                      </c:pt>
                      <c:pt idx="6">
                        <c:v>10.450583572185572</c:v>
                      </c:pt>
                      <c:pt idx="7">
                        <c:v>10.450583572185572</c:v>
                      </c:pt>
                      <c:pt idx="8">
                        <c:v>10.450583572185572</c:v>
                      </c:pt>
                      <c:pt idx="9">
                        <c:v>10.450583572185572</c:v>
                      </c:pt>
                      <c:pt idx="10">
                        <c:v>10.450583572185572</c:v>
                      </c:pt>
                      <c:pt idx="11">
                        <c:v>10.450583572185572</c:v>
                      </c:pt>
                      <c:pt idx="12">
                        <c:v>10.450583572185572</c:v>
                      </c:pt>
                      <c:pt idx="13">
                        <c:v>10.450583572185572</c:v>
                      </c:pt>
                      <c:pt idx="14">
                        <c:v>10.450583572185572</c:v>
                      </c:pt>
                      <c:pt idx="15">
                        <c:v>10.450583572185572</c:v>
                      </c:pt>
                      <c:pt idx="16">
                        <c:v>10.450583572185572</c:v>
                      </c:pt>
                      <c:pt idx="17">
                        <c:v>10.450583572185572</c:v>
                      </c:pt>
                      <c:pt idx="18">
                        <c:v>10.450583572185572</c:v>
                      </c:pt>
                      <c:pt idx="19">
                        <c:v>10.450583572185572</c:v>
                      </c:pt>
                      <c:pt idx="20">
                        <c:v>10.450583572185572</c:v>
                      </c:pt>
                      <c:pt idx="21">
                        <c:v>10.450583572185572</c:v>
                      </c:pt>
                      <c:pt idx="22">
                        <c:v>10.450583572185572</c:v>
                      </c:pt>
                      <c:pt idx="23">
                        <c:v>10.450583572185572</c:v>
                      </c:pt>
                      <c:pt idx="24">
                        <c:v>10.450583572185572</c:v>
                      </c:pt>
                      <c:pt idx="25">
                        <c:v>10.450583572185572</c:v>
                      </c:pt>
                      <c:pt idx="26">
                        <c:v>10.450583572185572</c:v>
                      </c:pt>
                      <c:pt idx="27">
                        <c:v>10.450583572185572</c:v>
                      </c:pt>
                      <c:pt idx="28">
                        <c:v>10.450583572185572</c:v>
                      </c:pt>
                      <c:pt idx="29">
                        <c:v>10.450583572185572</c:v>
                      </c:pt>
                      <c:pt idx="30">
                        <c:v>10.450583572185572</c:v>
                      </c:pt>
                      <c:pt idx="31">
                        <c:v>10.450583572185572</c:v>
                      </c:pt>
                      <c:pt idx="32">
                        <c:v>10.450583572185572</c:v>
                      </c:pt>
                      <c:pt idx="33">
                        <c:v>10.450583572185572</c:v>
                      </c:pt>
                      <c:pt idx="34">
                        <c:v>10.450583572185572</c:v>
                      </c:pt>
                      <c:pt idx="35">
                        <c:v>10.450583572185572</c:v>
                      </c:pt>
                      <c:pt idx="36">
                        <c:v>10.450583572185572</c:v>
                      </c:pt>
                      <c:pt idx="37">
                        <c:v>10.450583572185572</c:v>
                      </c:pt>
                      <c:pt idx="38">
                        <c:v>10.450583572185572</c:v>
                      </c:pt>
                      <c:pt idx="39">
                        <c:v>10.450583572185572</c:v>
                      </c:pt>
                      <c:pt idx="40">
                        <c:v>10.450583572185572</c:v>
                      </c:pt>
                      <c:pt idx="41">
                        <c:v>10.450583572185572</c:v>
                      </c:pt>
                      <c:pt idx="42">
                        <c:v>10.450583572185572</c:v>
                      </c:pt>
                      <c:pt idx="43">
                        <c:v>10.450583572185572</c:v>
                      </c:pt>
                      <c:pt idx="44">
                        <c:v>10.450583572185572</c:v>
                      </c:pt>
                      <c:pt idx="45">
                        <c:v>10.450583572185572</c:v>
                      </c:pt>
                      <c:pt idx="46">
                        <c:v>10.450583572185572</c:v>
                      </c:pt>
                      <c:pt idx="47">
                        <c:v>10.450583572185572</c:v>
                      </c:pt>
                      <c:pt idx="48">
                        <c:v>10.450583572185572</c:v>
                      </c:pt>
                      <c:pt idx="49">
                        <c:v>10.450583572185572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10.450583572185572</c:v>
                      </c:pt>
                      <c:pt idx="2">
                        <c:v>1.2973617466448122</c:v>
                      </c:pt>
                      <c:pt idx="3">
                        <c:v>0.56463153757609774</c:v>
                      </c:pt>
                      <c:pt idx="4">
                        <c:v>0.28147176645065741</c:v>
                      </c:pt>
                      <c:pt idx="5">
                        <c:v>0.20904672556187798</c:v>
                      </c:pt>
                      <c:pt idx="6">
                        <c:v>0.16678980220216921</c:v>
                      </c:pt>
                      <c:pt idx="7">
                        <c:v>8.4133801447002554E-2</c:v>
                      </c:pt>
                      <c:pt idx="8">
                        <c:v>5.5435718051752403E-2</c:v>
                      </c:pt>
                      <c:pt idx="9">
                        <c:v>4.4702235667406498E-2</c:v>
                      </c:pt>
                      <c:pt idx="10">
                        <c:v>4.1388629364476515E-2</c:v>
                      </c:pt>
                      <c:pt idx="11">
                        <c:v>4.1516695692848771E-2</c:v>
                      </c:pt>
                      <c:pt idx="12">
                        <c:v>3.9833351312893228E-2</c:v>
                      </c:pt>
                      <c:pt idx="13">
                        <c:v>3.0352046454463988E-2</c:v>
                      </c:pt>
                      <c:pt idx="14">
                        <c:v>2.4275654613543196E-2</c:v>
                      </c:pt>
                      <c:pt idx="15">
                        <c:v>2.0482431475036478E-2</c:v>
                      </c:pt>
                      <c:pt idx="16">
                        <c:v>1.8262077261415044E-2</c:v>
                      </c:pt>
                      <c:pt idx="17">
                        <c:v>1.714810908316089E-2</c:v>
                      </c:pt>
                      <c:pt idx="18">
                        <c:v>1.6824861030956484E-2</c:v>
                      </c:pt>
                      <c:pt idx="19">
                        <c:v>1.7073344569553228E-2</c:v>
                      </c:pt>
                      <c:pt idx="20">
                        <c:v>1.7738436215188003E-2</c:v>
                      </c:pt>
                      <c:pt idx="21">
                        <c:v>1.8708298959426273E-2</c:v>
                      </c:pt>
                      <c:pt idx="22">
                        <c:v>1.7139908524949732E-2</c:v>
                      </c:pt>
                      <c:pt idx="23">
                        <c:v>1.4635331744155877E-2</c:v>
                      </c:pt>
                      <c:pt idx="24">
                        <c:v>1.2722831290817638E-2</c:v>
                      </c:pt>
                      <c:pt idx="25">
                        <c:v>1.0265780767637622E-2</c:v>
                      </c:pt>
                      <c:pt idx="26">
                        <c:v>9.1426849666103038E-3</c:v>
                      </c:pt>
                      <c:pt idx="27">
                        <c:v>8.9445715383398294E-3</c:v>
                      </c:pt>
                      <c:pt idx="28">
                        <c:v>9.3963422269247587E-3</c:v>
                      </c:pt>
                      <c:pt idx="29">
                        <c:v>1.0308419339850161E-2</c:v>
                      </c:pt>
                      <c:pt idx="30">
                        <c:v>9.3657157915600919E-3</c:v>
                      </c:pt>
                      <c:pt idx="31">
                        <c:v>7.6172087418857615E-3</c:v>
                      </c:pt>
                      <c:pt idx="32">
                        <c:v>6.4716007070195758E-3</c:v>
                      </c:pt>
                      <c:pt idx="33">
                        <c:v>5.8032358684343421E-3</c:v>
                      </c:pt>
                      <c:pt idx="34">
                        <c:v>5.5151466940568383E-3</c:v>
                      </c:pt>
                      <c:pt idx="35">
                        <c:v>5.7932064038990205E-3</c:v>
                      </c:pt>
                      <c:pt idx="36">
                        <c:v>6.8711776960679316E-3</c:v>
                      </c:pt>
                      <c:pt idx="37">
                        <c:v>4.9948653364442208E-3</c:v>
                      </c:pt>
                      <c:pt idx="38">
                        <c:v>3.998902402608806E-3</c:v>
                      </c:pt>
                      <c:pt idx="39">
                        <c:v>3.705759860130442E-3</c:v>
                      </c:pt>
                      <c:pt idx="40">
                        <c:v>3.9329837775365917E-3</c:v>
                      </c:pt>
                      <c:pt idx="41">
                        <c:v>4.5480628514784627E-3</c:v>
                      </c:pt>
                      <c:pt idx="42">
                        <c:v>3.9459867066291565E-3</c:v>
                      </c:pt>
                      <c:pt idx="43">
                        <c:v>3.1497624432770266E-3</c:v>
                      </c:pt>
                      <c:pt idx="44">
                        <c:v>2.7516243527507811E-3</c:v>
                      </c:pt>
                      <c:pt idx="45">
                        <c:v>2.6731430150341851E-3</c:v>
                      </c:pt>
                      <c:pt idx="46">
                        <c:v>2.8524472978439519E-3</c:v>
                      </c:pt>
                      <c:pt idx="47">
                        <c:v>3.2402994228935E-3</c:v>
                      </c:pt>
                      <c:pt idx="48">
                        <c:v>3.1576263431709606E-3</c:v>
                      </c:pt>
                      <c:pt idx="49">
                        <c:v>2.5601602053306749E-3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-0.80501463202914181</c:v>
                </c:pt>
                <c:pt idx="2">
                  <c:v>-0.76284958940199132</c:v>
                </c:pt>
                <c:pt idx="3">
                  <c:v>-0.74180608393603009</c:v>
                </c:pt>
                <c:pt idx="4">
                  <c:v>-0.74180608393604786</c:v>
                </c:pt>
                <c:pt idx="5">
                  <c:v>-0.7418060839360443</c:v>
                </c:pt>
                <c:pt idx="6">
                  <c:v>-0.71640855793022062</c:v>
                </c:pt>
                <c:pt idx="7">
                  <c:v>-0.66538435626365988</c:v>
                </c:pt>
                <c:pt idx="8">
                  <c:v>-0.66538435626366876</c:v>
                </c:pt>
                <c:pt idx="9">
                  <c:v>-0.66538435626366166</c:v>
                </c:pt>
                <c:pt idx="10">
                  <c:v>-0.66538435626365811</c:v>
                </c:pt>
                <c:pt idx="11">
                  <c:v>-0.5975996242829904</c:v>
                </c:pt>
                <c:pt idx="12">
                  <c:v>-0.57847456737701819</c:v>
                </c:pt>
                <c:pt idx="13">
                  <c:v>-0.57847456737702352</c:v>
                </c:pt>
                <c:pt idx="14">
                  <c:v>-0.57847456737701997</c:v>
                </c:pt>
                <c:pt idx="15">
                  <c:v>-0.57847456737702529</c:v>
                </c:pt>
                <c:pt idx="16">
                  <c:v>-0.48560290013726082</c:v>
                </c:pt>
                <c:pt idx="17">
                  <c:v>-0.4855080259557667</c:v>
                </c:pt>
                <c:pt idx="18">
                  <c:v>-0.4855080259557667</c:v>
                </c:pt>
                <c:pt idx="19">
                  <c:v>-0.48550802595577558</c:v>
                </c:pt>
                <c:pt idx="20">
                  <c:v>-0.4855080259557667</c:v>
                </c:pt>
                <c:pt idx="21">
                  <c:v>-0.39403122367334387</c:v>
                </c:pt>
                <c:pt idx="22">
                  <c:v>-0.39197010874551985</c:v>
                </c:pt>
                <c:pt idx="23">
                  <c:v>-0.39197010874552163</c:v>
                </c:pt>
                <c:pt idx="24">
                  <c:v>-0.39197010874552163</c:v>
                </c:pt>
                <c:pt idx="25">
                  <c:v>-0.39197010874552074</c:v>
                </c:pt>
                <c:pt idx="26">
                  <c:v>-0.32957571383096784</c:v>
                </c:pt>
                <c:pt idx="27">
                  <c:v>-0.30344821893688501</c:v>
                </c:pt>
                <c:pt idx="28">
                  <c:v>-0.30344821893688501</c:v>
                </c:pt>
                <c:pt idx="29">
                  <c:v>-0.30344821893688323</c:v>
                </c:pt>
                <c:pt idx="30">
                  <c:v>-0.30344821893688323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-0.78441469808298692</c:v>
                </c:pt>
                <c:pt idx="2">
                  <c:v>-0.76975628788048667</c:v>
                </c:pt>
                <c:pt idx="3">
                  <c:v>-0.75451466321311145</c:v>
                </c:pt>
                <c:pt idx="4">
                  <c:v>-0.73872558591506632</c:v>
                </c:pt>
                <c:pt idx="5">
                  <c:v>-0.72242827787473729</c:v>
                </c:pt>
                <c:pt idx="6">
                  <c:v>-0.70566499554626461</c:v>
                </c:pt>
                <c:pt idx="7">
                  <c:v>-0.68848058162199877</c:v>
                </c:pt>
                <c:pt idx="8">
                  <c:v>-0.67092200202328556</c:v>
                </c:pt>
                <c:pt idx="9">
                  <c:v>-0.65303787607228792</c:v>
                </c:pt>
                <c:pt idx="10">
                  <c:v>-0.63487800727257948</c:v>
                </c:pt>
                <c:pt idx="11">
                  <c:v>-0.61649292156562652</c:v>
                </c:pt>
                <c:pt idx="12">
                  <c:v>-0.59793341928180688</c:v>
                </c:pt>
                <c:pt idx="13">
                  <c:v>-0.5792501462831563</c:v>
                </c:pt>
                <c:pt idx="14">
                  <c:v>-0.56049318903164647</c:v>
                </c:pt>
                <c:pt idx="15">
                  <c:v>-0.54171169753178106</c:v>
                </c:pt>
                <c:pt idx="16">
                  <c:v>-0.52295353930862731</c:v>
                </c:pt>
                <c:pt idx="17">
                  <c:v>-0.50426498681181009</c:v>
                </c:pt>
                <c:pt idx="18">
                  <c:v>-0.48569043989654936</c:v>
                </c:pt>
                <c:pt idx="19">
                  <c:v>-0.46727218433745499</c:v>
                </c:pt>
                <c:pt idx="20">
                  <c:v>-0.44905018668795016</c:v>
                </c:pt>
                <c:pt idx="21">
                  <c:v>-0.43106192521760356</c:v>
                </c:pt>
                <c:pt idx="22">
                  <c:v>-0.41334225614356868</c:v>
                </c:pt>
                <c:pt idx="23">
                  <c:v>-0.39592331392495517</c:v>
                </c:pt>
                <c:pt idx="24">
                  <c:v>-0.37883444401078137</c:v>
                </c:pt>
                <c:pt idx="25">
                  <c:v>-0.36210216612202828</c:v>
                </c:pt>
                <c:pt idx="26">
                  <c:v>-0.34575016590433805</c:v>
                </c:pt>
                <c:pt idx="27">
                  <c:v>-0.32979931260598416</c:v>
                </c:pt>
                <c:pt idx="28">
                  <c:v>-0.31426770031326523</c:v>
                </c:pt>
                <c:pt idx="29">
                  <c:v>-0.29917071020432928</c:v>
                </c:pt>
                <c:pt idx="30">
                  <c:v>-0.28452109126137159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-0.10276780139166775</c:v>
                </c:pt>
                <c:pt idx="1">
                  <c:v>-0.12336773533782264</c:v>
                </c:pt>
                <c:pt idx="2">
                  <c:v>-0.11646103685932729</c:v>
                </c:pt>
                <c:pt idx="3">
                  <c:v>-0.10375245758224594</c:v>
                </c:pt>
                <c:pt idx="4">
                  <c:v>-0.10683295560322748</c:v>
                </c:pt>
                <c:pt idx="5">
                  <c:v>-0.12621076166453449</c:v>
                </c:pt>
                <c:pt idx="6">
                  <c:v>-0.13695432404849051</c:v>
                </c:pt>
                <c:pt idx="7">
                  <c:v>-0.11385809869015162</c:v>
                </c:pt>
                <c:pt idx="8">
                  <c:v>-0.10832045293053483</c:v>
                </c:pt>
                <c:pt idx="9">
                  <c:v>-0.12066693312190857</c:v>
                </c:pt>
                <c:pt idx="10">
                  <c:v>-0.1511732821129872</c:v>
                </c:pt>
                <c:pt idx="11">
                  <c:v>-0.13227998483035108</c:v>
                </c:pt>
                <c:pt idx="12">
                  <c:v>-0.1128211329255624</c:v>
                </c:pt>
                <c:pt idx="13">
                  <c:v>-0.11204555401942962</c:v>
                </c:pt>
                <c:pt idx="14">
                  <c:v>-0.13002693236480312</c:v>
                </c:pt>
                <c:pt idx="15">
                  <c:v>-0.16678980221004736</c:v>
                </c:pt>
                <c:pt idx="16">
                  <c:v>-0.12943916303868086</c:v>
                </c:pt>
                <c:pt idx="17">
                  <c:v>-0.11068220218263747</c:v>
                </c:pt>
                <c:pt idx="18">
                  <c:v>-0.1104997882418548</c:v>
                </c:pt>
                <c:pt idx="19">
                  <c:v>-0.12873562986017539</c:v>
                </c:pt>
                <c:pt idx="20">
                  <c:v>-0.16519346912799193</c:v>
                </c:pt>
                <c:pt idx="21">
                  <c:v>-0.12816276758373224</c:v>
                </c:pt>
                <c:pt idx="22">
                  <c:v>-0.10679062018568342</c:v>
                </c:pt>
                <c:pt idx="23">
                  <c:v>-0.10283741500624988</c:v>
                </c:pt>
                <c:pt idx="24">
                  <c:v>-0.11597307974099014</c:v>
                </c:pt>
                <c:pt idx="25">
                  <c:v>-0.1458410223644826</c:v>
                </c:pt>
                <c:pt idx="26">
                  <c:v>-0.12966657029111239</c:v>
                </c:pt>
                <c:pt idx="27">
                  <c:v>-0.10331547662201324</c:v>
                </c:pt>
                <c:pt idx="28">
                  <c:v>-9.2495995245633011E-2</c:v>
                </c:pt>
                <c:pt idx="29">
                  <c:v>-9.6773503978186959E-2</c:v>
                </c:pt>
                <c:pt idx="30">
                  <c:v>-0.11570063165369859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20.366520119990724</c:v>
                </c:pt>
                <c:pt idx="1">
                  <c:v>19.561505487961583</c:v>
                </c:pt>
                <c:pt idx="2">
                  <c:v>18.798655898559591</c:v>
                </c:pt>
                <c:pt idx="3">
                  <c:v>18.056849814623561</c:v>
                </c:pt>
                <c:pt idx="4">
                  <c:v>17.315043730687513</c:v>
                </c:pt>
                <c:pt idx="5">
                  <c:v>16.573237646751469</c:v>
                </c:pt>
                <c:pt idx="6">
                  <c:v>15.856829088821248</c:v>
                </c:pt>
                <c:pt idx="7">
                  <c:v>15.191444732557589</c:v>
                </c:pt>
                <c:pt idx="8">
                  <c:v>14.52606037629392</c:v>
                </c:pt>
                <c:pt idx="9">
                  <c:v>13.860676020030258</c:v>
                </c:pt>
                <c:pt idx="10">
                  <c:v>13.1952916637666</c:v>
                </c:pt>
                <c:pt idx="11">
                  <c:v>12.59769203948361</c:v>
                </c:pt>
                <c:pt idx="12">
                  <c:v>12.019217472106591</c:v>
                </c:pt>
                <c:pt idx="13">
                  <c:v>11.440742904729568</c:v>
                </c:pt>
                <c:pt idx="14">
                  <c:v>10.862268337352548</c:v>
                </c:pt>
                <c:pt idx="15">
                  <c:v>10.283793769975523</c:v>
                </c:pt>
                <c:pt idx="16">
                  <c:v>9.7981908698382618</c:v>
                </c:pt>
                <c:pt idx="17">
                  <c:v>9.3126828438824951</c:v>
                </c:pt>
                <c:pt idx="18">
                  <c:v>8.8271748179267284</c:v>
                </c:pt>
                <c:pt idx="19">
                  <c:v>8.3416667919709528</c:v>
                </c:pt>
                <c:pt idx="20">
                  <c:v>7.8561587660151861</c:v>
                </c:pt>
                <c:pt idx="21">
                  <c:v>7.4621275423418423</c:v>
                </c:pt>
                <c:pt idx="22">
                  <c:v>7.0701574335963224</c:v>
                </c:pt>
                <c:pt idx="23">
                  <c:v>6.6781873248508008</c:v>
                </c:pt>
                <c:pt idx="24">
                  <c:v>6.2862172161052792</c:v>
                </c:pt>
                <c:pt idx="25">
                  <c:v>5.8942471073597584</c:v>
                </c:pt>
                <c:pt idx="26">
                  <c:v>5.5646713935287906</c:v>
                </c:pt>
                <c:pt idx="27">
                  <c:v>5.2612231745919056</c:v>
                </c:pt>
                <c:pt idx="28">
                  <c:v>4.9577749556550206</c:v>
                </c:pt>
                <c:pt idx="29">
                  <c:v>4.6543267367181373</c:v>
                </c:pt>
                <c:pt idx="30">
                  <c:v>4.3508785177812541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20.469287921382392</c:v>
                </c:pt>
                <c:pt idx="1">
                  <c:v>19.684873223299405</c:v>
                </c:pt>
                <c:pt idx="2">
                  <c:v>18.915116935418919</c:v>
                </c:pt>
                <c:pt idx="3">
                  <c:v>18.160602272205807</c:v>
                </c:pt>
                <c:pt idx="4">
                  <c:v>17.421876686290741</c:v>
                </c:pt>
                <c:pt idx="5">
                  <c:v>16.699448408416004</c:v>
                </c:pt>
                <c:pt idx="6">
                  <c:v>15.993783412869739</c:v>
                </c:pt>
                <c:pt idx="7">
                  <c:v>15.30530283124774</c:v>
                </c:pt>
                <c:pt idx="8">
                  <c:v>14.634380829224455</c:v>
                </c:pt>
                <c:pt idx="9">
                  <c:v>13.981342953152167</c:v>
                </c:pt>
                <c:pt idx="10">
                  <c:v>13.346464945879587</c:v>
                </c:pt>
                <c:pt idx="11">
                  <c:v>12.729972024313961</c:v>
                </c:pt>
                <c:pt idx="12">
                  <c:v>12.132038605032154</c:v>
                </c:pt>
                <c:pt idx="13">
                  <c:v>11.552788458748998</c:v>
                </c:pt>
                <c:pt idx="14">
                  <c:v>10.992295269717351</c:v>
                </c:pt>
                <c:pt idx="15">
                  <c:v>10.45058357218557</c:v>
                </c:pt>
                <c:pt idx="16">
                  <c:v>9.9276300328769427</c:v>
                </c:pt>
                <c:pt idx="17">
                  <c:v>9.4233650460651326</c:v>
                </c:pt>
                <c:pt idx="18">
                  <c:v>8.9376746061685832</c:v>
                </c:pt>
                <c:pt idx="19">
                  <c:v>8.4704024218311282</c:v>
                </c:pt>
                <c:pt idx="20">
                  <c:v>8.0213522351431781</c:v>
                </c:pt>
                <c:pt idx="21">
                  <c:v>7.5902903099255745</c:v>
                </c:pt>
                <c:pt idx="22">
                  <c:v>7.1769480537820058</c:v>
                </c:pt>
                <c:pt idx="23">
                  <c:v>6.7810247398570507</c:v>
                </c:pt>
                <c:pt idx="24">
                  <c:v>6.4021902958462693</c:v>
                </c:pt>
                <c:pt idx="25">
                  <c:v>6.040088129724241</c:v>
                </c:pt>
                <c:pt idx="26">
                  <c:v>5.694337963819903</c:v>
                </c:pt>
                <c:pt idx="27">
                  <c:v>5.3645386512139188</c:v>
                </c:pt>
                <c:pt idx="28">
                  <c:v>5.0502709509006536</c:v>
                </c:pt>
                <c:pt idx="29">
                  <c:v>4.7511002406963243</c:v>
                </c:pt>
                <c:pt idx="30">
                  <c:v>4.4665791494349527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</xdr:row>
          <xdr:rowOff>0</xdr:rowOff>
        </xdr:from>
        <xdr:to>
          <xdr:col>15</xdr:col>
          <xdr:colOff>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233796</xdr:colOff>
      <xdr:row>25</xdr:row>
      <xdr:rowOff>60614</xdr:rowOff>
    </xdr:from>
    <xdr:to>
      <xdr:col>3</xdr:col>
      <xdr:colOff>383261</xdr:colOff>
      <xdr:row>27</xdr:row>
      <xdr:rowOff>155864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273" y="5004955"/>
          <a:ext cx="1760056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0</xdr:row>
          <xdr:rowOff>76200</xdr:rowOff>
        </xdr:from>
        <xdr:to>
          <xdr:col>5</xdr:col>
          <xdr:colOff>1209675</xdr:colOff>
          <xdr:row>2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640523</xdr:colOff>
      <xdr:row>34</xdr:row>
      <xdr:rowOff>97225</xdr:rowOff>
    </xdr:from>
    <xdr:to>
      <xdr:col>14</xdr:col>
      <xdr:colOff>290810</xdr:colOff>
      <xdr:row>47</xdr:row>
      <xdr:rowOff>24669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66DC2B5-EB66-64F5-0FB0-ACBF964F7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228523" y="6241080"/>
          <a:ext cx="4888577" cy="2272343"/>
        </a:xfrm>
        <a:prstGeom prst="rect">
          <a:avLst/>
        </a:prstGeom>
      </xdr:spPr>
    </xdr:pic>
    <xdr:clientData/>
  </xdr:twoCellAnchor>
  <xdr:twoCellAnchor editAs="oneCell">
    <xdr:from>
      <xdr:col>14</xdr:col>
      <xdr:colOff>320069</xdr:colOff>
      <xdr:row>34</xdr:row>
      <xdr:rowOff>121478</xdr:rowOff>
    </xdr:from>
    <xdr:to>
      <xdr:col>21</xdr:col>
      <xdr:colOff>591187</xdr:colOff>
      <xdr:row>47</xdr:row>
      <xdr:rowOff>13210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0E1516-7F01-6375-566C-A4ADF1613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46359" y="6265333"/>
          <a:ext cx="4857843" cy="2236631"/>
        </a:xfrm>
        <a:prstGeom prst="rect">
          <a:avLst/>
        </a:prstGeom>
      </xdr:spPr>
    </xdr:pic>
    <xdr:clientData/>
  </xdr:twoCellAnchor>
  <xdr:twoCellAnchor editAs="oneCell">
    <xdr:from>
      <xdr:col>7</xdr:col>
      <xdr:colOff>42723</xdr:colOff>
      <xdr:row>46</xdr:row>
      <xdr:rowOff>149539</xdr:rowOff>
    </xdr:from>
    <xdr:to>
      <xdr:col>14</xdr:col>
      <xdr:colOff>308749</xdr:colOff>
      <xdr:row>59</xdr:row>
      <xdr:rowOff>121477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40C825A-0ABE-1E69-8840-11DA86738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85969" y="8457916"/>
          <a:ext cx="4849070" cy="2316837"/>
        </a:xfrm>
        <a:prstGeom prst="rect">
          <a:avLst/>
        </a:prstGeom>
      </xdr:spPr>
    </xdr:pic>
    <xdr:clientData/>
  </xdr:twoCellAnchor>
  <xdr:twoCellAnchor editAs="oneCell">
    <xdr:from>
      <xdr:col>14</xdr:col>
      <xdr:colOff>326571</xdr:colOff>
      <xdr:row>46</xdr:row>
      <xdr:rowOff>143566</xdr:rowOff>
    </xdr:from>
    <xdr:to>
      <xdr:col>21</xdr:col>
      <xdr:colOff>592665</xdr:colOff>
      <xdr:row>59</xdr:row>
      <xdr:rowOff>129491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ABBCCD-EFB4-DBD3-1B88-01287DFC0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52861" y="8451943"/>
          <a:ext cx="4852819" cy="23308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1038225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29"/>
  <sheetViews>
    <sheetView tabSelected="1" zoomScale="110" zoomScaleNormal="110" workbookViewId="0">
      <selection activeCell="I10" sqref="I10"/>
    </sheetView>
  </sheetViews>
  <sheetFormatPr baseColWidth="10" defaultColWidth="9" defaultRowHeight="15" x14ac:dyDescent="0.25"/>
  <cols>
    <col min="1" max="1" width="9" style="10"/>
    <col min="2" max="2" width="10.28515625" style="10" customWidth="1"/>
    <col min="3" max="3" width="13.85546875" style="10" customWidth="1"/>
    <col min="4" max="4" width="16.7109375" style="10" customWidth="1"/>
    <col min="5" max="5" width="13.140625" style="10" customWidth="1"/>
    <col min="6" max="11" width="9" style="10"/>
    <col min="12" max="12" width="8.28515625" style="10" customWidth="1"/>
    <col min="13" max="13" width="9" style="10"/>
    <col min="14" max="14" width="8" style="10" customWidth="1"/>
    <col min="15" max="16384" width="9" style="10"/>
  </cols>
  <sheetData>
    <row r="1" spans="2:15" ht="14.45" customHeight="1" x14ac:dyDescent="0.25">
      <c r="B1" s="43" t="s">
        <v>43</v>
      </c>
      <c r="C1" s="43"/>
      <c r="D1" s="43"/>
      <c r="E1" s="43"/>
    </row>
    <row r="2" spans="2:15" ht="14.45" customHeight="1" x14ac:dyDescent="0.25">
      <c r="B2" s="43"/>
      <c r="C2" s="43"/>
      <c r="D2" s="43"/>
      <c r="E2" s="43"/>
    </row>
    <row r="3" spans="2:15" ht="14.45" customHeight="1" x14ac:dyDescent="0.25">
      <c r="B3" s="43"/>
      <c r="C3" s="43"/>
      <c r="D3" s="43"/>
      <c r="E3" s="43"/>
    </row>
    <row r="6" spans="2:15" ht="14.45" customHeight="1" x14ac:dyDescent="0.25">
      <c r="B6" s="41" t="s">
        <v>0</v>
      </c>
      <c r="C6" s="46" t="s">
        <v>11</v>
      </c>
      <c r="D6" s="11" t="s">
        <v>13</v>
      </c>
      <c r="E6" s="1">
        <v>100</v>
      </c>
      <c r="J6" s="39" t="s">
        <v>17</v>
      </c>
      <c r="K6" s="39"/>
      <c r="L6" s="39"/>
      <c r="M6" s="38" t="s">
        <v>53</v>
      </c>
      <c r="N6" s="38"/>
      <c r="O6" s="38"/>
    </row>
    <row r="7" spans="2:15" x14ac:dyDescent="0.25">
      <c r="B7" s="41"/>
      <c r="C7" s="46"/>
      <c r="D7" s="11" t="s">
        <v>28</v>
      </c>
      <c r="E7" s="2">
        <v>0.2</v>
      </c>
      <c r="J7" s="39"/>
      <c r="K7" s="39"/>
      <c r="L7" s="39"/>
      <c r="M7" s="38"/>
      <c r="N7" s="38"/>
      <c r="O7" s="38"/>
    </row>
    <row r="8" spans="2:15" x14ac:dyDescent="0.25">
      <c r="B8" s="41"/>
      <c r="C8" s="46"/>
      <c r="D8" s="11" t="s">
        <v>29</v>
      </c>
      <c r="E8" s="2">
        <v>0.05</v>
      </c>
      <c r="J8" s="39" t="s">
        <v>16</v>
      </c>
      <c r="K8" s="39"/>
      <c r="L8" s="39"/>
      <c r="M8" s="38" t="s">
        <v>53</v>
      </c>
      <c r="N8" s="38"/>
      <c r="O8" s="38"/>
    </row>
    <row r="9" spans="2:15" x14ac:dyDescent="0.25">
      <c r="B9" s="41"/>
      <c r="C9" s="46"/>
      <c r="D9" s="11" t="s">
        <v>14</v>
      </c>
      <c r="E9" s="1">
        <v>0</v>
      </c>
      <c r="J9" s="39"/>
      <c r="K9" s="39"/>
      <c r="L9" s="39"/>
      <c r="M9" s="38"/>
      <c r="N9" s="38"/>
      <c r="O9" s="38"/>
    </row>
    <row r="10" spans="2:15" x14ac:dyDescent="0.25">
      <c r="B10" s="41"/>
      <c r="C10" s="46"/>
      <c r="D10" s="11" t="s">
        <v>3</v>
      </c>
      <c r="E10" s="3">
        <v>45597</v>
      </c>
      <c r="J10" s="40"/>
      <c r="K10" s="40"/>
      <c r="L10" s="40"/>
      <c r="M10" s="40"/>
      <c r="N10" s="40"/>
      <c r="O10" s="40"/>
    </row>
    <row r="11" spans="2:15" x14ac:dyDescent="0.25">
      <c r="B11" s="41"/>
      <c r="C11" s="46" t="s">
        <v>12</v>
      </c>
      <c r="D11" s="11" t="s">
        <v>30</v>
      </c>
      <c r="E11" s="1">
        <v>1</v>
      </c>
      <c r="J11" s="40"/>
      <c r="K11" s="40"/>
      <c r="L11" s="40"/>
      <c r="M11" s="40"/>
      <c r="N11" s="40"/>
      <c r="O11" s="40"/>
    </row>
    <row r="12" spans="2:15" x14ac:dyDescent="0.25">
      <c r="B12" s="41"/>
      <c r="C12" s="46"/>
      <c r="D12" s="11" t="s">
        <v>15</v>
      </c>
      <c r="E12" s="1">
        <v>100</v>
      </c>
      <c r="J12" s="40"/>
      <c r="K12" s="40"/>
      <c r="L12" s="40"/>
      <c r="M12" s="40"/>
      <c r="N12" s="40"/>
      <c r="O12" s="40"/>
    </row>
    <row r="13" spans="2:15" x14ac:dyDescent="0.25">
      <c r="B13" s="41"/>
      <c r="C13" s="46"/>
      <c r="D13" s="11" t="s">
        <v>4</v>
      </c>
      <c r="E13" s="3">
        <v>45566</v>
      </c>
      <c r="J13" s="40"/>
      <c r="K13" s="40"/>
      <c r="L13" s="40"/>
      <c r="M13" s="40"/>
      <c r="N13" s="40"/>
      <c r="O13" s="40"/>
    </row>
    <row r="14" spans="2:15" x14ac:dyDescent="0.25">
      <c r="B14" s="41"/>
      <c r="C14" s="46"/>
      <c r="D14" s="11" t="s">
        <v>1</v>
      </c>
      <c r="E14" s="1" t="s">
        <v>5</v>
      </c>
    </row>
    <row r="15" spans="2:15" x14ac:dyDescent="0.25">
      <c r="B15" s="41"/>
      <c r="C15" s="46"/>
      <c r="D15" s="11" t="s">
        <v>31</v>
      </c>
      <c r="E15" s="1" t="s">
        <v>6</v>
      </c>
      <c r="J15" s="32" t="s">
        <v>19</v>
      </c>
      <c r="K15" s="33"/>
      <c r="L15" s="34"/>
      <c r="M15" s="26">
        <v>0.64097823006274979</v>
      </c>
      <c r="N15" s="27"/>
      <c r="O15" s="28"/>
    </row>
    <row r="16" spans="2:15" ht="16.7" customHeight="1" x14ac:dyDescent="0.25">
      <c r="B16" s="41"/>
      <c r="C16" s="45" t="s">
        <v>32</v>
      </c>
      <c r="D16" s="11" t="s">
        <v>33</v>
      </c>
      <c r="E16" s="1">
        <v>50</v>
      </c>
      <c r="J16" s="35"/>
      <c r="K16" s="36"/>
      <c r="L16" s="37"/>
      <c r="M16" s="29"/>
      <c r="N16" s="30"/>
      <c r="O16" s="31"/>
    </row>
    <row r="17" spans="2:15" x14ac:dyDescent="0.25">
      <c r="B17" s="41"/>
      <c r="C17" s="45"/>
      <c r="D17" s="11" t="s">
        <v>34</v>
      </c>
      <c r="E17" s="4">
        <v>1E-8</v>
      </c>
      <c r="J17" s="32" t="s">
        <v>20</v>
      </c>
      <c r="K17" s="33"/>
      <c r="L17" s="34"/>
      <c r="M17" s="26">
        <v>1.8331321223306791E-2</v>
      </c>
      <c r="N17" s="27"/>
      <c r="O17" s="28"/>
    </row>
    <row r="18" spans="2:15" ht="18.75" customHeight="1" x14ac:dyDescent="0.25">
      <c r="J18" s="35"/>
      <c r="K18" s="36"/>
      <c r="L18" s="37"/>
      <c r="M18" s="29"/>
      <c r="N18" s="30"/>
      <c r="O18" s="31"/>
    </row>
    <row r="19" spans="2:15" ht="15.75" x14ac:dyDescent="0.25">
      <c r="B19" s="44" t="s">
        <v>18</v>
      </c>
      <c r="C19" s="42" t="s">
        <v>8</v>
      </c>
      <c r="D19" s="12" t="s">
        <v>36</v>
      </c>
      <c r="E19" s="13">
        <v>10.283793769975523</v>
      </c>
      <c r="J19" s="32" t="s">
        <v>21</v>
      </c>
      <c r="K19" s="33"/>
      <c r="L19" s="34"/>
      <c r="M19" s="26">
        <v>37.284407701560163</v>
      </c>
      <c r="N19" s="27"/>
      <c r="O19" s="28"/>
    </row>
    <row r="20" spans="2:15" ht="18" customHeight="1" x14ac:dyDescent="0.25">
      <c r="B20" s="44"/>
      <c r="C20" s="42"/>
      <c r="D20" s="12" t="s">
        <v>37</v>
      </c>
      <c r="E20" s="13">
        <v>10.450583572185582</v>
      </c>
      <c r="J20" s="35"/>
      <c r="K20" s="36"/>
      <c r="L20" s="37"/>
      <c r="M20" s="29"/>
      <c r="N20" s="30"/>
      <c r="O20" s="31"/>
    </row>
    <row r="21" spans="2:15" ht="18.75" customHeight="1" x14ac:dyDescent="0.25">
      <c r="B21" s="44"/>
      <c r="C21" s="42"/>
      <c r="D21" s="12" t="s">
        <v>48</v>
      </c>
      <c r="E21" s="16">
        <f>(3*IVol^2)/(INbSteps*8*SQRT(2*PI())*SQRT(EXP(IVol^2)-1))</f>
        <v>5.9243935953594946E-4</v>
      </c>
      <c r="J21" s="32" t="s">
        <v>22</v>
      </c>
      <c r="K21" s="33"/>
      <c r="L21" s="34"/>
      <c r="M21" s="26">
        <v>6.3867891930972753</v>
      </c>
      <c r="N21" s="27"/>
      <c r="O21" s="28"/>
    </row>
    <row r="22" spans="2:15" ht="18" customHeight="1" x14ac:dyDescent="0.25">
      <c r="B22" s="44"/>
      <c r="C22" s="42" t="s">
        <v>35</v>
      </c>
      <c r="D22" s="12" t="s">
        <v>38</v>
      </c>
      <c r="E22" s="14">
        <v>0.9765625</v>
      </c>
      <c r="J22" s="35"/>
      <c r="K22" s="36"/>
      <c r="L22" s="37"/>
      <c r="M22" s="29"/>
      <c r="N22" s="30"/>
      <c r="O22" s="31"/>
    </row>
    <row r="23" spans="2:15" ht="16.350000000000001" customHeight="1" x14ac:dyDescent="0.25">
      <c r="B23" s="44"/>
      <c r="C23" s="42"/>
      <c r="D23" s="12" t="s">
        <v>39</v>
      </c>
      <c r="E23" s="14">
        <v>3.90625E-2</v>
      </c>
      <c r="J23" s="32" t="s">
        <v>23</v>
      </c>
      <c r="K23" s="33"/>
      <c r="L23" s="34"/>
      <c r="M23" s="26">
        <v>53.166516865916066</v>
      </c>
      <c r="N23" s="27"/>
      <c r="O23" s="28"/>
    </row>
    <row r="24" spans="2:15" ht="16.350000000000001" customHeight="1" x14ac:dyDescent="0.25">
      <c r="B24" s="44"/>
      <c r="C24" s="42"/>
      <c r="D24" s="12" t="s">
        <v>40</v>
      </c>
      <c r="E24" s="15">
        <f>ITimeTree+IPriceTime</f>
        <v>1.015625</v>
      </c>
      <c r="J24" s="35"/>
      <c r="K24" s="36"/>
      <c r="L24" s="37"/>
      <c r="M24" s="29"/>
      <c r="N24" s="30"/>
      <c r="O24" s="31"/>
    </row>
    <row r="27" spans="2:15" x14ac:dyDescent="0.25">
      <c r="B27" s="17" t="s">
        <v>41</v>
      </c>
      <c r="C27" s="17"/>
      <c r="D27" s="17"/>
      <c r="E27" s="17"/>
    </row>
    <row r="28" spans="2:15" x14ac:dyDescent="0.25">
      <c r="B28" s="17"/>
      <c r="C28" s="17"/>
      <c r="D28" s="17"/>
      <c r="E28" s="17"/>
    </row>
    <row r="29" spans="2:15" x14ac:dyDescent="0.25">
      <c r="B29" s="17"/>
      <c r="C29" s="17"/>
      <c r="D29" s="17"/>
      <c r="E29" s="17"/>
    </row>
  </sheetData>
  <mergeCells count="23">
    <mergeCell ref="B6:B17"/>
    <mergeCell ref="C22:C24"/>
    <mergeCell ref="B1:E3"/>
    <mergeCell ref="J6:L7"/>
    <mergeCell ref="B19:B24"/>
    <mergeCell ref="C19:C21"/>
    <mergeCell ref="C16:C17"/>
    <mergeCell ref="C6:C10"/>
    <mergeCell ref="C11:C15"/>
    <mergeCell ref="M6:O7"/>
    <mergeCell ref="J8:L9"/>
    <mergeCell ref="M8:O9"/>
    <mergeCell ref="J10:O13"/>
    <mergeCell ref="J15:L16"/>
    <mergeCell ref="M15:O16"/>
    <mergeCell ref="M17:O18"/>
    <mergeCell ref="M19:O20"/>
    <mergeCell ref="M21:O22"/>
    <mergeCell ref="M23:O24"/>
    <mergeCell ref="J17:L18"/>
    <mergeCell ref="J19:L20"/>
    <mergeCell ref="J21:L22"/>
    <mergeCell ref="J23:L24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4" xr:uid="{81C0AB66-2C42-4075-8658-E2E9F45DA347}">
      <formula1>"Call,Put"</formula1>
    </dataValidation>
    <dataValidation type="list" allowBlank="1" showInputMessage="1" showErrorMessage="1" sqref="E15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AX51"/>
  <sheetViews>
    <sheetView zoomScale="58" zoomScaleNormal="70" workbookViewId="0">
      <selection activeCell="D28" sqref="D28"/>
    </sheetView>
  </sheetViews>
  <sheetFormatPr baseColWidth="10" defaultColWidth="9.140625" defaultRowHeight="15" x14ac:dyDescent="0.25"/>
  <cols>
    <col min="1" max="1" width="14.28515625" style="23" customWidth="1"/>
    <col min="2" max="16384" width="9.140625" style="23"/>
  </cols>
  <sheetData>
    <row r="1" spans="1:50" x14ac:dyDescent="0.25">
      <c r="A1" s="47" t="s">
        <v>25</v>
      </c>
      <c r="B1" s="47"/>
      <c r="C1" s="47"/>
    </row>
    <row r="2" spans="1:50" x14ac:dyDescent="0.25">
      <c r="A2" s="47"/>
      <c r="B2" s="47"/>
      <c r="C2" s="47"/>
    </row>
    <row r="3" spans="1:50" x14ac:dyDescent="0.25">
      <c r="A3" s="47"/>
      <c r="B3" s="47"/>
      <c r="C3" s="47"/>
    </row>
    <row r="4" spans="1:50" x14ac:dyDescent="0.25">
      <c r="AV4" s="23">
        <v>323.41472167296496</v>
      </c>
      <c r="AW4" s="23">
        <v>323.73829815591489</v>
      </c>
      <c r="AX4" s="23">
        <v>324.0621983771897</v>
      </c>
    </row>
    <row r="5" spans="1:50" x14ac:dyDescent="0.25">
      <c r="AR5" s="23">
        <v>306.72318791559775</v>
      </c>
      <c r="AS5" s="23">
        <v>307.03006451624071</v>
      </c>
      <c r="AT5" s="23">
        <v>307.33724814697359</v>
      </c>
      <c r="AU5" s="23">
        <v>307.64473911498033</v>
      </c>
      <c r="AV5" s="23">
        <v>307.95253772775175</v>
      </c>
      <c r="AW5" s="23">
        <v>308.26064429308684</v>
      </c>
      <c r="AX5" s="23">
        <v>308.56905911909161</v>
      </c>
    </row>
    <row r="6" spans="1:50" x14ac:dyDescent="0.25">
      <c r="AN6" s="23">
        <v>290.89310937502484</v>
      </c>
      <c r="AO6" s="23">
        <v>291.18414797944905</v>
      </c>
      <c r="AP6" s="23">
        <v>291.47547776804521</v>
      </c>
      <c r="AQ6" s="23">
        <v>291.76709903214356</v>
      </c>
      <c r="AR6" s="23">
        <v>292.05901206336529</v>
      </c>
      <c r="AS6" s="23">
        <v>292.35121715362345</v>
      </c>
      <c r="AT6" s="23">
        <v>292.64371459512296</v>
      </c>
      <c r="AU6" s="23">
        <v>292.93650468036157</v>
      </c>
      <c r="AV6" s="23">
        <v>293.22958770212915</v>
      </c>
      <c r="AW6" s="23">
        <v>293.52296395350913</v>
      </c>
      <c r="AX6" s="23">
        <v>293.81663372787727</v>
      </c>
    </row>
    <row r="7" spans="1:50" x14ac:dyDescent="0.25">
      <c r="AK7" s="23">
        <v>276.15604409330643</v>
      </c>
      <c r="AL7" s="23">
        <v>276.43233826145917</v>
      </c>
      <c r="AM7" s="23">
        <v>276.70890886197338</v>
      </c>
      <c r="AN7" s="23">
        <v>276.98575617141944</v>
      </c>
      <c r="AO7" s="23">
        <v>277.26288046664496</v>
      </c>
      <c r="AP7" s="23">
        <v>277.54028202477377</v>
      </c>
      <c r="AQ7" s="23">
        <v>277.81796112320785</v>
      </c>
      <c r="AR7" s="23">
        <v>278.09591803962627</v>
      </c>
      <c r="AS7" s="23">
        <v>278.3741530519859</v>
      </c>
      <c r="AT7" s="23">
        <v>278.65266643852163</v>
      </c>
      <c r="AU7" s="23">
        <v>278.93145847774713</v>
      </c>
      <c r="AV7" s="23">
        <v>279.21052944845428</v>
      </c>
      <c r="AW7" s="23">
        <v>279.48987962971432</v>
      </c>
      <c r="AX7" s="23">
        <v>279.76950930087708</v>
      </c>
    </row>
    <row r="8" spans="1:50" x14ac:dyDescent="0.25">
      <c r="AG8" s="23">
        <v>261.90354529411587</v>
      </c>
      <c r="AH8" s="23">
        <v>262.16557983484427</v>
      </c>
      <c r="AI8" s="23">
        <v>262.42787654117427</v>
      </c>
      <c r="AJ8" s="23">
        <v>262.69043567540257</v>
      </c>
      <c r="AK8" s="23">
        <v>262.95325750008857</v>
      </c>
      <c r="AL8" s="23">
        <v>263.21634227805379</v>
      </c>
      <c r="AM8" s="23">
        <v>263.47969027238338</v>
      </c>
      <c r="AN8" s="23">
        <v>263.74330174642512</v>
      </c>
      <c r="AO8" s="23">
        <v>264.00717696379081</v>
      </c>
      <c r="AP8" s="23">
        <v>264.27131618835517</v>
      </c>
      <c r="AQ8" s="23">
        <v>264.53571968425786</v>
      </c>
      <c r="AR8" s="23">
        <v>264.80038771590233</v>
      </c>
      <c r="AS8" s="23">
        <v>265.06532054795662</v>
      </c>
      <c r="AT8" s="23">
        <v>265.33051844535339</v>
      </c>
      <c r="AU8" s="23">
        <v>265.59598167329079</v>
      </c>
      <c r="AV8" s="23">
        <v>265.86171049723197</v>
      </c>
      <c r="AW8" s="23">
        <v>266.12770518290591</v>
      </c>
      <c r="AX8" s="23">
        <v>266.39396599630709</v>
      </c>
    </row>
    <row r="9" spans="1:50" x14ac:dyDescent="0.25">
      <c r="AD9" s="23">
        <v>248.635133220673</v>
      </c>
      <c r="AE9" s="23">
        <v>248.88389271290987</v>
      </c>
      <c r="AF9" s="23">
        <v>249.1329010890602</v>
      </c>
      <c r="AG9" s="23">
        <v>249.38215859813226</v>
      </c>
      <c r="AH9" s="23">
        <v>249.63166548938392</v>
      </c>
      <c r="AI9" s="23">
        <v>249.88142201232176</v>
      </c>
      <c r="AJ9" s="23">
        <v>250.13142841670239</v>
      </c>
      <c r="AK9" s="23">
        <v>250.38168495253234</v>
      </c>
      <c r="AL9" s="23">
        <v>250.63219187006797</v>
      </c>
      <c r="AM9" s="23">
        <v>250.8829494198165</v>
      </c>
      <c r="AN9" s="23">
        <v>251.13395785253525</v>
      </c>
      <c r="AO9" s="23">
        <v>251.38521741923299</v>
      </c>
      <c r="AP9" s="23">
        <v>251.63672837116883</v>
      </c>
      <c r="AQ9" s="23">
        <v>251.88849095985415</v>
      </c>
      <c r="AR9" s="23">
        <v>252.14050543705147</v>
      </c>
      <c r="AS9" s="23">
        <v>252.39277205477524</v>
      </c>
      <c r="AT9" s="23">
        <v>252.64529106529196</v>
      </c>
      <c r="AU9" s="23">
        <v>252.89806272112088</v>
      </c>
      <c r="AV9" s="23">
        <v>253.15108727503357</v>
      </c>
      <c r="AW9" s="23">
        <v>253.40436498005471</v>
      </c>
      <c r="AX9" s="23">
        <v>253.65789608946187</v>
      </c>
    </row>
    <row r="10" spans="1:50" x14ac:dyDescent="0.25">
      <c r="AA10" s="23">
        <v>236.0389180766492</v>
      </c>
      <c r="AB10" s="23">
        <v>236.27507505353461</v>
      </c>
      <c r="AC10" s="23">
        <v>236.51146830551474</v>
      </c>
      <c r="AD10" s="23">
        <v>236.74809806898281</v>
      </c>
      <c r="AE10" s="23">
        <v>236.98496458056874</v>
      </c>
      <c r="AF10" s="23">
        <v>237.222068077139</v>
      </c>
      <c r="AG10" s="23">
        <v>237.459408795797</v>
      </c>
      <c r="AH10" s="23">
        <v>237.69698697388381</v>
      </c>
      <c r="AI10" s="23">
        <v>237.93480284897728</v>
      </c>
      <c r="AJ10" s="23">
        <v>238.17285665889338</v>
      </c>
      <c r="AK10" s="23">
        <v>238.41114864168605</v>
      </c>
      <c r="AL10" s="23">
        <v>238.6496790356471</v>
      </c>
      <c r="AM10" s="23">
        <v>238.88844807930718</v>
      </c>
      <c r="AN10" s="23">
        <v>239.12745601143519</v>
      </c>
      <c r="AO10" s="23">
        <v>239.3667030710393</v>
      </c>
      <c r="AP10" s="23">
        <v>239.60618949736619</v>
      </c>
      <c r="AQ10" s="23">
        <v>239.8459155299027</v>
      </c>
      <c r="AR10" s="23">
        <v>240.08588140837475</v>
      </c>
      <c r="AS10" s="23">
        <v>240.32608737274822</v>
      </c>
      <c r="AT10" s="23">
        <v>240.56653366322894</v>
      </c>
      <c r="AU10" s="23">
        <v>240.80722052026348</v>
      </c>
      <c r="AV10" s="23">
        <v>241.04814818453858</v>
      </c>
      <c r="AW10" s="23">
        <v>241.289316896982</v>
      </c>
      <c r="AX10" s="23">
        <v>241.53072689876237</v>
      </c>
    </row>
    <row r="11" spans="1:50" x14ac:dyDescent="0.25">
      <c r="X11" s="23">
        <v>224.08084539422887</v>
      </c>
      <c r="Y11" s="23">
        <v>224.30503831740197</v>
      </c>
      <c r="Z11" s="23">
        <v>224.52945554563209</v>
      </c>
      <c r="AA11" s="23">
        <v>224.75409730333638</v>
      </c>
      <c r="AB11" s="23">
        <v>224.97896381515682</v>
      </c>
      <c r="AC11" s="23">
        <v>225.2040553059598</v>
      </c>
      <c r="AD11" s="23">
        <v>225.42937200083676</v>
      </c>
      <c r="AE11" s="23">
        <v>225.6549141251046</v>
      </c>
      <c r="AF11" s="23">
        <v>225.88068190430533</v>
      </c>
      <c r="AG11" s="23">
        <v>226.10667556420671</v>
      </c>
      <c r="AH11" s="23">
        <v>226.33289533080273</v>
      </c>
      <c r="AI11" s="23">
        <v>226.5593414303128</v>
      </c>
      <c r="AJ11" s="23">
        <v>226.78601408918314</v>
      </c>
      <c r="AK11" s="23">
        <v>227.01291353408652</v>
      </c>
      <c r="AL11" s="23">
        <v>227.24003999192226</v>
      </c>
      <c r="AM11" s="23">
        <v>227.46739368981702</v>
      </c>
      <c r="AN11" s="23">
        <v>227.69497485512434</v>
      </c>
      <c r="AO11" s="23">
        <v>227.92278371542565</v>
      </c>
      <c r="AP11" s="23">
        <v>228.15082049852947</v>
      </c>
      <c r="AQ11" s="23">
        <v>228.37908543247295</v>
      </c>
      <c r="AR11" s="23">
        <v>228.6075787455209</v>
      </c>
      <c r="AS11" s="23">
        <v>228.83630066616664</v>
      </c>
      <c r="AT11" s="23">
        <v>229.065251423132</v>
      </c>
      <c r="AU11" s="23">
        <v>229.29443124536795</v>
      </c>
      <c r="AV11" s="23">
        <v>229.52384036205424</v>
      </c>
      <c r="AW11" s="23">
        <v>229.75347900260007</v>
      </c>
      <c r="AX11" s="23">
        <v>229.98334739664398</v>
      </c>
    </row>
    <row r="12" spans="1:50" x14ac:dyDescent="0.25">
      <c r="U12" s="23">
        <v>212.72858595414684</v>
      </c>
      <c r="V12" s="23">
        <v>212.94142093985761</v>
      </c>
      <c r="W12" s="23">
        <v>213.15446886700707</v>
      </c>
      <c r="X12" s="23">
        <v>213.36772994864316</v>
      </c>
      <c r="Y12" s="23">
        <v>213.58120439802698</v>
      </c>
      <c r="Z12" s="23">
        <v>213.79489242863301</v>
      </c>
      <c r="AA12" s="23">
        <v>214.00879425414919</v>
      </c>
      <c r="AB12" s="23">
        <v>214.22291008847759</v>
      </c>
      <c r="AC12" s="23">
        <v>214.43724014573391</v>
      </c>
      <c r="AD12" s="23">
        <v>214.65178464024814</v>
      </c>
      <c r="AE12" s="23">
        <v>214.86654378656499</v>
      </c>
      <c r="AF12" s="23">
        <v>215.0815177994435</v>
      </c>
      <c r="AG12" s="23">
        <v>215.29670689385767</v>
      </c>
      <c r="AH12" s="23">
        <v>215.51211128499688</v>
      </c>
      <c r="AI12" s="23">
        <v>215.72773118826521</v>
      </c>
      <c r="AJ12" s="23">
        <v>215.94356681928267</v>
      </c>
      <c r="AK12" s="23">
        <v>216.15961839388498</v>
      </c>
      <c r="AL12" s="23">
        <v>216.37588612812362</v>
      </c>
      <c r="AM12" s="23">
        <v>216.59237023826648</v>
      </c>
      <c r="AN12" s="23">
        <v>216.8090709407976</v>
      </c>
      <c r="AO12" s="23">
        <v>217.02598845241783</v>
      </c>
      <c r="AP12" s="23">
        <v>217.24312299004444</v>
      </c>
      <c r="AQ12" s="23">
        <v>217.46047477081225</v>
      </c>
      <c r="AR12" s="23">
        <v>217.678044012073</v>
      </c>
      <c r="AS12" s="23">
        <v>217.89583093139586</v>
      </c>
      <c r="AT12" s="23">
        <v>218.11383574656773</v>
      </c>
      <c r="AU12" s="23">
        <v>218.33205867559357</v>
      </c>
      <c r="AV12" s="23">
        <v>218.5504999366963</v>
      </c>
      <c r="AW12" s="23">
        <v>218.76915974831721</v>
      </c>
      <c r="AX12" s="23">
        <v>218.98803832911602</v>
      </c>
    </row>
    <row r="13" spans="1:50" x14ac:dyDescent="0.25">
      <c r="R13" s="23">
        <v>201.9514483821041</v>
      </c>
      <c r="S13" s="23">
        <v>202.15350083987738</v>
      </c>
      <c r="T13" s="23">
        <v>202.35575545116833</v>
      </c>
      <c r="U13" s="23">
        <v>202.55821241823159</v>
      </c>
      <c r="V13" s="23">
        <v>202.76087194352419</v>
      </c>
      <c r="W13" s="23">
        <v>202.96373422970564</v>
      </c>
      <c r="X13" s="23">
        <v>203.16679947963823</v>
      </c>
      <c r="Y13" s="23">
        <v>203.37006789638724</v>
      </c>
      <c r="Z13" s="23">
        <v>203.57353968322107</v>
      </c>
      <c r="AA13" s="23">
        <v>203.77721504361151</v>
      </c>
      <c r="AB13" s="23">
        <v>203.98109418123406</v>
      </c>
      <c r="AC13" s="23">
        <v>204.18517729996779</v>
      </c>
      <c r="AD13" s="23">
        <v>204.38946460389573</v>
      </c>
      <c r="AE13" s="23">
        <v>204.5939562973054</v>
      </c>
      <c r="AF13" s="23">
        <v>204.79865258468837</v>
      </c>
      <c r="AG13" s="23">
        <v>205.00355367074096</v>
      </c>
      <c r="AH13" s="23">
        <v>205.20865976036447</v>
      </c>
      <c r="AI13" s="23">
        <v>205.41397105866471</v>
      </c>
      <c r="AJ13" s="23">
        <v>205.61948777095313</v>
      </c>
      <c r="AK13" s="23">
        <v>205.82521010274647</v>
      </c>
      <c r="AL13" s="23">
        <v>206.031138259767</v>
      </c>
      <c r="AM13" s="23">
        <v>206.23727244794301</v>
      </c>
      <c r="AN13" s="23">
        <v>206.44361287340863</v>
      </c>
      <c r="AO13" s="23">
        <v>206.65015974250443</v>
      </c>
      <c r="AP13" s="23">
        <v>206.85691326177704</v>
      </c>
      <c r="AQ13" s="23">
        <v>207.06387363798027</v>
      </c>
      <c r="AR13" s="23">
        <v>207.2710410780744</v>
      </c>
      <c r="AS13" s="23">
        <v>207.47841578922686</v>
      </c>
      <c r="AT13" s="23">
        <v>207.68599797881231</v>
      </c>
      <c r="AU13" s="23">
        <v>207.89378785441312</v>
      </c>
      <c r="AV13" s="23">
        <v>208.1017856238191</v>
      </c>
      <c r="AW13" s="23">
        <v>208.30999149502807</v>
      </c>
      <c r="AX13" s="23">
        <v>208.51840567624586</v>
      </c>
    </row>
    <row r="14" spans="1:50" x14ac:dyDescent="0.25">
      <c r="P14" s="23">
        <v>191.91211236145708</v>
      </c>
      <c r="Q14" s="23">
        <v>192.10412046186806</v>
      </c>
      <c r="R14" s="23">
        <v>192.29632066641562</v>
      </c>
      <c r="S14" s="23">
        <v>192.48871316729975</v>
      </c>
      <c r="T14" s="23">
        <v>192.6812981569131</v>
      </c>
      <c r="U14" s="23">
        <v>192.87407582784064</v>
      </c>
      <c r="V14" s="23">
        <v>193.06704637286012</v>
      </c>
      <c r="W14" s="23">
        <v>193.26020998494207</v>
      </c>
      <c r="X14" s="23">
        <v>193.45356685725014</v>
      </c>
      <c r="Y14" s="23">
        <v>193.64711718314115</v>
      </c>
      <c r="Z14" s="23">
        <v>193.84086115616549</v>
      </c>
      <c r="AA14" s="23">
        <v>194.0347989700671</v>
      </c>
      <c r="AB14" s="23">
        <v>194.22893081878391</v>
      </c>
      <c r="AC14" s="23">
        <v>194.42325689644775</v>
      </c>
      <c r="AD14" s="23">
        <v>194.61777739738457</v>
      </c>
      <c r="AE14" s="23">
        <v>194.8124925161151</v>
      </c>
      <c r="AF14" s="23">
        <v>195.00740244735434</v>
      </c>
      <c r="AG14" s="23">
        <v>195.20250738601226</v>
      </c>
      <c r="AH14" s="23">
        <v>195.39780752719398</v>
      </c>
      <c r="AI14" s="23">
        <v>195.59330306619938</v>
      </c>
      <c r="AJ14" s="23">
        <v>195.78899419852414</v>
      </c>
      <c r="AK14" s="23">
        <v>195.98488111985944</v>
      </c>
      <c r="AL14" s="23">
        <v>196.18096402609214</v>
      </c>
      <c r="AM14" s="23">
        <v>196.37724311330524</v>
      </c>
      <c r="AN14" s="23">
        <v>196.57371857777781</v>
      </c>
      <c r="AO14" s="23">
        <v>196.77039061598543</v>
      </c>
      <c r="AP14" s="23">
        <v>196.96725942459992</v>
      </c>
      <c r="AQ14" s="23">
        <v>197.16432520049037</v>
      </c>
      <c r="AR14" s="23">
        <v>197.36158814072246</v>
      </c>
      <c r="AS14" s="23">
        <v>197.55904844255909</v>
      </c>
      <c r="AT14" s="23">
        <v>197.75670630346056</v>
      </c>
      <c r="AU14" s="23">
        <v>197.95456192108489</v>
      </c>
      <c r="AV14" s="23">
        <v>198.15261549328761</v>
      </c>
      <c r="AW14" s="23">
        <v>198.35086721812237</v>
      </c>
      <c r="AX14" s="23">
        <v>198.54931729384086</v>
      </c>
    </row>
    <row r="15" spans="1:50" x14ac:dyDescent="0.25">
      <c r="N15" s="23">
        <v>182.37184811545154</v>
      </c>
      <c r="O15" s="23">
        <v>182.55431117989397</v>
      </c>
      <c r="P15" s="23">
        <v>182.73695679866279</v>
      </c>
      <c r="Q15" s="23">
        <v>182.91978515440363</v>
      </c>
      <c r="R15" s="23">
        <v>183.10279642994496</v>
      </c>
      <c r="S15" s="23">
        <v>183.28599080829784</v>
      </c>
      <c r="T15" s="23">
        <v>183.46936847265684</v>
      </c>
      <c r="U15" s="23">
        <v>183.6529296063996</v>
      </c>
      <c r="V15" s="23">
        <v>183.83667439308726</v>
      </c>
      <c r="W15" s="23">
        <v>184.02060301646466</v>
      </c>
      <c r="X15" s="23">
        <v>184.20471566046047</v>
      </c>
      <c r="Y15" s="23">
        <v>184.38901250918721</v>
      </c>
      <c r="Z15" s="23">
        <v>184.57349374694186</v>
      </c>
      <c r="AA15" s="23">
        <v>184.75815955820562</v>
      </c>
      <c r="AB15" s="23">
        <v>184.94301012764436</v>
      </c>
      <c r="AC15" s="23">
        <v>185.12804564010867</v>
      </c>
      <c r="AD15" s="23">
        <v>185.31326628063394</v>
      </c>
      <c r="AE15" s="23">
        <v>185.49867223444102</v>
      </c>
      <c r="AF15" s="23">
        <v>185.68426368693574</v>
      </c>
      <c r="AG15" s="23">
        <v>185.87004082370962</v>
      </c>
      <c r="AH15" s="23">
        <v>186.05600383053994</v>
      </c>
      <c r="AI15" s="23">
        <v>186.24215289338949</v>
      </c>
      <c r="AJ15" s="23">
        <v>186.42848819840745</v>
      </c>
      <c r="AK15" s="23">
        <v>186.61500993192914</v>
      </c>
      <c r="AL15" s="23">
        <v>186.80171828047628</v>
      </c>
      <c r="AM15" s="23">
        <v>186.98861343075731</v>
      </c>
      <c r="AN15" s="23">
        <v>187.17569556966731</v>
      </c>
      <c r="AO15" s="23">
        <v>187.3629648842886</v>
      </c>
      <c r="AP15" s="23">
        <v>187.55042156189023</v>
      </c>
      <c r="AQ15" s="23">
        <v>187.73806578992918</v>
      </c>
      <c r="AR15" s="23">
        <v>187.92589775604955</v>
      </c>
      <c r="AS15" s="23">
        <v>188.11391764808332</v>
      </c>
      <c r="AT15" s="23">
        <v>188.30212565405034</v>
      </c>
      <c r="AU15" s="23">
        <v>188.49052196215877</v>
      </c>
      <c r="AV15" s="23">
        <v>188.67910676080484</v>
      </c>
      <c r="AW15" s="23">
        <v>188.86788023857343</v>
      </c>
      <c r="AX15" s="23">
        <v>189.05684258423798</v>
      </c>
    </row>
    <row r="16" spans="1:50" x14ac:dyDescent="0.25">
      <c r="L16" s="23">
        <v>173.30584597184105</v>
      </c>
      <c r="M16" s="23">
        <v>173.47923849962743</v>
      </c>
      <c r="N16" s="23">
        <v>173.65280450666668</v>
      </c>
      <c r="O16" s="23">
        <v>173.826544166525</v>
      </c>
      <c r="P16" s="23">
        <v>174.00045765294195</v>
      </c>
      <c r="Q16" s="23">
        <v>174.17454513983105</v>
      </c>
      <c r="R16" s="23">
        <v>174.34880680127989</v>
      </c>
      <c r="S16" s="23">
        <v>174.52324281154992</v>
      </c>
      <c r="T16" s="23">
        <v>174.69785334507736</v>
      </c>
      <c r="U16" s="23">
        <v>174.8726385764727</v>
      </c>
      <c r="V16" s="23">
        <v>175.04759868052116</v>
      </c>
      <c r="W16" s="23">
        <v>175.22273383218294</v>
      </c>
      <c r="X16" s="23">
        <v>175.39804420659317</v>
      </c>
      <c r="Y16" s="23">
        <v>175.57352997906219</v>
      </c>
      <c r="Z16" s="23">
        <v>175.74919132507583</v>
      </c>
      <c r="AA16" s="23">
        <v>175.92502842029543</v>
      </c>
      <c r="AB16" s="23">
        <v>176.10104144055813</v>
      </c>
      <c r="AC16" s="23">
        <v>176.27723056187696</v>
      </c>
      <c r="AD16" s="23">
        <v>176.45359596044096</v>
      </c>
      <c r="AE16" s="23">
        <v>176.63013781261571</v>
      </c>
      <c r="AF16" s="23">
        <v>176.80685629494295</v>
      </c>
      <c r="AG16" s="23">
        <v>176.9837515841412</v>
      </c>
      <c r="AH16" s="23">
        <v>177.1608238571059</v>
      </c>
      <c r="AI16" s="23">
        <v>177.33807329090914</v>
      </c>
      <c r="AJ16" s="23">
        <v>177.51550006280041</v>
      </c>
      <c r="AK16" s="23">
        <v>177.69310435020657</v>
      </c>
      <c r="AL16" s="23">
        <v>177.87088633073185</v>
      </c>
      <c r="AM16" s="23">
        <v>178.04884618215831</v>
      </c>
      <c r="AN16" s="23">
        <v>178.22698408244577</v>
      </c>
      <c r="AO16" s="23">
        <v>178.40530020973225</v>
      </c>
      <c r="AP16" s="23">
        <v>178.58379474233368</v>
      </c>
      <c r="AQ16" s="23">
        <v>178.76246785874486</v>
      </c>
      <c r="AR16" s="23">
        <v>178.94131973763876</v>
      </c>
      <c r="AS16" s="23">
        <v>179.12035055786728</v>
      </c>
      <c r="AT16" s="23">
        <v>179.29956049846126</v>
      </c>
      <c r="AU16" s="23">
        <v>179.47894973863072</v>
      </c>
      <c r="AV16" s="23">
        <v>179.65851845776484</v>
      </c>
      <c r="AW16" s="23">
        <v>179.83826683543245</v>
      </c>
      <c r="AX16" s="23">
        <v>180.01819505138184</v>
      </c>
    </row>
    <row r="17" spans="1:50" x14ac:dyDescent="0.25">
      <c r="K17" s="23">
        <v>164.85530248997591</v>
      </c>
      <c r="L17" s="23">
        <v>165.02024024759984</v>
      </c>
      <c r="M17" s="23">
        <v>165.18534302547783</v>
      </c>
      <c r="N17" s="23">
        <v>165.35061098871256</v>
      </c>
      <c r="O17" s="23">
        <v>165.51604430257211</v>
      </c>
      <c r="P17" s="23">
        <v>165.68164313248974</v>
      </c>
      <c r="Q17" s="23">
        <v>165.84740764406433</v>
      </c>
      <c r="R17" s="23">
        <v>166.01333800306043</v>
      </c>
      <c r="S17" s="23">
        <v>166.17943437540825</v>
      </c>
      <c r="T17" s="23">
        <v>166.34569692720436</v>
      </c>
      <c r="U17" s="23">
        <v>166.51212582471123</v>
      </c>
      <c r="V17" s="23">
        <v>166.67872123435779</v>
      </c>
      <c r="W17" s="23">
        <v>166.84548332273954</v>
      </c>
      <c r="X17" s="23">
        <v>167.01241225661849</v>
      </c>
      <c r="Y17" s="23">
        <v>167.17950820292361</v>
      </c>
      <c r="Z17" s="23">
        <v>167.34677132875086</v>
      </c>
      <c r="AA17" s="23">
        <v>167.51420180136341</v>
      </c>
      <c r="AB17" s="23">
        <v>167.68179978819171</v>
      </c>
      <c r="AC17" s="23">
        <v>167.84956545683377</v>
      </c>
      <c r="AD17" s="23">
        <v>168.01749897505522</v>
      </c>
      <c r="AE17" s="23">
        <v>168.18560051078973</v>
      </c>
      <c r="AF17" s="23">
        <v>168.35387023213872</v>
      </c>
      <c r="AG17" s="23">
        <v>168.52230830737196</v>
      </c>
      <c r="AH17" s="23">
        <v>168.69091490492764</v>
      </c>
      <c r="AI17" s="23">
        <v>168.85969019341221</v>
      </c>
      <c r="AJ17" s="23">
        <v>169.02863434160102</v>
      </c>
      <c r="AK17" s="23">
        <v>169.19774751843829</v>
      </c>
      <c r="AL17" s="23">
        <v>169.36702989303714</v>
      </c>
      <c r="AM17" s="23">
        <v>169.53648163468003</v>
      </c>
      <c r="AN17" s="23">
        <v>169.70610291281866</v>
      </c>
      <c r="AO17" s="23">
        <v>169.87589389707441</v>
      </c>
      <c r="AP17" s="23">
        <v>170.04585475723812</v>
      </c>
      <c r="AQ17" s="23">
        <v>170.21598566327086</v>
      </c>
      <c r="AR17" s="23">
        <v>170.38628678530341</v>
      </c>
      <c r="AS17" s="23">
        <v>170.55675829363693</v>
      </c>
      <c r="AT17" s="23">
        <v>170.72740035874293</v>
      </c>
      <c r="AU17" s="23">
        <v>170.89821315126355</v>
      </c>
      <c r="AV17" s="23">
        <v>171.06919684201154</v>
      </c>
      <c r="AW17" s="23">
        <v>171.24035160197064</v>
      </c>
      <c r="AX17" s="23">
        <v>171.41167760229561</v>
      </c>
    </row>
    <row r="18" spans="1:50" x14ac:dyDescent="0.25">
      <c r="J18" s="23">
        <v>156.81681484349488</v>
      </c>
      <c r="K18" s="23">
        <v>156.97371009288852</v>
      </c>
      <c r="L18" s="23">
        <v>157.13076231600525</v>
      </c>
      <c r="M18" s="23">
        <v>157.28797166989744</v>
      </c>
      <c r="N18" s="23">
        <v>157.44533831177435</v>
      </c>
      <c r="O18" s="23">
        <v>157.60286239900276</v>
      </c>
      <c r="P18" s="23">
        <v>157.76054408910667</v>
      </c>
      <c r="Q18" s="23">
        <v>157.91838353976783</v>
      </c>
      <c r="R18" s="23">
        <v>158.07638090882574</v>
      </c>
      <c r="S18" s="23">
        <v>158.23453635427762</v>
      </c>
      <c r="T18" s="23">
        <v>158.39285003427912</v>
      </c>
      <c r="U18" s="23">
        <v>158.55132210714382</v>
      </c>
      <c r="V18" s="23">
        <v>158.70995273134383</v>
      </c>
      <c r="W18" s="23">
        <v>158.86874206550985</v>
      </c>
      <c r="X18" s="23">
        <v>159.02769026843114</v>
      </c>
      <c r="Y18" s="23">
        <v>159.18679749905596</v>
      </c>
      <c r="Z18" s="23">
        <v>159.34606391649154</v>
      </c>
      <c r="AA18" s="23">
        <v>159.50548968000433</v>
      </c>
      <c r="AB18" s="23">
        <v>159.6650749490201</v>
      </c>
      <c r="AC18" s="23">
        <v>159.82481988312412</v>
      </c>
      <c r="AD18" s="23">
        <v>159.98472464206128</v>
      </c>
      <c r="AE18" s="23">
        <v>160.14478938573649</v>
      </c>
      <c r="AF18" s="23">
        <v>160.30501427421439</v>
      </c>
      <c r="AG18" s="23">
        <v>160.46539946771992</v>
      </c>
      <c r="AH18" s="23">
        <v>160.62594512663836</v>
      </c>
      <c r="AI18" s="23">
        <v>160.78665141151527</v>
      </c>
      <c r="AJ18" s="23">
        <v>160.94751848305694</v>
      </c>
      <c r="AK18" s="23">
        <v>161.10854650213054</v>
      </c>
      <c r="AL18" s="23">
        <v>161.26973562976406</v>
      </c>
      <c r="AM18" s="23">
        <v>161.43108602714665</v>
      </c>
      <c r="AN18" s="23">
        <v>161.5925978556287</v>
      </c>
      <c r="AO18" s="23">
        <v>161.75427127672214</v>
      </c>
      <c r="AP18" s="23">
        <v>161.91610645210025</v>
      </c>
      <c r="AQ18" s="23">
        <v>162.07810354359839</v>
      </c>
      <c r="AR18" s="23">
        <v>162.24026271321355</v>
      </c>
      <c r="AS18" s="23">
        <v>162.40258412310496</v>
      </c>
      <c r="AT18" s="23">
        <v>162.56506793559396</v>
      </c>
      <c r="AU18" s="23">
        <v>162.72771431316448</v>
      </c>
      <c r="AV18" s="23">
        <v>162.89052341846286</v>
      </c>
      <c r="AW18" s="23">
        <v>163.05349541429825</v>
      </c>
      <c r="AX18" s="23">
        <v>163.21663046364264</v>
      </c>
    </row>
    <row r="19" spans="1:50" x14ac:dyDescent="0.25">
      <c r="I19" s="23">
        <v>149.17029083219361</v>
      </c>
      <c r="J19" s="23">
        <v>149.3195357330392</v>
      </c>
      <c r="K19" s="23">
        <v>149.46892995343296</v>
      </c>
      <c r="L19" s="23">
        <v>149.61847364276906</v>
      </c>
      <c r="M19" s="23">
        <v>149.76816695059134</v>
      </c>
      <c r="N19" s="23">
        <v>149.91801002659295</v>
      </c>
      <c r="O19" s="23">
        <v>150.06800302061717</v>
      </c>
      <c r="P19" s="23">
        <v>150.21814608265689</v>
      </c>
      <c r="Q19" s="23">
        <v>150.36843936285521</v>
      </c>
      <c r="R19" s="23">
        <v>150.51888301150547</v>
      </c>
      <c r="S19" s="23">
        <v>150.6694771790512</v>
      </c>
      <c r="T19" s="23">
        <v>150.82022201608672</v>
      </c>
      <c r="U19" s="23">
        <v>150.97111767335679</v>
      </c>
      <c r="V19" s="23">
        <v>151.12216430175712</v>
      </c>
      <c r="W19" s="23">
        <v>151.27336205233439</v>
      </c>
      <c r="X19" s="23">
        <v>151.42471107628629</v>
      </c>
      <c r="Y19" s="23">
        <v>151.57621152496188</v>
      </c>
      <c r="Z19" s="23">
        <v>151.72786354986164</v>
      </c>
      <c r="AA19" s="23">
        <v>151.87966730263759</v>
      </c>
      <c r="AB19" s="23">
        <v>152.03162293509351</v>
      </c>
      <c r="AC19" s="23">
        <v>152.18373059918503</v>
      </c>
      <c r="AD19" s="23">
        <v>152.33599044701978</v>
      </c>
      <c r="AE19" s="23">
        <v>152.48840263085773</v>
      </c>
      <c r="AF19" s="23">
        <v>152.64096730311101</v>
      </c>
      <c r="AG19" s="23">
        <v>152.79368461634428</v>
      </c>
      <c r="AH19" s="23">
        <v>152.94655472327497</v>
      </c>
      <c r="AI19" s="23">
        <v>153.09957777677312</v>
      </c>
      <c r="AJ19" s="23">
        <v>153.25275392986171</v>
      </c>
      <c r="AK19" s="23">
        <v>153.40608333571706</v>
      </c>
      <c r="AL19" s="23">
        <v>153.55956614766853</v>
      </c>
      <c r="AM19" s="23">
        <v>153.71320251919892</v>
      </c>
      <c r="AN19" s="23">
        <v>153.86699260394465</v>
      </c>
      <c r="AO19" s="23">
        <v>154.02093655569584</v>
      </c>
      <c r="AP19" s="23">
        <v>154.17503452839637</v>
      </c>
      <c r="AQ19" s="23">
        <v>154.32928667614433</v>
      </c>
      <c r="AR19" s="23">
        <v>154.48369315319181</v>
      </c>
      <c r="AS19" s="23">
        <v>154.63825411394532</v>
      </c>
      <c r="AT19" s="23">
        <v>154.7929697129658</v>
      </c>
      <c r="AU19" s="23">
        <v>154.94784010496889</v>
      </c>
      <c r="AV19" s="23">
        <v>155.102865444825</v>
      </c>
      <c r="AW19" s="23">
        <v>155.25804588755952</v>
      </c>
      <c r="AX19" s="23">
        <v>155.41338158835282</v>
      </c>
    </row>
    <row r="20" spans="1:50" x14ac:dyDescent="0.25">
      <c r="H20" s="23">
        <v>141.89661796899003</v>
      </c>
      <c r="I20" s="23">
        <v>142.03858555892333</v>
      </c>
      <c r="J20" s="23">
        <v>142.18069518745409</v>
      </c>
      <c r="K20" s="23">
        <v>142.32294699669188</v>
      </c>
      <c r="L20" s="23">
        <v>142.46534112888847</v>
      </c>
      <c r="M20" s="23">
        <v>142.60787772643812</v>
      </c>
      <c r="N20" s="23">
        <v>142.7505569318773</v>
      </c>
      <c r="O20" s="23">
        <v>142.89337888788538</v>
      </c>
      <c r="P20" s="23">
        <v>143.03634373728423</v>
      </c>
      <c r="Q20" s="23">
        <v>143.17945162303874</v>
      </c>
      <c r="R20" s="23">
        <v>143.32270268825684</v>
      </c>
      <c r="S20" s="23">
        <v>143.4660970761895</v>
      </c>
      <c r="T20" s="23">
        <v>143.60963493023124</v>
      </c>
      <c r="U20" s="23">
        <v>143.75331639391985</v>
      </c>
      <c r="V20" s="23">
        <v>143.89714161093684</v>
      </c>
      <c r="W20" s="23">
        <v>144.04111072510747</v>
      </c>
      <c r="X20" s="23">
        <v>144.1852238804008</v>
      </c>
      <c r="Y20" s="23">
        <v>144.32948122093001</v>
      </c>
      <c r="Z20" s="23">
        <v>144.4738828909525</v>
      </c>
      <c r="AA20" s="23">
        <v>144.61842903486991</v>
      </c>
      <c r="AB20" s="23">
        <v>144.76311979722843</v>
      </c>
      <c r="AC20" s="23">
        <v>144.90795532271878</v>
      </c>
      <c r="AD20" s="23">
        <v>145.05293575617651</v>
      </c>
      <c r="AE20" s="23">
        <v>145.19806124258213</v>
      </c>
      <c r="AF20" s="23">
        <v>145.34333192706106</v>
      </c>
      <c r="AG20" s="23">
        <v>145.48874795488402</v>
      </c>
      <c r="AH20" s="23">
        <v>145.63430947146713</v>
      </c>
      <c r="AI20" s="23">
        <v>145.78001662237182</v>
      </c>
      <c r="AJ20" s="23">
        <v>145.9258695533052</v>
      </c>
      <c r="AK20" s="23">
        <v>146.07186841012035</v>
      </c>
      <c r="AL20" s="23">
        <v>146.21801333881609</v>
      </c>
      <c r="AM20" s="23">
        <v>146.36430448553733</v>
      </c>
      <c r="AN20" s="23">
        <v>146.51074199657526</v>
      </c>
      <c r="AO20" s="23">
        <v>146.65732601836743</v>
      </c>
      <c r="AP20" s="23">
        <v>146.80405669749777</v>
      </c>
      <c r="AQ20" s="23">
        <v>146.95093418069712</v>
      </c>
      <c r="AR20" s="23">
        <v>147.09795861484287</v>
      </c>
      <c r="AS20" s="23">
        <v>147.2451301469595</v>
      </c>
      <c r="AT20" s="23">
        <v>147.39244892421851</v>
      </c>
      <c r="AU20" s="23">
        <v>147.53991509393873</v>
      </c>
      <c r="AV20" s="23">
        <v>147.68752880358636</v>
      </c>
      <c r="AW20" s="23">
        <v>147.83529020077512</v>
      </c>
      <c r="AX20" s="23">
        <v>147.98319943326635</v>
      </c>
    </row>
    <row r="21" spans="1:50" x14ac:dyDescent="0.25">
      <c r="G21" s="23">
        <v>134.97761570826194</v>
      </c>
      <c r="H21" s="23">
        <v>135.11266083527997</v>
      </c>
      <c r="I21" s="23">
        <v>135.24784107497004</v>
      </c>
      <c r="J21" s="23">
        <v>135.38315656251254</v>
      </c>
      <c r="K21" s="23">
        <v>135.51860743322285</v>
      </c>
      <c r="L21" s="23">
        <v>135.65419382255186</v>
      </c>
      <c r="M21" s="23">
        <v>135.78991586608603</v>
      </c>
      <c r="N21" s="23">
        <v>135.92577369954734</v>
      </c>
      <c r="O21" s="23">
        <v>136.0617674587937</v>
      </c>
      <c r="P21" s="23">
        <v>136.19789727981887</v>
      </c>
      <c r="Q21" s="23">
        <v>136.33416329875266</v>
      </c>
      <c r="R21" s="23">
        <v>136.47056565186114</v>
      </c>
      <c r="S21" s="23">
        <v>136.60710447554658</v>
      </c>
      <c r="T21" s="23">
        <v>136.74377990634792</v>
      </c>
      <c r="U21" s="23">
        <v>136.88059208094054</v>
      </c>
      <c r="V21" s="23">
        <v>137.01754113613666</v>
      </c>
      <c r="W21" s="23">
        <v>137.15462720888536</v>
      </c>
      <c r="X21" s="23">
        <v>137.29185043627268</v>
      </c>
      <c r="Y21" s="23">
        <v>137.42921095552185</v>
      </c>
      <c r="Z21" s="23">
        <v>137.56670890399346</v>
      </c>
      <c r="AA21" s="23">
        <v>137.70434441918545</v>
      </c>
      <c r="AB21" s="23">
        <v>137.84211763873333</v>
      </c>
      <c r="AC21" s="23">
        <v>137.98002870041032</v>
      </c>
      <c r="AD21" s="23">
        <v>138.1180777421275</v>
      </c>
      <c r="AE21" s="23">
        <v>138.25626490193395</v>
      </c>
      <c r="AF21" s="23">
        <v>138.39459031801681</v>
      </c>
      <c r="AG21" s="23">
        <v>138.53305412870151</v>
      </c>
      <c r="AH21" s="23">
        <v>138.67165647245196</v>
      </c>
      <c r="AI21" s="23">
        <v>138.81039748787038</v>
      </c>
      <c r="AJ21" s="23">
        <v>138.94927731369782</v>
      </c>
      <c r="AK21" s="23">
        <v>139.08829608881416</v>
      </c>
      <c r="AL21" s="23">
        <v>139.22745395223822</v>
      </c>
      <c r="AM21" s="23">
        <v>139.36675104312781</v>
      </c>
      <c r="AN21" s="23">
        <v>139.50618750078007</v>
      </c>
      <c r="AO21" s="23">
        <v>139.64576346463147</v>
      </c>
      <c r="AP21" s="23">
        <v>139.78547907425792</v>
      </c>
      <c r="AQ21" s="23">
        <v>139.92533446937514</v>
      </c>
      <c r="AR21" s="23">
        <v>140.0653297898385</v>
      </c>
      <c r="AS21" s="23">
        <v>140.2054651756433</v>
      </c>
      <c r="AT21" s="23">
        <v>140.34574076692496</v>
      </c>
      <c r="AU21" s="23">
        <v>140.48615670395907</v>
      </c>
      <c r="AV21" s="23">
        <v>140.62671312716159</v>
      </c>
      <c r="AW21" s="23">
        <v>140.76741017708898</v>
      </c>
      <c r="AX21" s="23">
        <v>140.90824799443826</v>
      </c>
    </row>
    <row r="22" spans="1:50" x14ac:dyDescent="0.25">
      <c r="F22" s="23">
        <v>128.39599000357285</v>
      </c>
      <c r="G22" s="23">
        <v>128.52445021297612</v>
      </c>
      <c r="H22" s="23">
        <v>128.65303894684033</v>
      </c>
      <c r="I22" s="23">
        <v>128.78175633375415</v>
      </c>
      <c r="J22" s="23">
        <v>128.9106025024351</v>
      </c>
      <c r="K22" s="23">
        <v>129.03957758172928</v>
      </c>
      <c r="L22" s="23">
        <v>129.16868170061176</v>
      </c>
      <c r="M22" s="23">
        <v>129.29791498818673</v>
      </c>
      <c r="N22" s="23">
        <v>129.42727757368743</v>
      </c>
      <c r="O22" s="23">
        <v>129.55676958647652</v>
      </c>
      <c r="P22" s="23">
        <v>129.686391156046</v>
      </c>
      <c r="Q22" s="23">
        <v>129.81614241201743</v>
      </c>
      <c r="R22" s="23">
        <v>129.9460234841421</v>
      </c>
      <c r="S22" s="23">
        <v>130.07603450230107</v>
      </c>
      <c r="T22" s="23">
        <v>130.20617559650537</v>
      </c>
      <c r="U22" s="23">
        <v>130.33644689689615</v>
      </c>
      <c r="V22" s="23">
        <v>130.46684853374464</v>
      </c>
      <c r="W22" s="23">
        <v>130.5973806374526</v>
      </c>
      <c r="X22" s="23">
        <v>130.72804333855206</v>
      </c>
      <c r="Y22" s="23">
        <v>130.85883676770572</v>
      </c>
      <c r="Z22" s="23">
        <v>130.98976105570708</v>
      </c>
      <c r="AA22" s="23">
        <v>131.12081633348043</v>
      </c>
      <c r="AB22" s="23">
        <v>131.25200273208102</v>
      </c>
      <c r="AC22" s="23">
        <v>131.38332038269527</v>
      </c>
      <c r="AD22" s="23">
        <v>131.51476941664086</v>
      </c>
      <c r="AE22" s="23">
        <v>131.64634996536682</v>
      </c>
      <c r="AF22" s="23">
        <v>131.77806216045374</v>
      </c>
      <c r="AG22" s="23">
        <v>131.90990613361376</v>
      </c>
      <c r="AH22" s="23">
        <v>132.04188201669098</v>
      </c>
      <c r="AI22" s="23">
        <v>132.17398994166118</v>
      </c>
      <c r="AJ22" s="23">
        <v>132.3062300406323</v>
      </c>
      <c r="AK22" s="23">
        <v>132.43860244584448</v>
      </c>
      <c r="AL22" s="23">
        <v>132.57110728967018</v>
      </c>
      <c r="AM22" s="23">
        <v>132.70374470461422</v>
      </c>
      <c r="AN22" s="23">
        <v>132.83651482331402</v>
      </c>
      <c r="AO22" s="23">
        <v>132.96941777853971</v>
      </c>
      <c r="AP22" s="23">
        <v>133.10245370319424</v>
      </c>
      <c r="AQ22" s="23">
        <v>133.23562273031359</v>
      </c>
      <c r="AR22" s="23">
        <v>133.36892499306677</v>
      </c>
      <c r="AS22" s="23">
        <v>133.50236062475605</v>
      </c>
      <c r="AT22" s="23">
        <v>133.6359297588171</v>
      </c>
      <c r="AU22" s="23">
        <v>133.76963252881902</v>
      </c>
      <c r="AV22" s="23">
        <v>133.9034690684646</v>
      </c>
      <c r="AW22" s="23">
        <v>134.03743951159043</v>
      </c>
      <c r="AX22" s="23">
        <v>134.17154399216696</v>
      </c>
    </row>
    <row r="23" spans="1:50" x14ac:dyDescent="0.25">
      <c r="E23" s="23">
        <v>122.13529008120202</v>
      </c>
      <c r="F23" s="23">
        <v>122.25748645928923</v>
      </c>
      <c r="G23" s="23">
        <v>122.37980509487311</v>
      </c>
      <c r="H23" s="23">
        <v>122.50224611027227</v>
      </c>
      <c r="I23" s="23">
        <v>122.62480962792773</v>
      </c>
      <c r="J23" s="23">
        <v>122.74749577040308</v>
      </c>
      <c r="K23" s="23">
        <v>122.87030466038441</v>
      </c>
      <c r="L23" s="23">
        <v>122.99323642068063</v>
      </c>
      <c r="M23" s="23">
        <v>123.11629117422352</v>
      </c>
      <c r="N23" s="23">
        <v>123.23946904406783</v>
      </c>
      <c r="O23" s="23">
        <v>123.36277015339148</v>
      </c>
      <c r="P23" s="23">
        <v>123.48619462549556</v>
      </c>
      <c r="Q23" s="23">
        <v>123.60974258380455</v>
      </c>
      <c r="R23" s="23">
        <v>123.73341415186643</v>
      </c>
      <c r="S23" s="23">
        <v>123.85720945335277</v>
      </c>
      <c r="T23" s="23">
        <v>123.98112861205887</v>
      </c>
      <c r="U23" s="23">
        <v>124.10517175190392</v>
      </c>
      <c r="V23" s="23">
        <v>124.22933899693106</v>
      </c>
      <c r="W23" s="23">
        <v>124.35363047130758</v>
      </c>
      <c r="X23" s="23">
        <v>124.47804629932493</v>
      </c>
      <c r="Y23" s="23">
        <v>124.60258660539894</v>
      </c>
      <c r="Z23" s="23">
        <v>124.72725151406993</v>
      </c>
      <c r="AA23" s="23">
        <v>124.85204115000286</v>
      </c>
      <c r="AB23" s="23">
        <v>124.97695563798733</v>
      </c>
      <c r="AC23" s="23">
        <v>125.10199510293783</v>
      </c>
      <c r="AD23" s="23">
        <v>125.22715966989387</v>
      </c>
      <c r="AE23" s="23">
        <v>125.35244946402003</v>
      </c>
      <c r="AF23" s="23">
        <v>125.47786461060609</v>
      </c>
      <c r="AG23" s="23">
        <v>125.60340523506719</v>
      </c>
      <c r="AH23" s="23">
        <v>125.72907146294405</v>
      </c>
      <c r="AI23" s="23">
        <v>125.85486341990283</v>
      </c>
      <c r="AJ23" s="23">
        <v>125.98078123173548</v>
      </c>
      <c r="AK23" s="23">
        <v>126.10682502435988</v>
      </c>
      <c r="AL23" s="23">
        <v>126.23299492381982</v>
      </c>
      <c r="AM23" s="23">
        <v>126.35929105628522</v>
      </c>
      <c r="AN23" s="23">
        <v>126.48571354805216</v>
      </c>
      <c r="AO23" s="23">
        <v>126.61226252554323</v>
      </c>
      <c r="AP23" s="23">
        <v>126.73893811530736</v>
      </c>
      <c r="AQ23" s="23">
        <v>126.86574044402016</v>
      </c>
      <c r="AR23" s="23">
        <v>126.992669638484</v>
      </c>
      <c r="AS23" s="23">
        <v>127.11972582562804</v>
      </c>
      <c r="AT23" s="23">
        <v>127.24690913250852</v>
      </c>
      <c r="AU23" s="23">
        <v>127.37421968630872</v>
      </c>
      <c r="AV23" s="23">
        <v>127.50165761433921</v>
      </c>
      <c r="AW23" s="23">
        <v>127.62922304403796</v>
      </c>
      <c r="AX23" s="23">
        <v>127.75691610297038</v>
      </c>
    </row>
    <row r="24" spans="1:50" x14ac:dyDescent="0.25">
      <c r="D24" s="23">
        <v>116.17986732143481</v>
      </c>
      <c r="E24" s="23">
        <v>116.29610529805805</v>
      </c>
      <c r="F24" s="23">
        <v>116.41245957079629</v>
      </c>
      <c r="G24" s="23">
        <v>116.5289302560038</v>
      </c>
      <c r="H24" s="23">
        <v>116.64551747015129</v>
      </c>
      <c r="I24" s="23">
        <v>116.76222132982595</v>
      </c>
      <c r="J24" s="23">
        <v>116.87904195173169</v>
      </c>
      <c r="K24" s="23">
        <v>116.99597945268913</v>
      </c>
      <c r="L24" s="23">
        <v>117.11303394963575</v>
      </c>
      <c r="M24" s="23">
        <v>117.23020555962609</v>
      </c>
      <c r="N24" s="23">
        <v>117.34749439983173</v>
      </c>
      <c r="O24" s="23">
        <v>117.46490058754158</v>
      </c>
      <c r="P24" s="23">
        <v>117.5824242401618</v>
      </c>
      <c r="Q24" s="23">
        <v>117.70006547521605</v>
      </c>
      <c r="R24" s="23">
        <v>117.81782441034559</v>
      </c>
      <c r="S24" s="23">
        <v>117.93570116330937</v>
      </c>
      <c r="T24" s="23">
        <v>118.05369585198412</v>
      </c>
      <c r="U24" s="23">
        <v>118.17180859436456</v>
      </c>
      <c r="V24" s="23">
        <v>118.29003950856345</v>
      </c>
      <c r="W24" s="23">
        <v>118.40838871281173</v>
      </c>
      <c r="X24" s="23">
        <v>118.52685632545857</v>
      </c>
      <c r="Y24" s="23">
        <v>118.64544246497162</v>
      </c>
      <c r="Z24" s="23">
        <v>118.76414724993701</v>
      </c>
      <c r="AA24" s="23">
        <v>118.88297079905956</v>
      </c>
      <c r="AB24" s="23">
        <v>119.00191323116283</v>
      </c>
      <c r="AC24" s="23">
        <v>119.12097466518921</v>
      </c>
      <c r="AD24" s="23">
        <v>119.24015522020019</v>
      </c>
      <c r="AE24" s="23">
        <v>119.35945501537634</v>
      </c>
      <c r="AF24" s="23">
        <v>119.47887417001746</v>
      </c>
      <c r="AG24" s="23">
        <v>119.59841280354267</v>
      </c>
      <c r="AH24" s="23">
        <v>119.71807103549071</v>
      </c>
      <c r="AI24" s="23">
        <v>119.83784898551973</v>
      </c>
      <c r="AJ24" s="23">
        <v>119.95774677340769</v>
      </c>
      <c r="AK24" s="23">
        <v>120.07776451905245</v>
      </c>
      <c r="AL24" s="23">
        <v>120.19790234247174</v>
      </c>
      <c r="AM24" s="23">
        <v>120.31816036380339</v>
      </c>
      <c r="AN24" s="23">
        <v>120.4385387033054</v>
      </c>
      <c r="AO24" s="23">
        <v>120.55903748135619</v>
      </c>
      <c r="AP24" s="23">
        <v>120.67965681845449</v>
      </c>
      <c r="AQ24" s="23">
        <v>120.80039683521966</v>
      </c>
      <c r="AR24" s="23">
        <v>120.92125765239174</v>
      </c>
      <c r="AS24" s="23">
        <v>121.04223939083154</v>
      </c>
      <c r="AT24" s="23">
        <v>121.16334217152084</v>
      </c>
      <c r="AU24" s="23">
        <v>121.28456611556238</v>
      </c>
      <c r="AV24" s="23">
        <v>121.40591134418015</v>
      </c>
      <c r="AW24" s="23">
        <v>121.52737797871939</v>
      </c>
      <c r="AX24" s="23">
        <v>121.64896614064673</v>
      </c>
    </row>
    <row r="25" spans="1:50" x14ac:dyDescent="0.25">
      <c r="C25" s="23">
        <v>110.51483614483715</v>
      </c>
      <c r="D25" s="23">
        <v>110.62540625682381</v>
      </c>
      <c r="E25" s="23">
        <v>110.73608699422593</v>
      </c>
      <c r="F25" s="23">
        <v>110.84687846772428</v>
      </c>
      <c r="G25" s="23">
        <v>110.95778078811034</v>
      </c>
      <c r="H25" s="23">
        <v>111.06879406628644</v>
      </c>
      <c r="I25" s="23">
        <v>111.17991841326585</v>
      </c>
      <c r="J25" s="23">
        <v>111.29115394017296</v>
      </c>
      <c r="K25" s="23">
        <v>111.40250075824328</v>
      </c>
      <c r="L25" s="23">
        <v>111.51395897882362</v>
      </c>
      <c r="M25" s="23">
        <v>111.62552871337225</v>
      </c>
      <c r="N25" s="23">
        <v>111.73721007345888</v>
      </c>
      <c r="O25" s="23">
        <v>111.8490031707649</v>
      </c>
      <c r="P25" s="23">
        <v>111.96090811708342</v>
      </c>
      <c r="Q25" s="23">
        <v>112.07292502431939</v>
      </c>
      <c r="R25" s="23">
        <v>112.18505400448971</v>
      </c>
      <c r="S25" s="23">
        <v>112.2972951697234</v>
      </c>
      <c r="T25" s="23">
        <v>112.40964863226159</v>
      </c>
      <c r="U25" s="23">
        <v>112.5221145044578</v>
      </c>
      <c r="V25" s="23">
        <v>112.63469289877789</v>
      </c>
      <c r="W25" s="23">
        <v>112.74738392780027</v>
      </c>
      <c r="X25" s="23">
        <v>112.86018770421597</v>
      </c>
      <c r="Y25" s="23">
        <v>112.9731043408288</v>
      </c>
      <c r="Z25" s="23">
        <v>113.08613395055535</v>
      </c>
      <c r="AA25" s="23">
        <v>113.1992766464253</v>
      </c>
      <c r="AB25" s="23">
        <v>113.31253254158133</v>
      </c>
      <c r="AC25" s="23">
        <v>113.42590174927932</v>
      </c>
      <c r="AD25" s="23">
        <v>113.53938438288853</v>
      </c>
      <c r="AE25" s="23">
        <v>113.65298055589157</v>
      </c>
      <c r="AF25" s="23">
        <v>113.76669038188466</v>
      </c>
      <c r="AG25" s="23">
        <v>113.88051397457758</v>
      </c>
      <c r="AH25" s="23">
        <v>113.99445144779401</v>
      </c>
      <c r="AI25" s="23">
        <v>114.10850291547136</v>
      </c>
      <c r="AJ25" s="23">
        <v>114.22266849166111</v>
      </c>
      <c r="AK25" s="23">
        <v>114.33694829052889</v>
      </c>
      <c r="AL25" s="23">
        <v>114.4513424263545</v>
      </c>
      <c r="AM25" s="23">
        <v>114.56585101353208</v>
      </c>
      <c r="AN25" s="23">
        <v>114.68047416657019</v>
      </c>
      <c r="AO25" s="23">
        <v>114.79521200009205</v>
      </c>
      <c r="AP25" s="23">
        <v>114.91006462883547</v>
      </c>
      <c r="AQ25" s="23">
        <v>115.02503216765309</v>
      </c>
      <c r="AR25" s="23">
        <v>115.14011473151247</v>
      </c>
      <c r="AS25" s="23">
        <v>115.25531243549617</v>
      </c>
      <c r="AT25" s="23">
        <v>115.37062539480192</v>
      </c>
      <c r="AU25" s="23">
        <v>115.48605372474266</v>
      </c>
      <c r="AV25" s="23">
        <v>115.60159754074677</v>
      </c>
      <c r="AW25" s="23">
        <v>115.71725695835804</v>
      </c>
      <c r="AX25" s="23">
        <v>115.83303209323591</v>
      </c>
    </row>
    <row r="26" spans="1:50" x14ac:dyDescent="0.25">
      <c r="B26" s="23">
        <v>105.1260368057491</v>
      </c>
      <c r="C26" s="23">
        <v>105.23121542309865</v>
      </c>
      <c r="D26" s="23">
        <v>105.33649927167238</v>
      </c>
      <c r="E26" s="23">
        <v>105.44188845675416</v>
      </c>
      <c r="F26" s="23">
        <v>105.54738308373318</v>
      </c>
      <c r="G26" s="23">
        <v>105.65298325810409</v>
      </c>
      <c r="H26" s="23">
        <v>105.75868908546705</v>
      </c>
      <c r="I26" s="23">
        <v>105.86450067152792</v>
      </c>
      <c r="J26" s="23">
        <v>105.97041812209829</v>
      </c>
      <c r="K26" s="23">
        <v>106.07644154309561</v>
      </c>
      <c r="L26" s="23">
        <v>106.18257104054331</v>
      </c>
      <c r="M26" s="23">
        <v>106.2888067205709</v>
      </c>
      <c r="N26" s="23">
        <v>106.39514868941406</v>
      </c>
      <c r="O26" s="23">
        <v>106.50159705341477</v>
      </c>
      <c r="P26" s="23">
        <v>106.60815191902142</v>
      </c>
      <c r="Q26" s="23">
        <v>106.71481339278888</v>
      </c>
      <c r="R26" s="23">
        <v>106.82158158137862</v>
      </c>
      <c r="S26" s="23">
        <v>106.92845659155884</v>
      </c>
      <c r="T26" s="23">
        <v>107.03543853020456</v>
      </c>
      <c r="U26" s="23">
        <v>107.14252750429773</v>
      </c>
      <c r="V26" s="23">
        <v>107.24972362092734</v>
      </c>
      <c r="W26" s="23">
        <v>107.35702698728952</v>
      </c>
      <c r="X26" s="23">
        <v>107.46443771068762</v>
      </c>
      <c r="Y26" s="23">
        <v>107.57195589853239</v>
      </c>
      <c r="Z26" s="23">
        <v>107.67958165834202</v>
      </c>
      <c r="AA26" s="23">
        <v>107.78731509774229</v>
      </c>
      <c r="AB26" s="23">
        <v>107.89515632446664</v>
      </c>
      <c r="AC26" s="23">
        <v>108.00310544635629</v>
      </c>
      <c r="AD26" s="23">
        <v>108.1111625713604</v>
      </c>
      <c r="AE26" s="23">
        <v>108.21932780753608</v>
      </c>
      <c r="AF26" s="23">
        <v>108.32760126304859</v>
      </c>
      <c r="AG26" s="23">
        <v>108.43598304617139</v>
      </c>
      <c r="AH26" s="23">
        <v>108.54447326528629</v>
      </c>
      <c r="AI26" s="23">
        <v>108.65307202888349</v>
      </c>
      <c r="AJ26" s="23">
        <v>108.76177944556174</v>
      </c>
      <c r="AK26" s="23">
        <v>108.87059562402852</v>
      </c>
      <c r="AL26" s="23">
        <v>108.97952067310001</v>
      </c>
      <c r="AM26" s="23">
        <v>109.08855470170126</v>
      </c>
      <c r="AN26" s="23">
        <v>109.19769781886627</v>
      </c>
      <c r="AO26" s="23">
        <v>109.30695013373823</v>
      </c>
      <c r="AP26" s="23">
        <v>109.41631175556942</v>
      </c>
      <c r="AQ26" s="23">
        <v>109.52578279372149</v>
      </c>
      <c r="AR26" s="23">
        <v>109.63536335766547</v>
      </c>
      <c r="AS26" s="23">
        <v>109.74505355698194</v>
      </c>
      <c r="AT26" s="23">
        <v>109.85485350136113</v>
      </c>
      <c r="AU26" s="23">
        <v>109.96476330060297</v>
      </c>
      <c r="AV26" s="23">
        <v>110.07478306461728</v>
      </c>
      <c r="AW26" s="23">
        <v>110.18491290342381</v>
      </c>
      <c r="AX26" s="23">
        <v>110.29515292715244</v>
      </c>
    </row>
    <row r="27" spans="1:50" x14ac:dyDescent="0.25">
      <c r="A27" s="23">
        <v>100</v>
      </c>
      <c r="B27" s="23">
        <v>100.10005001667083</v>
      </c>
      <c r="C27" s="23">
        <v>100.20020013340003</v>
      </c>
      <c r="D27" s="23">
        <v>100.30045045033771</v>
      </c>
      <c r="E27" s="23">
        <v>100.40080106773419</v>
      </c>
      <c r="F27" s="23">
        <v>100.50125208594011</v>
      </c>
      <c r="G27" s="23">
        <v>100.60180360540649</v>
      </c>
      <c r="H27" s="23">
        <v>100.70245572668486</v>
      </c>
      <c r="I27" s="23">
        <v>100.80320855042736</v>
      </c>
      <c r="J27" s="23">
        <v>100.90406217738681</v>
      </c>
      <c r="K27" s="23">
        <v>101.00501670841683</v>
      </c>
      <c r="L27" s="23">
        <v>101.10607224447199</v>
      </c>
      <c r="M27" s="23">
        <v>101.20722888660781</v>
      </c>
      <c r="N27" s="23">
        <v>101.30848673598095</v>
      </c>
      <c r="O27" s="23">
        <v>101.40984589384927</v>
      </c>
      <c r="P27" s="23">
        <v>101.51130646157193</v>
      </c>
      <c r="Q27" s="23">
        <v>101.61286854060953</v>
      </c>
      <c r="R27" s="23">
        <v>101.71453223252412</v>
      </c>
      <c r="S27" s="23">
        <v>101.81629763897942</v>
      </c>
      <c r="T27" s="23">
        <v>101.91816486174085</v>
      </c>
      <c r="U27" s="23">
        <v>102.02013400267563</v>
      </c>
      <c r="V27" s="23">
        <v>102.12220516375292</v>
      </c>
      <c r="W27" s="23">
        <v>102.22437844704389</v>
      </c>
      <c r="X27" s="23">
        <v>102.32665395472182</v>
      </c>
      <c r="Y27" s="23">
        <v>102.42903178906224</v>
      </c>
      <c r="Z27" s="23">
        <v>102.53151205244298</v>
      </c>
      <c r="AA27" s="23">
        <v>102.63409484734431</v>
      </c>
      <c r="AB27" s="23">
        <v>102.73678027634905</v>
      </c>
      <c r="AC27" s="23">
        <v>102.83956844214262</v>
      </c>
      <c r="AD27" s="23">
        <v>102.9424594475132</v>
      </c>
      <c r="AE27" s="23">
        <v>103.04545339535181</v>
      </c>
      <c r="AF27" s="23">
        <v>103.14855038865241</v>
      </c>
      <c r="AG27" s="23">
        <v>103.25175053051198</v>
      </c>
      <c r="AH27" s="23">
        <v>103.3550539241307</v>
      </c>
      <c r="AI27" s="23">
        <v>103.45846067281195</v>
      </c>
      <c r="AJ27" s="23">
        <v>103.56197087996249</v>
      </c>
      <c r="AK27" s="23">
        <v>103.66558464909254</v>
      </c>
      <c r="AL27" s="23">
        <v>103.76930208381587</v>
      </c>
      <c r="AM27" s="23">
        <v>103.87312328784995</v>
      </c>
      <c r="AN27" s="23">
        <v>103.97704836501596</v>
      </c>
      <c r="AO27" s="23">
        <v>104.08107741923901</v>
      </c>
      <c r="AP27" s="23">
        <v>104.18521055454815</v>
      </c>
      <c r="AQ27" s="23">
        <v>104.28944787507652</v>
      </c>
      <c r="AR27" s="23">
        <v>104.39378948506146</v>
      </c>
      <c r="AS27" s="23">
        <v>104.49823548884459</v>
      </c>
      <c r="AT27" s="23">
        <v>104.60278599087191</v>
      </c>
      <c r="AU27" s="23">
        <v>104.70744109569394</v>
      </c>
      <c r="AV27" s="23">
        <v>104.81220090796579</v>
      </c>
      <c r="AW27" s="23">
        <v>104.91706553244728</v>
      </c>
      <c r="AX27" s="23">
        <v>105.02203507400306</v>
      </c>
    </row>
    <row r="28" spans="1:50" x14ac:dyDescent="0.25">
      <c r="B28" s="23">
        <v>95.314351399500595</v>
      </c>
      <c r="C28" s="23">
        <v>95.409713423965499</v>
      </c>
      <c r="D28" s="23">
        <v>95.505170858151772</v>
      </c>
      <c r="E28" s="23">
        <v>95.600723797516864</v>
      </c>
      <c r="F28" s="23">
        <v>95.69637233761371</v>
      </c>
      <c r="G28" s="23">
        <v>95.792116574090869</v>
      </c>
      <c r="H28" s="23">
        <v>95.887956602692597</v>
      </c>
      <c r="I28" s="23">
        <v>95.98389251925893</v>
      </c>
      <c r="J28" s="23">
        <v>96.079924419725771</v>
      </c>
      <c r="K28" s="23">
        <v>96.17605240012503</v>
      </c>
      <c r="L28" s="23">
        <v>96.272276556584714</v>
      </c>
      <c r="M28" s="23">
        <v>96.368596985328963</v>
      </c>
      <c r="N28" s="23">
        <v>96.465013782678241</v>
      </c>
      <c r="O28" s="23">
        <v>96.561527045049331</v>
      </c>
      <c r="P28" s="23">
        <v>96.658136868955523</v>
      </c>
      <c r="Q28" s="23">
        <v>96.754843351006627</v>
      </c>
      <c r="R28" s="23">
        <v>96.851646587909158</v>
      </c>
      <c r="S28" s="23">
        <v>96.948546676466336</v>
      </c>
      <c r="T28" s="23">
        <v>97.045543713578269</v>
      </c>
      <c r="U28" s="23">
        <v>97.142637796242013</v>
      </c>
      <c r="V28" s="23">
        <v>97.239829021551657</v>
      </c>
      <c r="W28" s="23">
        <v>97.337117486698418</v>
      </c>
      <c r="X28" s="23">
        <v>97.434503288970774</v>
      </c>
      <c r="Y28" s="23">
        <v>97.531986525754533</v>
      </c>
      <c r="Z28" s="23">
        <v>97.629567294532961</v>
      </c>
      <c r="AA28" s="23">
        <v>97.727245692886811</v>
      </c>
      <c r="AB28" s="23">
        <v>97.825021818494506</v>
      </c>
      <c r="AC28" s="23">
        <v>97.922895769132154</v>
      </c>
      <c r="AD28" s="23">
        <v>98.020867642673736</v>
      </c>
      <c r="AE28" s="23">
        <v>98.118937537091142</v>
      </c>
      <c r="AF28" s="23">
        <v>98.217105550454249</v>
      </c>
      <c r="AG28" s="23">
        <v>98.315371780931102</v>
      </c>
      <c r="AH28" s="23">
        <v>98.413736326787927</v>
      </c>
      <c r="AI28" s="23">
        <v>98.512199286389276</v>
      </c>
      <c r="AJ28" s="23">
        <v>98.610760758198111</v>
      </c>
      <c r="AK28" s="23">
        <v>98.70942084077592</v>
      </c>
      <c r="AL28" s="23">
        <v>98.80817963278281</v>
      </c>
      <c r="AM28" s="23">
        <v>98.907037232977558</v>
      </c>
      <c r="AN28" s="23">
        <v>99.005993740217789</v>
      </c>
      <c r="AO28" s="23">
        <v>99.10504925346001</v>
      </c>
      <c r="AP28" s="23">
        <v>99.204203871759745</v>
      </c>
      <c r="AQ28" s="23">
        <v>99.3034576942716</v>
      </c>
      <c r="AR28" s="23">
        <v>99.402810820249442</v>
      </c>
      <c r="AS28" s="23">
        <v>99.502263349046387</v>
      </c>
      <c r="AT28" s="23">
        <v>99.601815380114971</v>
      </c>
      <c r="AU28" s="23">
        <v>99.701467013007232</v>
      </c>
      <c r="AV28" s="23">
        <v>99.801218347374814</v>
      </c>
      <c r="AW28" s="23">
        <v>99.901069482969064</v>
      </c>
      <c r="AX28" s="23">
        <v>100.00102051964113</v>
      </c>
    </row>
    <row r="29" spans="1:50" x14ac:dyDescent="0.25">
      <c r="C29" s="23">
        <v>90.848255827074823</v>
      </c>
      <c r="D29" s="23">
        <v>90.939149522174972</v>
      </c>
      <c r="E29" s="23">
        <v>91.030134156432226</v>
      </c>
      <c r="F29" s="23">
        <v>91.121209820831211</v>
      </c>
      <c r="G29" s="23">
        <v>91.212376606447606</v>
      </c>
      <c r="H29" s="23">
        <v>91.30363460444822</v>
      </c>
      <c r="I29" s="23">
        <v>91.39498390609107</v>
      </c>
      <c r="J29" s="23">
        <v>91.486424602725421</v>
      </c>
      <c r="K29" s="23">
        <v>91.577956785791997</v>
      </c>
      <c r="L29" s="23">
        <v>91.669580546822999</v>
      </c>
      <c r="M29" s="23">
        <v>91.761295977442174</v>
      </c>
      <c r="N29" s="23">
        <v>91.853103169364985</v>
      </c>
      <c r="O29" s="23">
        <v>91.945002214398613</v>
      </c>
      <c r="P29" s="23">
        <v>92.036993204442126</v>
      </c>
      <c r="Q29" s="23">
        <v>92.129076231486508</v>
      </c>
      <c r="R29" s="23">
        <v>92.221251387614799</v>
      </c>
      <c r="S29" s="23">
        <v>92.313518765002158</v>
      </c>
      <c r="T29" s="23">
        <v>92.405878455915982</v>
      </c>
      <c r="U29" s="23">
        <v>92.498330552715956</v>
      </c>
      <c r="V29" s="23">
        <v>92.590875147854206</v>
      </c>
      <c r="W29" s="23">
        <v>92.683512333875314</v>
      </c>
      <c r="X29" s="23">
        <v>92.776242203416473</v>
      </c>
      <c r="Y29" s="23">
        <v>92.869064849207561</v>
      </c>
      <c r="Z29" s="23">
        <v>92.961980364071266</v>
      </c>
      <c r="AA29" s="23">
        <v>93.054988840923059</v>
      </c>
      <c r="AB29" s="23">
        <v>93.148090372771463</v>
      </c>
      <c r="AC29" s="23">
        <v>93.241285052717984</v>
      </c>
      <c r="AD29" s="23">
        <v>93.334572973957322</v>
      </c>
      <c r="AE29" s="23">
        <v>93.427954229777427</v>
      </c>
      <c r="AF29" s="23">
        <v>93.521428913559546</v>
      </c>
      <c r="AG29" s="23">
        <v>93.614997118778376</v>
      </c>
      <c r="AH29" s="23">
        <v>93.70865893900212</v>
      </c>
      <c r="AI29" s="23">
        <v>93.802414467892618</v>
      </c>
      <c r="AJ29" s="23">
        <v>93.896263799205386</v>
      </c>
      <c r="AK29" s="23">
        <v>93.990207026789776</v>
      </c>
      <c r="AL29" s="23">
        <v>94.084244244589044</v>
      </c>
      <c r="AM29" s="23">
        <v>94.178375546640382</v>
      </c>
      <c r="AN29" s="23">
        <v>94.272601027075126</v>
      </c>
      <c r="AO29" s="23">
        <v>94.366920780118747</v>
      </c>
      <c r="AP29" s="23">
        <v>94.461334900091018</v>
      </c>
      <c r="AQ29" s="23">
        <v>94.555843481406043</v>
      </c>
      <c r="AR29" s="23">
        <v>94.650446618572445</v>
      </c>
      <c r="AS29" s="23">
        <v>94.745144406193361</v>
      </c>
      <c r="AT29" s="23">
        <v>94.839936938966574</v>
      </c>
      <c r="AU29" s="23">
        <v>94.934824311684608</v>
      </c>
      <c r="AV29" s="23">
        <v>95.02980661923489</v>
      </c>
      <c r="AW29" s="23">
        <v>95.124883956599689</v>
      </c>
      <c r="AX29" s="23">
        <v>95.220056418856402</v>
      </c>
    </row>
    <row r="30" spans="1:50" x14ac:dyDescent="0.25">
      <c r="D30" s="23">
        <v>86.591425799335369</v>
      </c>
      <c r="E30" s="23">
        <v>86.678060535283123</v>
      </c>
      <c r="F30" s="23">
        <v>86.764781949298623</v>
      </c>
      <c r="G30" s="23">
        <v>86.851590128103297</v>
      </c>
      <c r="H30" s="23">
        <v>86.938485158505344</v>
      </c>
      <c r="I30" s="23">
        <v>87.025467127399821</v>
      </c>
      <c r="J30" s="23">
        <v>87.112536121768656</v>
      </c>
      <c r="K30" s="23">
        <v>87.199692228680874</v>
      </c>
      <c r="L30" s="23">
        <v>87.286935535292585</v>
      </c>
      <c r="M30" s="23">
        <v>87.374266128847111</v>
      </c>
      <c r="N30" s="23">
        <v>87.461684096675043</v>
      </c>
      <c r="O30" s="23">
        <v>87.549189526194354</v>
      </c>
      <c r="P30" s="23">
        <v>87.636782504910499</v>
      </c>
      <c r="Q30" s="23">
        <v>87.724463120416459</v>
      </c>
      <c r="R30" s="23">
        <v>87.812231460392837</v>
      </c>
      <c r="S30" s="23">
        <v>87.90008761260799</v>
      </c>
      <c r="T30" s="23">
        <v>87.988031664918083</v>
      </c>
      <c r="U30" s="23">
        <v>88.076063705267174</v>
      </c>
      <c r="V30" s="23">
        <v>88.164183821687317</v>
      </c>
      <c r="W30" s="23">
        <v>88.252392102298629</v>
      </c>
      <c r="X30" s="23">
        <v>88.340688635309391</v>
      </c>
      <c r="Y30" s="23">
        <v>88.429073509016149</v>
      </c>
      <c r="Z30" s="23">
        <v>88.517546811803811</v>
      </c>
      <c r="AA30" s="23">
        <v>88.606108632145634</v>
      </c>
      <c r="AB30" s="23">
        <v>88.694759058603481</v>
      </c>
      <c r="AC30" s="23">
        <v>88.783498179827774</v>
      </c>
      <c r="AD30" s="23">
        <v>88.872326084557642</v>
      </c>
      <c r="AE30" s="23">
        <v>88.961242861621002</v>
      </c>
      <c r="AF30" s="23">
        <v>89.050248599934648</v>
      </c>
      <c r="AG30" s="23">
        <v>89.139343388504315</v>
      </c>
      <c r="AH30" s="23">
        <v>89.228527316424788</v>
      </c>
      <c r="AI30" s="23">
        <v>89.317800472880023</v>
      </c>
      <c r="AJ30" s="23">
        <v>89.407162947143149</v>
      </c>
      <c r="AK30" s="23">
        <v>89.496614828576682</v>
      </c>
      <c r="AL30" s="23">
        <v>89.586156206632523</v>
      </c>
      <c r="AM30" s="23">
        <v>89.675787170852018</v>
      </c>
      <c r="AN30" s="23">
        <v>89.765507810866168</v>
      </c>
      <c r="AO30" s="23">
        <v>89.855318216395602</v>
      </c>
      <c r="AP30" s="23">
        <v>89.945218477250734</v>
      </c>
      <c r="AQ30" s="23">
        <v>90.035208683331845</v>
      </c>
      <c r="AR30" s="23">
        <v>90.125288924629146</v>
      </c>
      <c r="AS30" s="23">
        <v>90.215459291222885</v>
      </c>
      <c r="AT30" s="23">
        <v>90.305719873283437</v>
      </c>
      <c r="AU30" s="23">
        <v>90.396070761071357</v>
      </c>
      <c r="AV30" s="23">
        <v>90.486512044937598</v>
      </c>
      <c r="AW30" s="23">
        <v>90.577043815323407</v>
      </c>
      <c r="AX30" s="23">
        <v>90.667666162760611</v>
      </c>
    </row>
    <row r="31" spans="1:50" x14ac:dyDescent="0.25">
      <c r="E31" s="23">
        <v>82.534055868216342</v>
      </c>
      <c r="F31" s="23">
        <v>82.616631204871595</v>
      </c>
      <c r="G31" s="23">
        <v>82.699289158164945</v>
      </c>
      <c r="H31" s="23">
        <v>82.782029810754338</v>
      </c>
      <c r="I31" s="23">
        <v>82.864853245380473</v>
      </c>
      <c r="J31" s="23">
        <v>82.947759544866742</v>
      </c>
      <c r="K31" s="23">
        <v>83.030748792119468</v>
      </c>
      <c r="L31" s="23">
        <v>83.113821070127898</v>
      </c>
      <c r="M31" s="23">
        <v>83.19697646196434</v>
      </c>
      <c r="N31" s="23">
        <v>83.280215050784165</v>
      </c>
      <c r="O31" s="23">
        <v>83.363536919825975</v>
      </c>
      <c r="P31" s="23">
        <v>83.446942152411665</v>
      </c>
      <c r="Q31" s="23">
        <v>83.530430831946461</v>
      </c>
      <c r="R31" s="23">
        <v>83.614003041919048</v>
      </c>
      <c r="S31" s="23">
        <v>83.697658865901644</v>
      </c>
      <c r="T31" s="23">
        <v>83.78139838755007</v>
      </c>
      <c r="U31" s="23">
        <v>83.865221690603875</v>
      </c>
      <c r="V31" s="23">
        <v>83.949128858886368</v>
      </c>
      <c r="W31" s="23">
        <v>84.033119976304704</v>
      </c>
      <c r="X31" s="23">
        <v>84.117195126850021</v>
      </c>
      <c r="Y31" s="23">
        <v>84.201354394597487</v>
      </c>
      <c r="Z31" s="23">
        <v>84.285597863706371</v>
      </c>
      <c r="AA31" s="23">
        <v>84.369925618420126</v>
      </c>
      <c r="AB31" s="23">
        <v>84.454337743066532</v>
      </c>
      <c r="AC31" s="23">
        <v>84.53883432205771</v>
      </c>
      <c r="AD31" s="23">
        <v>84.623415439890266</v>
      </c>
      <c r="AE31" s="23">
        <v>84.708081181145303</v>
      </c>
      <c r="AF31" s="23">
        <v>84.792831630488593</v>
      </c>
      <c r="AG31" s="23">
        <v>84.877666872670588</v>
      </c>
      <c r="AH31" s="23">
        <v>84.962586992526511</v>
      </c>
      <c r="AI31" s="23">
        <v>85.047592074976507</v>
      </c>
      <c r="AJ31" s="23">
        <v>85.13268220502566</v>
      </c>
      <c r="AK31" s="23">
        <v>85.217857467764105</v>
      </c>
      <c r="AL31" s="23">
        <v>85.303117948367159</v>
      </c>
      <c r="AM31" s="23">
        <v>85.388463732095232</v>
      </c>
      <c r="AN31" s="23">
        <v>85.47389490429417</v>
      </c>
      <c r="AO31" s="23">
        <v>85.55941155039514</v>
      </c>
      <c r="AP31" s="23">
        <v>85.645013755914775</v>
      </c>
      <c r="AQ31" s="23">
        <v>85.730701606455312</v>
      </c>
      <c r="AR31" s="23">
        <v>85.816475187704597</v>
      </c>
      <c r="AS31" s="23">
        <v>85.902334585436222</v>
      </c>
      <c r="AT31" s="23">
        <v>85.988279885509598</v>
      </c>
      <c r="AU31" s="23">
        <v>86.074311173870001</v>
      </c>
      <c r="AV31" s="23">
        <v>86.160428536548778</v>
      </c>
      <c r="AW31" s="23">
        <v>86.246632059663241</v>
      </c>
      <c r="AX31" s="23">
        <v>86.332921829416989</v>
      </c>
    </row>
    <row r="32" spans="1:50" x14ac:dyDescent="0.25">
      <c r="F32" s="23">
        <v>78.666800034491857</v>
      </c>
      <c r="G32" s="23">
        <v>78.745506181040767</v>
      </c>
      <c r="H32" s="23">
        <v>78.824291073102415</v>
      </c>
      <c r="I32" s="23">
        <v>78.903154789461752</v>
      </c>
      <c r="J32" s="23">
        <v>78.982097408982426</v>
      </c>
      <c r="K32" s="23">
        <v>79.061119010607086</v>
      </c>
      <c r="L32" s="23">
        <v>79.140219673357336</v>
      </c>
      <c r="M32" s="23">
        <v>79.219399476333876</v>
      </c>
      <c r="N32" s="23">
        <v>79.298658498716492</v>
      </c>
      <c r="O32" s="23">
        <v>79.377996819764192</v>
      </c>
      <c r="P32" s="23">
        <v>79.457414518815355</v>
      </c>
      <c r="Q32" s="23">
        <v>79.536911675287641</v>
      </c>
      <c r="R32" s="23">
        <v>79.616488368678247</v>
      </c>
      <c r="S32" s="23">
        <v>79.69614467856384</v>
      </c>
      <c r="T32" s="23">
        <v>79.77588068460075</v>
      </c>
      <c r="U32" s="23">
        <v>79.855696466525004</v>
      </c>
      <c r="V32" s="23">
        <v>79.935592104152377</v>
      </c>
      <c r="W32" s="23">
        <v>80.015567677378513</v>
      </c>
      <c r="X32" s="23">
        <v>80.095623266179004</v>
      </c>
      <c r="Y32" s="23">
        <v>80.175758950609435</v>
      </c>
      <c r="Z32" s="23">
        <v>80.255974810805512</v>
      </c>
      <c r="AA32" s="23">
        <v>80.336270926983062</v>
      </c>
      <c r="AB32" s="23">
        <v>80.416647379438245</v>
      </c>
      <c r="AC32" s="23">
        <v>80.497104248547487</v>
      </c>
      <c r="AD32" s="23">
        <v>80.577641614767714</v>
      </c>
      <c r="AE32" s="23">
        <v>80.658259558636246</v>
      </c>
      <c r="AF32" s="23">
        <v>80.738958160771077</v>
      </c>
      <c r="AG32" s="23">
        <v>80.819737501870804</v>
      </c>
      <c r="AH32" s="23">
        <v>80.900597662714759</v>
      </c>
      <c r="AI32" s="23">
        <v>80.981538724163102</v>
      </c>
      <c r="AJ32" s="23">
        <v>81.062560767156924</v>
      </c>
      <c r="AK32" s="23">
        <v>81.143663872718264</v>
      </c>
      <c r="AL32" s="23">
        <v>81.224848121950259</v>
      </c>
      <c r="AM32" s="23">
        <v>81.306113596037122</v>
      </c>
      <c r="AN32" s="23">
        <v>81.387460376244377</v>
      </c>
      <c r="AO32" s="23">
        <v>81.468888543918794</v>
      </c>
      <c r="AP32" s="23">
        <v>81.550398180488514</v>
      </c>
      <c r="AQ32" s="23">
        <v>81.631989367463234</v>
      </c>
      <c r="AR32" s="23">
        <v>81.713662186434121</v>
      </c>
      <c r="AS32" s="23">
        <v>81.795416719073998</v>
      </c>
      <c r="AT32" s="23">
        <v>81.87725304713743</v>
      </c>
      <c r="AU32" s="23">
        <v>81.959171252460692</v>
      </c>
      <c r="AV32" s="23">
        <v>82.041171416962072</v>
      </c>
      <c r="AW32" s="23">
        <v>82.12325362264167</v>
      </c>
      <c r="AX32" s="23">
        <v>82.205417951581779</v>
      </c>
    </row>
    <row r="33" spans="7:50" x14ac:dyDescent="0.25">
      <c r="G33" s="23">
        <v>74.980750219618017</v>
      </c>
      <c r="H33" s="23">
        <v>75.055768472712643</v>
      </c>
      <c r="I33" s="23">
        <v>75.130861781582041</v>
      </c>
      <c r="J33" s="23">
        <v>75.206030221319466</v>
      </c>
      <c r="K33" s="23">
        <v>75.281273867093361</v>
      </c>
      <c r="L33" s="23">
        <v>75.356592794147403</v>
      </c>
      <c r="M33" s="23">
        <v>75.431987077800528</v>
      </c>
      <c r="N33" s="23">
        <v>75.50745679344702</v>
      </c>
      <c r="O33" s="23">
        <v>75.583002016556563</v>
      </c>
      <c r="P33" s="23">
        <v>75.658622822674459</v>
      </c>
      <c r="Q33" s="23">
        <v>75.734319287421471</v>
      </c>
      <c r="R33" s="23">
        <v>75.810091486494088</v>
      </c>
      <c r="S33" s="23">
        <v>75.885939495664502</v>
      </c>
      <c r="T33" s="23">
        <v>75.961863390780721</v>
      </c>
      <c r="U33" s="23">
        <v>76.03786324776668</v>
      </c>
      <c r="V33" s="23">
        <v>76.113939142622229</v>
      </c>
      <c r="W33" s="23">
        <v>76.190091151423246</v>
      </c>
      <c r="X33" s="23">
        <v>76.26631935032178</v>
      </c>
      <c r="Y33" s="23">
        <v>76.34262381554602</v>
      </c>
      <c r="Z33" s="23">
        <v>76.419004623400454</v>
      </c>
      <c r="AA33" s="23">
        <v>76.495461850265841</v>
      </c>
      <c r="AB33" s="23">
        <v>76.571995572599477</v>
      </c>
      <c r="AC33" s="23">
        <v>76.648605866935043</v>
      </c>
      <c r="AD33" s="23">
        <v>76.725292809882887</v>
      </c>
      <c r="AE33" s="23">
        <v>76.802056478129913</v>
      </c>
      <c r="AF33" s="23">
        <v>76.878896948439845</v>
      </c>
      <c r="AG33" s="23">
        <v>76.95581429765312</v>
      </c>
      <c r="AH33" s="23">
        <v>77.032808602687112</v>
      </c>
      <c r="AI33" s="23">
        <v>77.109879940536104</v>
      </c>
      <c r="AJ33" s="23">
        <v>77.187028388271472</v>
      </c>
      <c r="AK33" s="23">
        <v>77.264254023041644</v>
      </c>
      <c r="AL33" s="23">
        <v>77.341556922072314</v>
      </c>
      <c r="AM33" s="23">
        <v>77.418937162666325</v>
      </c>
      <c r="AN33" s="23">
        <v>77.496394822203968</v>
      </c>
      <c r="AO33" s="23">
        <v>77.573929978142885</v>
      </c>
      <c r="AP33" s="23">
        <v>77.651542708018226</v>
      </c>
      <c r="AQ33" s="23">
        <v>77.729233089442772</v>
      </c>
      <c r="AR33" s="23">
        <v>77.807001200106882</v>
      </c>
      <c r="AS33" s="23">
        <v>77.884847117778662</v>
      </c>
      <c r="AT33" s="23">
        <v>77.962770920304067</v>
      </c>
      <c r="AU33" s="23">
        <v>78.040772685606854</v>
      </c>
      <c r="AV33" s="23">
        <v>78.11885249168887</v>
      </c>
      <c r="AW33" s="23">
        <v>78.197010416629851</v>
      </c>
      <c r="AX33" s="23">
        <v>78.275246538587808</v>
      </c>
    </row>
    <row r="34" spans="7:50" x14ac:dyDescent="0.25">
      <c r="H34" s="23">
        <v>71.467415746308518</v>
      </c>
      <c r="I34" s="23">
        <v>71.53891890767693</v>
      </c>
      <c r="J34" s="23">
        <v>71.610493607970213</v>
      </c>
      <c r="K34" s="23">
        <v>71.682139918763042</v>
      </c>
      <c r="L34" s="23">
        <v>71.753857911701772</v>
      </c>
      <c r="M34" s="23">
        <v>71.825647658504408</v>
      </c>
      <c r="N34" s="23">
        <v>71.897509230960679</v>
      </c>
      <c r="O34" s="23">
        <v>71.969442700932149</v>
      </c>
      <c r="P34" s="23">
        <v>72.041448140352358</v>
      </c>
      <c r="Q34" s="23">
        <v>72.113525621226685</v>
      </c>
      <c r="R34" s="23">
        <v>72.185675215632671</v>
      </c>
      <c r="S34" s="23">
        <v>72.257896995719861</v>
      </c>
      <c r="T34" s="23">
        <v>72.330191033710065</v>
      </c>
      <c r="U34" s="23">
        <v>72.40255740189734</v>
      </c>
      <c r="V34" s="23">
        <v>72.474996172648062</v>
      </c>
      <c r="W34" s="23">
        <v>72.547507418400983</v>
      </c>
      <c r="X34" s="23">
        <v>72.620091211667372</v>
      </c>
      <c r="Y34" s="23">
        <v>72.692747625031032</v>
      </c>
      <c r="Z34" s="23">
        <v>72.765476731148382</v>
      </c>
      <c r="AA34" s="23">
        <v>72.838278602748503</v>
      </c>
      <c r="AB34" s="23">
        <v>72.911153312633317</v>
      </c>
      <c r="AC34" s="23">
        <v>72.984100933677496</v>
      </c>
      <c r="AD34" s="23">
        <v>73.05712153882871</v>
      </c>
      <c r="AE34" s="23">
        <v>73.130215201107532</v>
      </c>
      <c r="AF34" s="23">
        <v>73.203381993607678</v>
      </c>
      <c r="AG34" s="23">
        <v>73.276621989495894</v>
      </c>
      <c r="AH34" s="23">
        <v>73.349935262012224</v>
      </c>
      <c r="AI34" s="23">
        <v>73.423321884469914</v>
      </c>
      <c r="AJ34" s="23">
        <v>73.496781930255608</v>
      </c>
      <c r="AK34" s="23">
        <v>73.570315472829336</v>
      </c>
      <c r="AL34" s="23">
        <v>73.64392258572471</v>
      </c>
      <c r="AM34" s="23">
        <v>73.71760334254877</v>
      </c>
      <c r="AN34" s="23">
        <v>73.791357816982355</v>
      </c>
      <c r="AO34" s="23">
        <v>73.865186082779886</v>
      </c>
      <c r="AP34" s="23">
        <v>73.939088213769637</v>
      </c>
      <c r="AQ34" s="23">
        <v>74.01306428385378</v>
      </c>
      <c r="AR34" s="23">
        <v>74.087114367008382</v>
      </c>
      <c r="AS34" s="23">
        <v>74.161238537283509</v>
      </c>
      <c r="AT34" s="23">
        <v>74.235436868803376</v>
      </c>
      <c r="AU34" s="23">
        <v>74.309709435766266</v>
      </c>
      <c r="AV34" s="23">
        <v>74.384056312444812</v>
      </c>
      <c r="AW34" s="23">
        <v>74.458477573185846</v>
      </c>
      <c r="AX34" s="23">
        <v>74.532973292410688</v>
      </c>
    </row>
    <row r="35" spans="7:50" x14ac:dyDescent="0.25">
      <c r="I35" s="23">
        <v>68.118703780578542</v>
      </c>
      <c r="J35" s="23">
        <v>68.186856555066981</v>
      </c>
      <c r="K35" s="23">
        <v>68.255077516417629</v>
      </c>
      <c r="L35" s="23">
        <v>68.323366732851497</v>
      </c>
      <c r="M35" s="23">
        <v>68.391724272657797</v>
      </c>
      <c r="N35" s="23">
        <v>68.460150204194065</v>
      </c>
      <c r="O35" s="23">
        <v>68.52864459588622</v>
      </c>
      <c r="P35" s="23">
        <v>68.597207516228721</v>
      </c>
      <c r="Q35" s="23">
        <v>68.665839033784422</v>
      </c>
      <c r="R35" s="23">
        <v>68.734539217184917</v>
      </c>
      <c r="S35" s="23">
        <v>68.803308135130322</v>
      </c>
      <c r="T35" s="23">
        <v>68.872145856389608</v>
      </c>
      <c r="U35" s="23">
        <v>68.94105244980048</v>
      </c>
      <c r="V35" s="23">
        <v>69.01002798426957</v>
      </c>
      <c r="W35" s="23">
        <v>69.079072528772386</v>
      </c>
      <c r="X35" s="23">
        <v>69.148186152353475</v>
      </c>
      <c r="Y35" s="23">
        <v>69.217368924126504</v>
      </c>
      <c r="Z35" s="23">
        <v>69.28662091327422</v>
      </c>
      <c r="AA35" s="23">
        <v>69.355942189048605</v>
      </c>
      <c r="AB35" s="23">
        <v>69.425332820770976</v>
      </c>
      <c r="AC35" s="23">
        <v>69.494792877831927</v>
      </c>
      <c r="AD35" s="23">
        <v>69.564322429691572</v>
      </c>
      <c r="AE35" s="23">
        <v>69.633921545879431</v>
      </c>
      <c r="AF35" s="23">
        <v>69.703590295994658</v>
      </c>
      <c r="AG35" s="23">
        <v>69.773328749705968</v>
      </c>
      <c r="AH35" s="23">
        <v>69.84313697675185</v>
      </c>
      <c r="AI35" s="23">
        <v>69.913015046940529</v>
      </c>
      <c r="AJ35" s="23">
        <v>69.982963030150074</v>
      </c>
      <c r="AK35" s="23">
        <v>70.052980996328472</v>
      </c>
      <c r="AL35" s="23">
        <v>70.123069015493726</v>
      </c>
      <c r="AM35" s="23">
        <v>70.193227157733816</v>
      </c>
      <c r="AN35" s="23">
        <v>70.263455493206962</v>
      </c>
      <c r="AO35" s="23">
        <v>70.333754092141419</v>
      </c>
      <c r="AP35" s="23">
        <v>70.404123024835812</v>
      </c>
      <c r="AQ35" s="23">
        <v>70.474562361659125</v>
      </c>
      <c r="AR35" s="23">
        <v>70.54507217305067</v>
      </c>
      <c r="AS35" s="23">
        <v>70.615652529520261</v>
      </c>
      <c r="AT35" s="23">
        <v>70.686303501648268</v>
      </c>
      <c r="AU35" s="23">
        <v>70.757025160085661</v>
      </c>
      <c r="AV35" s="23">
        <v>70.827817575554121</v>
      </c>
      <c r="AW35" s="23">
        <v>70.898680818846046</v>
      </c>
      <c r="AX35" s="23">
        <v>70.969614960824714</v>
      </c>
    </row>
    <row r="36" spans="7:50" x14ac:dyDescent="0.25">
      <c r="J36" s="23">
        <v>64.926900690205542</v>
      </c>
      <c r="K36" s="23">
        <v>64.991860065169931</v>
      </c>
      <c r="L36" s="23">
        <v>65.056884431999819</v>
      </c>
      <c r="M36" s="23">
        <v>65.121973855719574</v>
      </c>
      <c r="N36" s="23">
        <v>65.187128401418605</v>
      </c>
      <c r="O36" s="23">
        <v>65.252348134251434</v>
      </c>
      <c r="P36" s="23">
        <v>65.317633119437886</v>
      </c>
      <c r="Q36" s="23">
        <v>65.382983422262868</v>
      </c>
      <c r="R36" s="23">
        <v>65.448399108076757</v>
      </c>
      <c r="S36" s="23">
        <v>65.513880242295173</v>
      </c>
      <c r="T36" s="23">
        <v>65.57942689039929</v>
      </c>
      <c r="U36" s="23">
        <v>65.645039117935767</v>
      </c>
      <c r="V36" s="23">
        <v>65.710716990516858</v>
      </c>
      <c r="W36" s="23">
        <v>65.776460573820401</v>
      </c>
      <c r="X36" s="23">
        <v>65.842269933589989</v>
      </c>
      <c r="Y36" s="23">
        <v>65.908145135635024</v>
      </c>
      <c r="Z36" s="23">
        <v>65.974086245830676</v>
      </c>
      <c r="AA36" s="23">
        <v>66.040093330118054</v>
      </c>
      <c r="AB36" s="23">
        <v>66.10616645450429</v>
      </c>
      <c r="AC36" s="23">
        <v>66.172305685062454</v>
      </c>
      <c r="AD36" s="23">
        <v>66.23851108793184</v>
      </c>
      <c r="AE36" s="23">
        <v>66.304782729317836</v>
      </c>
      <c r="AF36" s="23">
        <v>66.371120675492094</v>
      </c>
      <c r="AG36" s="23">
        <v>66.437524992792547</v>
      </c>
      <c r="AH36" s="23">
        <v>66.50399574762352</v>
      </c>
      <c r="AI36" s="23">
        <v>66.570533006455804</v>
      </c>
      <c r="AJ36" s="23">
        <v>66.637136835826624</v>
      </c>
      <c r="AK36" s="23">
        <v>66.703807302339825</v>
      </c>
      <c r="AL36" s="23">
        <v>66.770544472665904</v>
      </c>
      <c r="AM36" s="23">
        <v>66.837348413542003</v>
      </c>
      <c r="AN36" s="23">
        <v>66.904219191772128</v>
      </c>
      <c r="AO36" s="23">
        <v>66.971156874226992</v>
      </c>
      <c r="AP36" s="23">
        <v>67.038161527844281</v>
      </c>
      <c r="AQ36" s="23">
        <v>67.10523321962873</v>
      </c>
      <c r="AR36" s="23">
        <v>67.172372016651977</v>
      </c>
      <c r="AS36" s="23">
        <v>67.239577986052822</v>
      </c>
      <c r="AT36" s="23">
        <v>67.306851195037282</v>
      </c>
      <c r="AU36" s="23">
        <v>67.37419171087852</v>
      </c>
      <c r="AV36" s="23">
        <v>67.441599600917101</v>
      </c>
      <c r="AW36" s="23">
        <v>67.509074932560893</v>
      </c>
      <c r="AX36" s="23">
        <v>67.57661777328525</v>
      </c>
    </row>
    <row r="37" spans="7:50" x14ac:dyDescent="0.25">
      <c r="K37" s="23">
        <v>61.88465427666727</v>
      </c>
      <c r="L37" s="23">
        <v>61.946569883587763</v>
      </c>
      <c r="M37" s="23">
        <v>62.008547437083315</v>
      </c>
      <c r="N37" s="23">
        <v>62.070586999131464</v>
      </c>
      <c r="O37" s="23">
        <v>62.132688631771757</v>
      </c>
      <c r="P37" s="23">
        <v>62.194852397105905</v>
      </c>
      <c r="Q37" s="23">
        <v>62.257078357297601</v>
      </c>
      <c r="R37" s="23">
        <v>62.319366574572875</v>
      </c>
      <c r="S37" s="23">
        <v>62.381717111219885</v>
      </c>
      <c r="T37" s="23">
        <v>62.444130029589203</v>
      </c>
      <c r="U37" s="23">
        <v>62.506605392093761</v>
      </c>
      <c r="V37" s="23">
        <v>62.569143261208943</v>
      </c>
      <c r="W37" s="23">
        <v>62.631743699472587</v>
      </c>
      <c r="X37" s="23">
        <v>62.694406769485141</v>
      </c>
      <c r="Y37" s="23">
        <v>62.757132533909711</v>
      </c>
      <c r="Z37" s="23">
        <v>62.819921055472037</v>
      </c>
      <c r="AA37" s="23">
        <v>62.882772396960632</v>
      </c>
      <c r="AB37" s="23">
        <v>62.945686621226891</v>
      </c>
      <c r="AC37" s="23">
        <v>63.008663791184986</v>
      </c>
      <c r="AD37" s="23">
        <v>63.071703969812141</v>
      </c>
      <c r="AE37" s="23">
        <v>63.134807220148524</v>
      </c>
      <c r="AF37" s="23">
        <v>63.197973605297399</v>
      </c>
      <c r="AG37" s="23">
        <v>63.261203188425128</v>
      </c>
      <c r="AH37" s="23">
        <v>63.324496032761317</v>
      </c>
      <c r="AI37" s="23">
        <v>63.387852201598832</v>
      </c>
      <c r="AJ37" s="23">
        <v>63.451271758293814</v>
      </c>
      <c r="AK37" s="23">
        <v>63.514754766265831</v>
      </c>
      <c r="AL37" s="23">
        <v>63.578301288997928</v>
      </c>
      <c r="AM37" s="23">
        <v>63.64191139003659</v>
      </c>
      <c r="AN37" s="23">
        <v>63.705585132991992</v>
      </c>
      <c r="AO37" s="23">
        <v>63.769322581537807</v>
      </c>
      <c r="AP37" s="23">
        <v>63.833123799411489</v>
      </c>
      <c r="AQ37" s="23">
        <v>63.896988850414331</v>
      </c>
      <c r="AR37" s="23">
        <v>63.960917798411337</v>
      </c>
      <c r="AS37" s="23">
        <v>64.024910707331458</v>
      </c>
      <c r="AT37" s="23">
        <v>64.088967641167642</v>
      </c>
      <c r="AU37" s="23">
        <v>64.153088663976789</v>
      </c>
      <c r="AV37" s="23">
        <v>64.217273839879965</v>
      </c>
      <c r="AW37" s="23">
        <v>64.281523233062316</v>
      </c>
      <c r="AX37" s="23">
        <v>64.345836907773261</v>
      </c>
    </row>
    <row r="38" spans="7:50" x14ac:dyDescent="0.25">
      <c r="L38" s="23">
        <v>58.984956839628715</v>
      </c>
      <c r="M38" s="23">
        <v>59.043971298780058</v>
      </c>
      <c r="N38" s="23">
        <v>59.103044801907615</v>
      </c>
      <c r="O38" s="23">
        <v>59.162177408084872</v>
      </c>
      <c r="P38" s="23">
        <v>59.221369176444512</v>
      </c>
      <c r="Q38" s="23">
        <v>59.280620166178231</v>
      </c>
      <c r="R38" s="23">
        <v>59.339930436537088</v>
      </c>
      <c r="S38" s="23">
        <v>59.3993000468313</v>
      </c>
      <c r="T38" s="23">
        <v>59.458729056430506</v>
      </c>
      <c r="U38" s="23">
        <v>59.518217524763728</v>
      </c>
      <c r="V38" s="23">
        <v>59.577765511319456</v>
      </c>
      <c r="W38" s="23">
        <v>59.637373075645641</v>
      </c>
      <c r="X38" s="23">
        <v>59.697040277349871</v>
      </c>
      <c r="Y38" s="23">
        <v>59.756767176099373</v>
      </c>
      <c r="Z38" s="23">
        <v>59.816553831621022</v>
      </c>
      <c r="AA38" s="23">
        <v>59.876400303701473</v>
      </c>
      <c r="AB38" s="23">
        <v>59.936306652187234</v>
      </c>
      <c r="AC38" s="23">
        <v>59.996272936984617</v>
      </c>
      <c r="AD38" s="23">
        <v>60.056299218059955</v>
      </c>
      <c r="AE38" s="23">
        <v>60.116385555439514</v>
      </c>
      <c r="AF38" s="23">
        <v>60.176532009209652</v>
      </c>
      <c r="AG38" s="23">
        <v>60.236738639516794</v>
      </c>
      <c r="AH38" s="23">
        <v>60.297005506567601</v>
      </c>
      <c r="AI38" s="23">
        <v>60.357332670628949</v>
      </c>
      <c r="AJ38" s="23">
        <v>60.417720192027986</v>
      </c>
      <c r="AK38" s="23">
        <v>60.478168131152231</v>
      </c>
      <c r="AL38" s="23">
        <v>60.538676548449672</v>
      </c>
      <c r="AM38" s="23">
        <v>60.599245504428687</v>
      </c>
      <c r="AN38" s="23">
        <v>60.659875059658297</v>
      </c>
      <c r="AO38" s="23">
        <v>60.720565274767999</v>
      </c>
      <c r="AP38" s="23">
        <v>60.781316210448004</v>
      </c>
      <c r="AQ38" s="23">
        <v>60.842127927449326</v>
      </c>
      <c r="AR38" s="23">
        <v>60.903000486583636</v>
      </c>
      <c r="AS38" s="23">
        <v>60.963933948723493</v>
      </c>
      <c r="AT38" s="23">
        <v>61.0249283748024</v>
      </c>
      <c r="AU38" s="23">
        <v>61.085983825814743</v>
      </c>
      <c r="AV38" s="23">
        <v>61.147100362816033</v>
      </c>
      <c r="AW38" s="23">
        <v>61.208278046922757</v>
      </c>
      <c r="AX38" s="23">
        <v>61.269516939312631</v>
      </c>
    </row>
    <row r="39" spans="7:50" x14ac:dyDescent="0.25">
      <c r="N39" s="23">
        <v>56.277378283939505</v>
      </c>
      <c r="O39" s="23">
        <v>56.333683810294474</v>
      </c>
      <c r="P39" s="23">
        <v>56.39004567033799</v>
      </c>
      <c r="Q39" s="23">
        <v>56.446463920431846</v>
      </c>
      <c r="R39" s="23">
        <v>56.502938616994356</v>
      </c>
      <c r="S39" s="23">
        <v>56.559469816500162</v>
      </c>
      <c r="T39" s="23">
        <v>56.616057575480497</v>
      </c>
      <c r="U39" s="23">
        <v>56.672701950523134</v>
      </c>
      <c r="V39" s="23">
        <v>56.729402998272462</v>
      </c>
      <c r="W39" s="23">
        <v>56.786160775429501</v>
      </c>
      <c r="X39" s="23">
        <v>56.842975338752041</v>
      </c>
      <c r="Y39" s="23">
        <v>56.899846745054681</v>
      </c>
      <c r="Z39" s="23">
        <v>56.956775051208794</v>
      </c>
      <c r="AA39" s="23">
        <v>57.013760314142694</v>
      </c>
      <c r="AB39" s="23">
        <v>57.070802590841673</v>
      </c>
      <c r="AC39" s="23">
        <v>57.127901938347982</v>
      </c>
      <c r="AD39" s="23">
        <v>57.185058413760999</v>
      </c>
      <c r="AE39" s="23">
        <v>57.242272074237199</v>
      </c>
      <c r="AF39" s="23">
        <v>57.299542976990253</v>
      </c>
      <c r="AG39" s="23">
        <v>57.356871179291041</v>
      </c>
      <c r="AH39" s="23">
        <v>57.414256738467792</v>
      </c>
      <c r="AI39" s="23">
        <v>57.471699711906076</v>
      </c>
      <c r="AJ39" s="23">
        <v>57.529200157048855</v>
      </c>
      <c r="AK39" s="23">
        <v>57.586758131396564</v>
      </c>
      <c r="AL39" s="23">
        <v>57.64437369250723</v>
      </c>
      <c r="AM39" s="23">
        <v>57.702046897996368</v>
      </c>
      <c r="AN39" s="23">
        <v>57.759777805537254</v>
      </c>
      <c r="AO39" s="23">
        <v>57.81756647286074</v>
      </c>
      <c r="AP39" s="23">
        <v>57.875412957755479</v>
      </c>
      <c r="AQ39" s="23">
        <v>57.933317318068042</v>
      </c>
      <c r="AR39" s="23">
        <v>57.991279611702744</v>
      </c>
      <c r="AS39" s="23">
        <v>58.049299896621875</v>
      </c>
      <c r="AT39" s="23">
        <v>58.107378230845761</v>
      </c>
      <c r="AU39" s="23">
        <v>58.165514672452694</v>
      </c>
      <c r="AV39" s="23">
        <v>58.223709279579182</v>
      </c>
      <c r="AW39" s="23">
        <v>58.281962110419769</v>
      </c>
      <c r="AX39" s="23">
        <v>58.340273223227335</v>
      </c>
    </row>
    <row r="40" spans="7:50" x14ac:dyDescent="0.25">
      <c r="P40" s="23">
        <v>53.69408534322767</v>
      </c>
      <c r="Q40" s="23">
        <v>53.747806284564817</v>
      </c>
      <c r="R40" s="23">
        <v>53.801580973712753</v>
      </c>
      <c r="S40" s="23">
        <v>53.855409464446112</v>
      </c>
      <c r="T40" s="23">
        <v>53.90929181059343</v>
      </c>
      <c r="U40" s="23">
        <v>53.963228066037054</v>
      </c>
      <c r="V40" s="23">
        <v>54.017218284713266</v>
      </c>
      <c r="W40" s="23">
        <v>54.071262520612244</v>
      </c>
      <c r="X40" s="23">
        <v>54.125360827778245</v>
      </c>
      <c r="Y40" s="23">
        <v>54.179513260309605</v>
      </c>
      <c r="Z40" s="23">
        <v>54.233719872358726</v>
      </c>
      <c r="AA40" s="23">
        <v>54.287980718132232</v>
      </c>
      <c r="AB40" s="23">
        <v>54.342295851890988</v>
      </c>
      <c r="AC40" s="23">
        <v>54.396665327950117</v>
      </c>
      <c r="AD40" s="23">
        <v>54.451089200679107</v>
      </c>
      <c r="AE40" s="23">
        <v>54.505567524501842</v>
      </c>
      <c r="AF40" s="23">
        <v>54.560100353896658</v>
      </c>
      <c r="AG40" s="23">
        <v>54.614687743396352</v>
      </c>
      <c r="AH40" s="23">
        <v>54.669329747588343</v>
      </c>
      <c r="AI40" s="23">
        <v>54.724026421114651</v>
      </c>
      <c r="AJ40" s="23">
        <v>54.778777818671934</v>
      </c>
      <c r="AK40" s="23">
        <v>54.83358399501158</v>
      </c>
      <c r="AL40" s="23">
        <v>54.888445004939811</v>
      </c>
      <c r="AM40" s="23">
        <v>54.943360903317604</v>
      </c>
      <c r="AN40" s="23">
        <v>54.998331745060916</v>
      </c>
      <c r="AO40" s="23">
        <v>55.053357585140539</v>
      </c>
      <c r="AP40" s="23">
        <v>55.1084384785823</v>
      </c>
      <c r="AQ40" s="23">
        <v>55.163574480467169</v>
      </c>
      <c r="AR40" s="23">
        <v>55.218765645931114</v>
      </c>
      <c r="AS40" s="23">
        <v>55.274012030165288</v>
      </c>
      <c r="AT40" s="23">
        <v>55.329313688416121</v>
      </c>
      <c r="AU40" s="23">
        <v>55.384670675985227</v>
      </c>
      <c r="AV40" s="23">
        <v>55.44008304822966</v>
      </c>
      <c r="AW40" s="23">
        <v>55.495550860561728</v>
      </c>
      <c r="AX40" s="23">
        <v>55.55107416844929</v>
      </c>
    </row>
    <row r="41" spans="7:50" x14ac:dyDescent="0.25">
      <c r="R41" s="23">
        <v>51.229372951592993</v>
      </c>
      <c r="S41" s="23">
        <v>51.280627947771414</v>
      </c>
      <c r="T41" s="23">
        <v>51.331934224582064</v>
      </c>
      <c r="U41" s="23">
        <v>51.383291833331214</v>
      </c>
      <c r="V41" s="23">
        <v>51.43470082537651</v>
      </c>
      <c r="W41" s="23">
        <v>51.486161252126891</v>
      </c>
      <c r="X41" s="23">
        <v>51.537673165042811</v>
      </c>
      <c r="Y41" s="23">
        <v>51.589236615636217</v>
      </c>
      <c r="Z41" s="23">
        <v>51.64085165547052</v>
      </c>
      <c r="AA41" s="23">
        <v>51.692518336160781</v>
      </c>
      <c r="AB41" s="23">
        <v>51.744236709373688</v>
      </c>
      <c r="AC41" s="23">
        <v>51.796006826827607</v>
      </c>
      <c r="AD41" s="23">
        <v>51.847828740292677</v>
      </c>
      <c r="AE41" s="23">
        <v>51.899702501590809</v>
      </c>
      <c r="AF41" s="23">
        <v>51.951628162595782</v>
      </c>
      <c r="AG41" s="23">
        <v>52.003605775233225</v>
      </c>
      <c r="AH41" s="23">
        <v>52.055635391480777</v>
      </c>
      <c r="AI41" s="23">
        <v>52.107717063368078</v>
      </c>
      <c r="AJ41" s="23">
        <v>52.159850842976773</v>
      </c>
      <c r="AK41" s="23">
        <v>52.212036782440642</v>
      </c>
      <c r="AL41" s="23">
        <v>52.264274933945657</v>
      </c>
      <c r="AM41" s="23">
        <v>52.316565349729956</v>
      </c>
      <c r="AN41" s="23">
        <v>52.368908082083991</v>
      </c>
      <c r="AO41" s="23">
        <v>52.42130318335046</v>
      </c>
      <c r="AP41" s="23">
        <v>52.473750705924445</v>
      </c>
      <c r="AQ41" s="23">
        <v>52.526250702253542</v>
      </c>
      <c r="AR41" s="23">
        <v>52.578803224837721</v>
      </c>
      <c r="AS41" s="23">
        <v>52.63140832622949</v>
      </c>
      <c r="AT41" s="23">
        <v>52.684066059033988</v>
      </c>
      <c r="AU41" s="23">
        <v>52.736776475908911</v>
      </c>
      <c r="AV41" s="23">
        <v>52.789539629564743</v>
      </c>
      <c r="AW41" s="23">
        <v>52.842355572764568</v>
      </c>
      <c r="AX41" s="23">
        <v>52.895224358324377</v>
      </c>
    </row>
    <row r="42" spans="7:50" x14ac:dyDescent="0.25">
      <c r="T42" s="23">
        <v>48.87779792200935</v>
      </c>
      <c r="U42" s="23">
        <v>48.926700166978655</v>
      </c>
      <c r="V42" s="23">
        <v>48.975651338652227</v>
      </c>
      <c r="W42" s="23">
        <v>49.024651485981195</v>
      </c>
      <c r="X42" s="23">
        <v>49.073700657965738</v>
      </c>
      <c r="Y42" s="23">
        <v>49.122798903655045</v>
      </c>
      <c r="Z42" s="23">
        <v>49.171946272147338</v>
      </c>
      <c r="AA42" s="23">
        <v>49.221142812589996</v>
      </c>
      <c r="AB42" s="23">
        <v>49.27038857417957</v>
      </c>
      <c r="AC42" s="23">
        <v>49.319683606161817</v>
      </c>
      <c r="AD42" s="23">
        <v>49.369027957831783</v>
      </c>
      <c r="AE42" s="23">
        <v>49.418421678533825</v>
      </c>
      <c r="AF42" s="23">
        <v>49.467864817661685</v>
      </c>
      <c r="AG42" s="23">
        <v>49.517357424658456</v>
      </c>
      <c r="AH42" s="23">
        <v>49.566899549016782</v>
      </c>
      <c r="AI42" s="23">
        <v>49.616491240278798</v>
      </c>
      <c r="AJ42" s="23">
        <v>49.666132548036188</v>
      </c>
      <c r="AK42" s="23">
        <v>49.71582352193024</v>
      </c>
      <c r="AL42" s="23">
        <v>49.765564211651977</v>
      </c>
      <c r="AM42" s="23">
        <v>49.815354666942063</v>
      </c>
      <c r="AN42" s="23">
        <v>49.865194937590999</v>
      </c>
      <c r="AO42" s="23">
        <v>49.915085073439009</v>
      </c>
      <c r="AP42" s="23">
        <v>49.965025124376226</v>
      </c>
      <c r="AQ42" s="23">
        <v>50.015015140342754</v>
      </c>
      <c r="AR42" s="23">
        <v>50.065055171328602</v>
      </c>
      <c r="AS42" s="23">
        <v>50.115145267373769</v>
      </c>
      <c r="AT42" s="23">
        <v>50.1652854785684</v>
      </c>
      <c r="AU42" s="23">
        <v>50.215475855052667</v>
      </c>
      <c r="AV42" s="23">
        <v>50.265716447017006</v>
      </c>
      <c r="AW42" s="23">
        <v>50.316007304701955</v>
      </c>
      <c r="AX42" s="23">
        <v>50.3663484783984</v>
      </c>
    </row>
    <row r="43" spans="7:50" x14ac:dyDescent="0.25">
      <c r="W43" s="23">
        <v>46.680824417117201</v>
      </c>
      <c r="X43" s="23">
        <v>46.727528589728607</v>
      </c>
      <c r="Y43" s="23">
        <v>46.774279489872512</v>
      </c>
      <c r="Z43" s="23">
        <v>46.821077164299801</v>
      </c>
      <c r="AA43" s="23">
        <v>46.867921659808147</v>
      </c>
      <c r="AB43" s="23">
        <v>46.914813023242061</v>
      </c>
      <c r="AC43" s="23">
        <v>46.961751301492903</v>
      </c>
      <c r="AD43" s="23">
        <v>47.008736541498962</v>
      </c>
      <c r="AE43" s="23">
        <v>47.05576879024548</v>
      </c>
      <c r="AF43" s="23">
        <v>47.102848094764731</v>
      </c>
      <c r="AG43" s="23">
        <v>47.149974502135976</v>
      </c>
      <c r="AH43" s="23">
        <v>47.197148059485656</v>
      </c>
      <c r="AI43" s="23">
        <v>47.244368813987343</v>
      </c>
      <c r="AJ43" s="23">
        <v>47.291636812861775</v>
      </c>
      <c r="AK43" s="23">
        <v>47.338952103376933</v>
      </c>
      <c r="AL43" s="23">
        <v>47.386314732848163</v>
      </c>
      <c r="AM43" s="23">
        <v>47.43372474863807</v>
      </c>
      <c r="AN43" s="23">
        <v>47.481182198156702</v>
      </c>
      <c r="AO43" s="23">
        <v>47.528687128861471</v>
      </c>
      <c r="AP43" s="23">
        <v>47.576239588257309</v>
      </c>
      <c r="AQ43" s="23">
        <v>47.623839623896721</v>
      </c>
      <c r="AR43" s="23">
        <v>47.671487283379733</v>
      </c>
      <c r="AS43" s="23">
        <v>47.719182614353983</v>
      </c>
      <c r="AT43" s="23">
        <v>47.766925664514837</v>
      </c>
      <c r="AU43" s="23">
        <v>47.814716481605316</v>
      </c>
      <c r="AV43" s="23">
        <v>47.862555113416292</v>
      </c>
      <c r="AW43" s="23">
        <v>47.910441607786346</v>
      </c>
      <c r="AX43" s="23">
        <v>47.958376012602002</v>
      </c>
    </row>
    <row r="44" spans="7:50" x14ac:dyDescent="0.25">
      <c r="Z44" s="23">
        <v>44.58260111756163</v>
      </c>
      <c r="AA44" s="23">
        <v>44.627206017412043</v>
      </c>
      <c r="AB44" s="23">
        <v>44.671855544472194</v>
      </c>
      <c r="AC44" s="23">
        <v>44.716549743391603</v>
      </c>
      <c r="AD44" s="23">
        <v>44.761288658864487</v>
      </c>
      <c r="AE44" s="23">
        <v>44.806072335629764</v>
      </c>
      <c r="AF44" s="23">
        <v>44.850900818471125</v>
      </c>
      <c r="AG44" s="23">
        <v>44.895774152217022</v>
      </c>
      <c r="AH44" s="23">
        <v>44.940692381740817</v>
      </c>
      <c r="AI44" s="23">
        <v>44.985655551960747</v>
      </c>
      <c r="AJ44" s="23">
        <v>45.030663707839977</v>
      </c>
      <c r="AK44" s="23">
        <v>45.075716894386638</v>
      </c>
      <c r="AL44" s="23">
        <v>45.120815156653968</v>
      </c>
      <c r="AM44" s="23">
        <v>45.165958539740217</v>
      </c>
      <c r="AN44" s="23">
        <v>45.211147088788792</v>
      </c>
      <c r="AO44" s="23">
        <v>45.256380848988201</v>
      </c>
      <c r="AP44" s="23">
        <v>45.301659865572219</v>
      </c>
      <c r="AQ44" s="23">
        <v>45.346984183819892</v>
      </c>
      <c r="AR44" s="23">
        <v>45.392353849055532</v>
      </c>
      <c r="AS44" s="23">
        <v>45.437768906648792</v>
      </c>
      <c r="AT44" s="23">
        <v>45.483229402014757</v>
      </c>
      <c r="AU44" s="23">
        <v>45.528735380613895</v>
      </c>
      <c r="AV44" s="23">
        <v>45.574286887952233</v>
      </c>
      <c r="AW44" s="23">
        <v>45.619883969581238</v>
      </c>
      <c r="AX44" s="23">
        <v>45.665526671098014</v>
      </c>
    </row>
    <row r="45" spans="7:50" x14ac:dyDescent="0.25">
      <c r="AB45" s="23">
        <v>42.53613196321519</v>
      </c>
      <c r="AC45" s="23">
        <v>42.57868937033551</v>
      </c>
      <c r="AD45" s="23">
        <v>42.62128935614875</v>
      </c>
      <c r="AE45" s="23">
        <v>42.66393196325491</v>
      </c>
      <c r="AF45" s="23">
        <v>42.706617234296594</v>
      </c>
      <c r="AG45" s="23">
        <v>42.749345211959053</v>
      </c>
      <c r="AH45" s="23">
        <v>42.792115938970291</v>
      </c>
      <c r="AI45" s="23">
        <v>42.834929458101044</v>
      </c>
      <c r="AJ45" s="23">
        <v>42.877785812164824</v>
      </c>
      <c r="AK45" s="23">
        <v>42.920685044017958</v>
      </c>
      <c r="AL45" s="23">
        <v>42.963627196559735</v>
      </c>
      <c r="AM45" s="23">
        <v>43.006612312732287</v>
      </c>
      <c r="AN45" s="23">
        <v>43.049640435520757</v>
      </c>
      <c r="AO45" s="23">
        <v>43.092711607953234</v>
      </c>
      <c r="AP45" s="23">
        <v>43.135825873100892</v>
      </c>
      <c r="AQ45" s="23">
        <v>43.178983274078035</v>
      </c>
      <c r="AR45" s="23">
        <v>43.222183854042058</v>
      </c>
      <c r="AS45" s="23">
        <v>43.265427656193516</v>
      </c>
      <c r="AT45" s="23">
        <v>43.308714723776255</v>
      </c>
      <c r="AU45" s="23">
        <v>43.352045100077305</v>
      </c>
      <c r="AV45" s="23">
        <v>43.395418828427097</v>
      </c>
      <c r="AW45" s="23">
        <v>43.438835952199312</v>
      </c>
      <c r="AX45" s="23">
        <v>43.482296514811097</v>
      </c>
    </row>
    <row r="46" spans="7:50" x14ac:dyDescent="0.25">
      <c r="AE46" s="23">
        <v>40.624205507917573</v>
      </c>
      <c r="AF46" s="23">
        <v>40.664850032300649</v>
      </c>
      <c r="AG46" s="23">
        <v>40.705535221537133</v>
      </c>
      <c r="AH46" s="23">
        <v>40.746261116312233</v>
      </c>
      <c r="AI46" s="23">
        <v>40.787027757351858</v>
      </c>
      <c r="AJ46" s="23">
        <v>40.827835185422636</v>
      </c>
      <c r="AK46" s="23">
        <v>40.868683441331967</v>
      </c>
      <c r="AL46" s="23">
        <v>40.909572565928173</v>
      </c>
      <c r="AM46" s="23">
        <v>40.95050260010035</v>
      </c>
      <c r="AN46" s="23">
        <v>40.991473584778561</v>
      </c>
      <c r="AO46" s="23">
        <v>41.032485560933758</v>
      </c>
      <c r="AP46" s="23">
        <v>41.073538569577913</v>
      </c>
      <c r="AQ46" s="23">
        <v>41.114632651764083</v>
      </c>
      <c r="AR46" s="23">
        <v>41.155767848586336</v>
      </c>
      <c r="AS46" s="23">
        <v>41.196944201179846</v>
      </c>
      <c r="AT46" s="23">
        <v>41.238161750721012</v>
      </c>
      <c r="AU46" s="23">
        <v>41.279420538427338</v>
      </c>
      <c r="AV46" s="23">
        <v>41.320720605557675</v>
      </c>
      <c r="AW46" s="23">
        <v>41.362061993412041</v>
      </c>
      <c r="AX46" s="23">
        <v>41.403444743331846</v>
      </c>
    </row>
    <row r="47" spans="7:50" x14ac:dyDescent="0.25">
      <c r="AI47" s="23">
        <v>38.837034502559931</v>
      </c>
      <c r="AJ47" s="23">
        <v>38.875890962054207</v>
      </c>
      <c r="AK47" s="23">
        <v>38.914786297442653</v>
      </c>
      <c r="AL47" s="23">
        <v>38.953720547620669</v>
      </c>
      <c r="AM47" s="23">
        <v>38.992693751522467</v>
      </c>
      <c r="AN47" s="23">
        <v>39.031705948121292</v>
      </c>
      <c r="AO47" s="23">
        <v>39.070757176429304</v>
      </c>
      <c r="AP47" s="23">
        <v>39.10984747549773</v>
      </c>
      <c r="AQ47" s="23">
        <v>39.148976884416911</v>
      </c>
      <c r="AR47" s="23">
        <v>39.188145442316241</v>
      </c>
      <c r="AS47" s="23">
        <v>39.227353188364255</v>
      </c>
      <c r="AT47" s="23">
        <v>39.26660016176875</v>
      </c>
      <c r="AU47" s="23">
        <v>39.305886401776654</v>
      </c>
      <c r="AV47" s="23">
        <v>39.345211947674272</v>
      </c>
      <c r="AW47" s="23">
        <v>39.38457683878709</v>
      </c>
      <c r="AX47" s="23">
        <v>39.423981114480029</v>
      </c>
    </row>
    <row r="48" spans="7:50" x14ac:dyDescent="0.25">
      <c r="J48" s="25"/>
      <c r="AL48" s="23">
        <v>37.091376157909203</v>
      </c>
      <c r="AM48" s="23">
        <v>37.128486085938626</v>
      </c>
      <c r="AN48" s="23">
        <v>37.165633142457253</v>
      </c>
      <c r="AO48" s="23">
        <v>37.202817364612109</v>
      </c>
      <c r="AP48" s="23">
        <v>37.240038789587409</v>
      </c>
      <c r="AQ48" s="23">
        <v>37.277297454604629</v>
      </c>
      <c r="AR48" s="23">
        <v>37.314593396922405</v>
      </c>
      <c r="AS48" s="23">
        <v>37.351926653836664</v>
      </c>
      <c r="AT48" s="23">
        <v>37.389297262680714</v>
      </c>
      <c r="AU48" s="23">
        <v>37.426705260825123</v>
      </c>
      <c r="AV48" s="23">
        <v>37.464150685677943</v>
      </c>
      <c r="AW48" s="23">
        <v>37.50163357468454</v>
      </c>
      <c r="AX48" s="23">
        <v>37.539153965327841</v>
      </c>
    </row>
    <row r="49" spans="42:50" x14ac:dyDescent="0.25">
      <c r="AP49" s="23">
        <v>35.459624073420798</v>
      </c>
      <c r="AQ49" s="23">
        <v>35.495101433217684</v>
      </c>
      <c r="AR49" s="23">
        <v>35.530614288118954</v>
      </c>
      <c r="AS49" s="23">
        <v>35.56616267363745</v>
      </c>
      <c r="AT49" s="23">
        <v>35.60174662532161</v>
      </c>
      <c r="AU49" s="23">
        <v>35.637366178755343</v>
      </c>
      <c r="AV49" s="23">
        <v>35.673021369558256</v>
      </c>
      <c r="AW49" s="23">
        <v>35.708712233385477</v>
      </c>
      <c r="AX49" s="23">
        <v>35.744438805927913</v>
      </c>
    </row>
    <row r="50" spans="42:50" x14ac:dyDescent="0.25">
      <c r="AT50" s="23">
        <v>33.899657270068822</v>
      </c>
      <c r="AU50" s="23">
        <v>33.933573882818877</v>
      </c>
      <c r="AV50" s="23">
        <v>33.967524429145669</v>
      </c>
      <c r="AW50" s="23">
        <v>34.001508942999685</v>
      </c>
      <c r="AX50" s="23">
        <v>34.035527458365486</v>
      </c>
    </row>
    <row r="51" spans="42:50" x14ac:dyDescent="0.25">
      <c r="AX51" s="23">
        <v>32.408317715063333</v>
      </c>
    </row>
  </sheetData>
  <mergeCells count="1">
    <mergeCell ref="A1:C3"/>
  </mergeCells>
  <conditionalFormatting sqref="A4:XFD1048576 D1:XFD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AX51"/>
  <sheetViews>
    <sheetView zoomScale="61" zoomScaleNormal="85" workbookViewId="0">
      <selection sqref="A1:C3"/>
    </sheetView>
  </sheetViews>
  <sheetFormatPr baseColWidth="10" defaultColWidth="9.140625" defaultRowHeight="15" x14ac:dyDescent="0.25"/>
  <cols>
    <col min="1" max="1" width="14.5703125" style="23" customWidth="1"/>
    <col min="2" max="16384" width="9.140625" style="23"/>
  </cols>
  <sheetData>
    <row r="1" spans="1:50" x14ac:dyDescent="0.25">
      <c r="A1" s="47" t="s">
        <v>24</v>
      </c>
      <c r="B1" s="47"/>
      <c r="C1" s="47"/>
    </row>
    <row r="2" spans="1:50" x14ac:dyDescent="0.25">
      <c r="A2" s="47"/>
      <c r="B2" s="47"/>
      <c r="C2" s="47"/>
    </row>
    <row r="3" spans="1:50" x14ac:dyDescent="0.25">
      <c r="A3" s="47"/>
      <c r="B3" s="47"/>
      <c r="C3" s="47"/>
    </row>
    <row r="4" spans="1:50" x14ac:dyDescent="0.25">
      <c r="AV4" s="23">
        <v>223.61452180623181</v>
      </c>
      <c r="AW4" s="23">
        <v>223.83824817257735</v>
      </c>
      <c r="AX4" s="23">
        <v>224.0621983771897</v>
      </c>
    </row>
    <row r="5" spans="1:50" x14ac:dyDescent="0.25">
      <c r="AR5" s="23">
        <v>207.32139151020431</v>
      </c>
      <c r="AS5" s="23">
        <v>207.52881659697246</v>
      </c>
      <c r="AT5" s="23">
        <v>207.73644921257451</v>
      </c>
      <c r="AU5" s="23">
        <v>207.9442895646431</v>
      </c>
      <c r="AV5" s="23">
        <v>208.15233786101859</v>
      </c>
      <c r="AW5" s="23">
        <v>208.36059430974927</v>
      </c>
      <c r="AX5" s="23">
        <v>208.56905911909161</v>
      </c>
    </row>
    <row r="6" spans="1:50" x14ac:dyDescent="0.25">
      <c r="AN6" s="23">
        <v>191.88812600010831</v>
      </c>
      <c r="AO6" s="23">
        <v>192.08011010216077</v>
      </c>
      <c r="AP6" s="23">
        <v>192.27228628433934</v>
      </c>
      <c r="AQ6" s="23">
        <v>192.4646547388202</v>
      </c>
      <c r="AR6" s="23">
        <v>192.65721565797185</v>
      </c>
      <c r="AS6" s="23">
        <v>192.8499692343552</v>
      </c>
      <c r="AT6" s="23">
        <v>193.04291566072388</v>
      </c>
      <c r="AU6" s="23">
        <v>193.23605513002431</v>
      </c>
      <c r="AV6" s="23">
        <v>193.42938783539597</v>
      </c>
      <c r="AW6" s="23">
        <v>193.62291397017157</v>
      </c>
      <c r="AX6" s="23">
        <v>193.81663372787727</v>
      </c>
    </row>
    <row r="7" spans="1:50" x14ac:dyDescent="0.25">
      <c r="AK7" s="23">
        <v>177.44763059127783</v>
      </c>
      <c r="AL7" s="23">
        <v>177.62516697526641</v>
      </c>
      <c r="AM7" s="23">
        <v>177.80288098443677</v>
      </c>
      <c r="AN7" s="23">
        <v>177.98077279650292</v>
      </c>
      <c r="AO7" s="23">
        <v>178.15884258935671</v>
      </c>
      <c r="AP7" s="23">
        <v>178.33709054106791</v>
      </c>
      <c r="AQ7" s="23">
        <v>178.51551682988452</v>
      </c>
      <c r="AR7" s="23">
        <v>178.69412163423283</v>
      </c>
      <c r="AS7" s="23">
        <v>178.87290513271768</v>
      </c>
      <c r="AT7" s="23">
        <v>179.05186750412255</v>
      </c>
      <c r="AU7" s="23">
        <v>179.2310089274099</v>
      </c>
      <c r="AV7" s="23">
        <v>179.41032958172104</v>
      </c>
      <c r="AW7" s="23">
        <v>179.58982964637678</v>
      </c>
      <c r="AX7" s="23">
        <v>179.76950930087708</v>
      </c>
    </row>
    <row r="8" spans="1:50" x14ac:dyDescent="0.25">
      <c r="AG8" s="23">
        <v>163.58917683062523</v>
      </c>
      <c r="AH8" s="23">
        <v>163.75284782931595</v>
      </c>
      <c r="AI8" s="23">
        <v>163.91668258086816</v>
      </c>
      <c r="AJ8" s="23">
        <v>164.08068124911659</v>
      </c>
      <c r="AK8" s="23">
        <v>164.24484399805993</v>
      </c>
      <c r="AL8" s="23">
        <v>164.409170991861</v>
      </c>
      <c r="AM8" s="23">
        <v>164.57366239484674</v>
      </c>
      <c r="AN8" s="23">
        <v>164.73831837150857</v>
      </c>
      <c r="AO8" s="23">
        <v>164.90313908650251</v>
      </c>
      <c r="AP8" s="23">
        <v>165.06812470464931</v>
      </c>
      <c r="AQ8" s="23">
        <v>165.23327539093452</v>
      </c>
      <c r="AR8" s="23">
        <v>165.39859131050892</v>
      </c>
      <c r="AS8" s="23">
        <v>165.56407262868836</v>
      </c>
      <c r="AT8" s="23">
        <v>165.72971951095428</v>
      </c>
      <c r="AU8" s="23">
        <v>165.89553212295351</v>
      </c>
      <c r="AV8" s="23">
        <v>166.0615106304987</v>
      </c>
      <c r="AW8" s="23">
        <v>166.22765519956835</v>
      </c>
      <c r="AX8" s="23">
        <v>166.39396599630709</v>
      </c>
    </row>
    <row r="9" spans="1:50" x14ac:dyDescent="0.25">
      <c r="AD9" s="23">
        <v>150.61526588999789</v>
      </c>
      <c r="AE9" s="23">
        <v>150.76595648862966</v>
      </c>
      <c r="AF9" s="23">
        <v>150.91679785323046</v>
      </c>
      <c r="AG9" s="23">
        <v>151.06779013464171</v>
      </c>
      <c r="AH9" s="23">
        <v>151.21893348385564</v>
      </c>
      <c r="AI9" s="23">
        <v>151.37022805201568</v>
      </c>
      <c r="AJ9" s="23">
        <v>151.52167399041639</v>
      </c>
      <c r="AK9" s="23">
        <v>151.67327145050373</v>
      </c>
      <c r="AL9" s="23">
        <v>151.82502058387513</v>
      </c>
      <c r="AM9" s="23">
        <v>151.97692154227983</v>
      </c>
      <c r="AN9" s="23">
        <v>152.12897447761867</v>
      </c>
      <c r="AO9" s="23">
        <v>152.28117954194468</v>
      </c>
      <c r="AP9" s="23">
        <v>152.43353688746294</v>
      </c>
      <c r="AQ9" s="23">
        <v>152.58604666653082</v>
      </c>
      <c r="AR9" s="23">
        <v>152.738709031658</v>
      </c>
      <c r="AS9" s="23">
        <v>152.89152413550698</v>
      </c>
      <c r="AT9" s="23">
        <v>153.04449213089285</v>
      </c>
      <c r="AU9" s="23">
        <v>153.19761317078363</v>
      </c>
      <c r="AV9" s="23">
        <v>153.35088740830031</v>
      </c>
      <c r="AW9" s="23">
        <v>153.50431499671717</v>
      </c>
      <c r="AX9" s="23">
        <v>153.65789608946187</v>
      </c>
    </row>
    <row r="10" spans="1:50" x14ac:dyDescent="0.25">
      <c r="AA10" s="23">
        <v>138.31266969932315</v>
      </c>
      <c r="AB10" s="23">
        <v>138.45105154841519</v>
      </c>
      <c r="AC10" s="23">
        <v>138.58957184857033</v>
      </c>
      <c r="AD10" s="23">
        <v>138.72823073830784</v>
      </c>
      <c r="AE10" s="23">
        <v>138.86702835628856</v>
      </c>
      <c r="AF10" s="23">
        <v>139.00596484130926</v>
      </c>
      <c r="AG10" s="23">
        <v>139.14504033230642</v>
      </c>
      <c r="AH10" s="23">
        <v>139.28425496835553</v>
      </c>
      <c r="AI10" s="23">
        <v>139.42360888867117</v>
      </c>
      <c r="AJ10" s="23">
        <v>139.56310223260738</v>
      </c>
      <c r="AK10" s="23">
        <v>139.70273513965739</v>
      </c>
      <c r="AL10" s="23">
        <v>139.84250774945423</v>
      </c>
      <c r="AM10" s="23">
        <v>139.98242020177045</v>
      </c>
      <c r="AN10" s="23">
        <v>140.12247263651858</v>
      </c>
      <c r="AO10" s="23">
        <v>140.26266519375096</v>
      </c>
      <c r="AP10" s="23">
        <v>140.40299801366027</v>
      </c>
      <c r="AQ10" s="23">
        <v>140.54347123657925</v>
      </c>
      <c r="AR10" s="23">
        <v>140.68408500298125</v>
      </c>
      <c r="AS10" s="23">
        <v>140.82483945347994</v>
      </c>
      <c r="AT10" s="23">
        <v>140.96573472882983</v>
      </c>
      <c r="AU10" s="23">
        <v>141.1067709699262</v>
      </c>
      <c r="AV10" s="23">
        <v>141.24794831780531</v>
      </c>
      <c r="AW10" s="23">
        <v>141.38926691364449</v>
      </c>
      <c r="AX10" s="23">
        <v>141.53072689876237</v>
      </c>
    </row>
    <row r="11" spans="1:50" x14ac:dyDescent="0.25">
      <c r="X11" s="23">
        <v>126.64733643442952</v>
      </c>
      <c r="Y11" s="23">
        <v>126.77404711564533</v>
      </c>
      <c r="Z11" s="23">
        <v>126.90088457091882</v>
      </c>
      <c r="AA11" s="23">
        <v>127.02784892639185</v>
      </c>
      <c r="AB11" s="23">
        <v>127.15494031015514</v>
      </c>
      <c r="AC11" s="23">
        <v>127.2821588490452</v>
      </c>
      <c r="AD11" s="23">
        <v>127.40950467016798</v>
      </c>
      <c r="AE11" s="23">
        <v>127.53697790082525</v>
      </c>
      <c r="AF11" s="23">
        <v>127.66457866847564</v>
      </c>
      <c r="AG11" s="23">
        <v>127.79230710071612</v>
      </c>
      <c r="AH11" s="23">
        <v>127.92016332527439</v>
      </c>
      <c r="AI11" s="23">
        <v>128.04814747000668</v>
      </c>
      <c r="AJ11" s="23">
        <v>128.17625966289708</v>
      </c>
      <c r="AK11" s="23">
        <v>128.30450003205789</v>
      </c>
      <c r="AL11" s="23">
        <v>128.43286870572939</v>
      </c>
      <c r="AM11" s="23">
        <v>128.56136581228026</v>
      </c>
      <c r="AN11" s="23">
        <v>128.68999148020768</v>
      </c>
      <c r="AO11" s="23">
        <v>128.81874583813732</v>
      </c>
      <c r="AP11" s="23">
        <v>128.94762901482355</v>
      </c>
      <c r="AQ11" s="23">
        <v>129.07664113914953</v>
      </c>
      <c r="AR11" s="23">
        <v>129.2057823401274</v>
      </c>
      <c r="AS11" s="23">
        <v>129.33505274689838</v>
      </c>
      <c r="AT11" s="23">
        <v>129.46445248873292</v>
      </c>
      <c r="AU11" s="23">
        <v>129.59398169503069</v>
      </c>
      <c r="AV11" s="23">
        <v>129.72364049532095</v>
      </c>
      <c r="AW11" s="23">
        <v>129.85342901926256</v>
      </c>
      <c r="AX11" s="23">
        <v>129.98334739664398</v>
      </c>
    </row>
    <row r="12" spans="1:50" x14ac:dyDescent="0.25">
      <c r="U12" s="23">
        <v>115.58693961309527</v>
      </c>
      <c r="V12" s="23">
        <v>115.70258436544748</v>
      </c>
      <c r="W12" s="23">
        <v>115.81834482039369</v>
      </c>
      <c r="X12" s="23">
        <v>115.9342210421713</v>
      </c>
      <c r="Y12" s="23">
        <v>116.0502132214849</v>
      </c>
      <c r="Z12" s="23">
        <v>116.16632146459771</v>
      </c>
      <c r="AA12" s="23">
        <v>116.28254588164094</v>
      </c>
      <c r="AB12" s="23">
        <v>116.3988865851346</v>
      </c>
      <c r="AC12" s="23">
        <v>116.51534368936309</v>
      </c>
      <c r="AD12" s="23">
        <v>116.63191730972974</v>
      </c>
      <c r="AE12" s="23">
        <v>116.74860756231857</v>
      </c>
      <c r="AF12" s="23">
        <v>116.86541456361886</v>
      </c>
      <c r="AG12" s="23">
        <v>116.98233843036745</v>
      </c>
      <c r="AH12" s="23">
        <v>117.09937927946855</v>
      </c>
      <c r="AI12" s="23">
        <v>117.21653722795908</v>
      </c>
      <c r="AJ12" s="23">
        <v>117.33381239299662</v>
      </c>
      <c r="AK12" s="23">
        <v>117.45120489185632</v>
      </c>
      <c r="AL12" s="23">
        <v>117.5687148419307</v>
      </c>
      <c r="AM12" s="23">
        <v>117.68634236072974</v>
      </c>
      <c r="AN12" s="23">
        <v>117.80408756588096</v>
      </c>
      <c r="AO12" s="23">
        <v>117.92195057512953</v>
      </c>
      <c r="AP12" s="23">
        <v>118.03993150633853</v>
      </c>
      <c r="AQ12" s="23">
        <v>118.15803047748888</v>
      </c>
      <c r="AR12" s="23">
        <v>118.27624760667955</v>
      </c>
      <c r="AS12" s="23">
        <v>118.39458301212765</v>
      </c>
      <c r="AT12" s="23">
        <v>118.51303681216864</v>
      </c>
      <c r="AU12" s="23">
        <v>118.63160912525635</v>
      </c>
      <c r="AV12" s="23">
        <v>118.75030006996303</v>
      </c>
      <c r="AW12" s="23">
        <v>118.86910976497973</v>
      </c>
      <c r="AX12" s="23">
        <v>118.98803832911602</v>
      </c>
    </row>
    <row r="13" spans="1:50" x14ac:dyDescent="0.25">
      <c r="R13" s="23">
        <v>105.10079340811239</v>
      </c>
      <c r="S13" s="23">
        <v>105.20594676943838</v>
      </c>
      <c r="T13" s="23">
        <v>105.31120533671991</v>
      </c>
      <c r="U13" s="23">
        <v>105.41656802262722</v>
      </c>
      <c r="V13" s="23">
        <v>105.52203651611269</v>
      </c>
      <c r="W13" s="23">
        <v>105.62761080749948</v>
      </c>
      <c r="X13" s="23">
        <v>105.73329092563262</v>
      </c>
      <c r="Y13" s="23">
        <v>105.83907690877922</v>
      </c>
      <c r="Z13" s="23">
        <v>105.94496881461853</v>
      </c>
      <c r="AA13" s="23">
        <v>106.05096671601078</v>
      </c>
      <c r="AB13" s="23">
        <v>106.15707069730716</v>
      </c>
      <c r="AC13" s="23">
        <v>106.26328085116816</v>
      </c>
      <c r="AD13" s="23">
        <v>106.36959727597186</v>
      </c>
      <c r="AE13" s="23">
        <v>106.47602007381089</v>
      </c>
      <c r="AF13" s="23">
        <v>106.58254934903698</v>
      </c>
      <c r="AG13" s="23">
        <v>106.689185207279</v>
      </c>
      <c r="AH13" s="23">
        <v>106.7959277548386</v>
      </c>
      <c r="AI13" s="23">
        <v>106.90277709835864</v>
      </c>
      <c r="AJ13" s="23">
        <v>107.00973334466711</v>
      </c>
      <c r="AK13" s="23">
        <v>107.11679660071786</v>
      </c>
      <c r="AL13" s="23">
        <v>107.22396697357411</v>
      </c>
      <c r="AM13" s="23">
        <v>107.33124457040633</v>
      </c>
      <c r="AN13" s="23">
        <v>107.43862949849203</v>
      </c>
      <c r="AO13" s="23">
        <v>107.54612186521619</v>
      </c>
      <c r="AP13" s="23">
        <v>107.65372177807116</v>
      </c>
      <c r="AQ13" s="23">
        <v>107.76142934465689</v>
      </c>
      <c r="AR13" s="23">
        <v>107.86924467268095</v>
      </c>
      <c r="AS13" s="23">
        <v>107.97716786995868</v>
      </c>
      <c r="AT13" s="23">
        <v>108.08519904441326</v>
      </c>
      <c r="AU13" s="23">
        <v>108.19333830407587</v>
      </c>
      <c r="AV13" s="23">
        <v>108.30158575708582</v>
      </c>
      <c r="AW13" s="23">
        <v>108.40994151169056</v>
      </c>
      <c r="AX13" s="23">
        <v>108.51840567624586</v>
      </c>
    </row>
    <row r="14" spans="1:50" x14ac:dyDescent="0.25">
      <c r="P14" s="23">
        <v>95.255008745842446</v>
      </c>
      <c r="Q14" s="23">
        <v>95.350311397972462</v>
      </c>
      <c r="R14" s="23">
        <v>95.445696350751092</v>
      </c>
      <c r="S14" s="23">
        <v>95.541179787851263</v>
      </c>
      <c r="T14" s="23">
        <v>95.636761159354563</v>
      </c>
      <c r="U14" s="23">
        <v>95.732440267756459</v>
      </c>
      <c r="V14" s="23">
        <v>95.828216724244001</v>
      </c>
      <c r="W14" s="23">
        <v>95.92409022399265</v>
      </c>
      <c r="X14" s="23">
        <v>96.020060536529499</v>
      </c>
      <c r="Y14" s="23">
        <v>96.116127499970688</v>
      </c>
      <c r="Z14" s="23">
        <v>96.212291012292894</v>
      </c>
      <c r="AA14" s="23">
        <v>96.308551022314617</v>
      </c>
      <c r="AB14" s="23">
        <v>96.404907520707184</v>
      </c>
      <c r="AC14" s="23">
        <v>96.501360531381124</v>
      </c>
      <c r="AD14" s="23">
        <v>96.597910103567088</v>
      </c>
      <c r="AE14" s="23">
        <v>96.694556304861521</v>
      </c>
      <c r="AF14" s="23">
        <v>96.791299215429191</v>
      </c>
      <c r="AG14" s="23">
        <v>96.888138923454903</v>
      </c>
      <c r="AH14" s="23">
        <v>96.985075521824285</v>
      </c>
      <c r="AI14" s="23">
        <v>97.082109105907719</v>
      </c>
      <c r="AJ14" s="23">
        <v>97.17923977223812</v>
      </c>
      <c r="AK14" s="23">
        <v>97.276467617830832</v>
      </c>
      <c r="AL14" s="23">
        <v>97.373792739899272</v>
      </c>
      <c r="AM14" s="23">
        <v>97.471215235768568</v>
      </c>
      <c r="AN14" s="23">
        <v>97.56873520286122</v>
      </c>
      <c r="AO14" s="23">
        <v>97.666352738697185</v>
      </c>
      <c r="AP14" s="23">
        <v>97.764067940894037</v>
      </c>
      <c r="AQ14" s="23">
        <v>97.861880907166977</v>
      </c>
      <c r="AR14" s="23">
        <v>97.959791735328977</v>
      </c>
      <c r="AS14" s="23">
        <v>98.057800523290879</v>
      </c>
      <c r="AT14" s="23">
        <v>98.155907369061481</v>
      </c>
      <c r="AU14" s="23">
        <v>98.254112370747634</v>
      </c>
      <c r="AV14" s="23">
        <v>98.352415626554347</v>
      </c>
      <c r="AW14" s="23">
        <v>98.450817234784893</v>
      </c>
      <c r="AX14" s="23">
        <v>98.549317293840858</v>
      </c>
    </row>
    <row r="15" spans="1:50" x14ac:dyDescent="0.25">
      <c r="N15" s="23">
        <v>85.908135087508001</v>
      </c>
      <c r="O15" s="23">
        <v>85.994086190984646</v>
      </c>
      <c r="P15" s="23">
        <v>86.08005255345212</v>
      </c>
      <c r="Q15" s="23">
        <v>86.166116107926499</v>
      </c>
      <c r="R15" s="23">
        <v>86.252277717916115</v>
      </c>
      <c r="S15" s="23">
        <v>86.338535672982502</v>
      </c>
      <c r="T15" s="23">
        <v>86.424888435493102</v>
      </c>
      <c r="U15" s="23">
        <v>86.511334588480196</v>
      </c>
      <c r="V15" s="23">
        <v>86.597872883732364</v>
      </c>
      <c r="W15" s="23">
        <v>86.684502241324481</v>
      </c>
      <c r="X15" s="23">
        <v>86.771221746719419</v>
      </c>
      <c r="Y15" s="23">
        <v>86.85803064448416</v>
      </c>
      <c r="Z15" s="23">
        <v>86.944928329072852</v>
      </c>
      <c r="AA15" s="23">
        <v>87.031914332895298</v>
      </c>
      <c r="AB15" s="23">
        <v>87.1189883120568</v>
      </c>
      <c r="AC15" s="23">
        <v>87.20615003032141</v>
      </c>
      <c r="AD15" s="23">
        <v>87.293399342002473</v>
      </c>
      <c r="AE15" s="23">
        <v>87.380736174599036</v>
      </c>
      <c r="AF15" s="23">
        <v>87.468160512048485</v>
      </c>
      <c r="AG15" s="23">
        <v>87.555672379434895</v>
      </c>
      <c r="AH15" s="23">
        <v>87.643271829860467</v>
      </c>
      <c r="AI15" s="23">
        <v>87.730958933956956</v>
      </c>
      <c r="AJ15" s="23">
        <v>87.818733772206016</v>
      </c>
      <c r="AK15" s="23">
        <v>87.906596429900517</v>
      </c>
      <c r="AL15" s="23">
        <v>87.994546994283397</v>
      </c>
      <c r="AM15" s="23">
        <v>88.082585553220582</v>
      </c>
      <c r="AN15" s="23">
        <v>88.170712194750678</v>
      </c>
      <c r="AO15" s="23">
        <v>88.258927007000324</v>
      </c>
      <c r="AP15" s="23">
        <v>88.347230078184324</v>
      </c>
      <c r="AQ15" s="23">
        <v>88.435621496605762</v>
      </c>
      <c r="AR15" s="23">
        <v>88.524101350656082</v>
      </c>
      <c r="AS15" s="23">
        <v>88.612669728815121</v>
      </c>
      <c r="AT15" s="23">
        <v>88.701326719651234</v>
      </c>
      <c r="AU15" s="23">
        <v>88.790072411821512</v>
      </c>
      <c r="AV15" s="23">
        <v>88.878906894071548</v>
      </c>
      <c r="AW15" s="23">
        <v>88.967830255235924</v>
      </c>
      <c r="AX15" s="23">
        <v>89.056842584237984</v>
      </c>
    </row>
    <row r="16" spans="1:50" x14ac:dyDescent="0.25">
      <c r="L16" s="23">
        <v>77.036155628547263</v>
      </c>
      <c r="M16" s="23">
        <v>77.113230315096189</v>
      </c>
      <c r="N16" s="23">
        <v>77.19009672289215</v>
      </c>
      <c r="O16" s="23">
        <v>77.267069129534036</v>
      </c>
      <c r="P16" s="23">
        <v>77.344157428806753</v>
      </c>
      <c r="Q16" s="23">
        <v>77.421358120176052</v>
      </c>
      <c r="R16" s="23">
        <v>77.498667381895501</v>
      </c>
      <c r="S16" s="23">
        <v>77.57608154146746</v>
      </c>
      <c r="T16" s="23">
        <v>77.653597098898501</v>
      </c>
      <c r="U16" s="23">
        <v>77.731210760510663</v>
      </c>
      <c r="V16" s="23">
        <v>77.808919463343841</v>
      </c>
      <c r="W16" s="23">
        <v>77.886720396733352</v>
      </c>
      <c r="X16" s="23">
        <v>77.964611020042398</v>
      </c>
      <c r="Y16" s="23">
        <v>78.042589075690117</v>
      </c>
      <c r="Z16" s="23">
        <v>78.120652596605979</v>
      </c>
      <c r="AA16" s="23">
        <v>78.198799907365952</v>
      </c>
      <c r="AB16" s="23">
        <v>78.277029618478707</v>
      </c>
      <c r="AC16" s="23">
        <v>78.355340613599409</v>
      </c>
      <c r="AD16" s="23">
        <v>78.433732029856273</v>
      </c>
      <c r="AE16" s="23">
        <v>78.512203231964165</v>
      </c>
      <c r="AF16" s="23">
        <v>78.590753781339473</v>
      </c>
      <c r="AG16" s="23">
        <v>78.669383401957973</v>
      </c>
      <c r="AH16" s="23">
        <v>78.748091945130042</v>
      </c>
      <c r="AI16" s="23">
        <v>78.826879355600013</v>
      </c>
      <c r="AJ16" s="23">
        <v>78.905745641304449</v>
      </c>
      <c r="AK16" s="23">
        <v>78.984690848674006</v>
      </c>
      <c r="AL16" s="23">
        <v>79.063715044538952</v>
      </c>
      <c r="AM16" s="23">
        <v>79.142818304621571</v>
      </c>
      <c r="AN16" s="23">
        <v>79.222000707529105</v>
      </c>
      <c r="AO16" s="23">
        <v>79.301262332443955</v>
      </c>
      <c r="AP16" s="23">
        <v>79.380603258627744</v>
      </c>
      <c r="AQ16" s="23">
        <v>79.460023565421395</v>
      </c>
      <c r="AR16" s="23">
        <v>79.539523332245253</v>
      </c>
      <c r="AS16" s="23">
        <v>79.619102638599074</v>
      </c>
      <c r="AT16" s="23">
        <v>79.698761564062153</v>
      </c>
      <c r="AU16" s="23">
        <v>79.778500188293435</v>
      </c>
      <c r="AV16" s="23">
        <v>79.858318591031562</v>
      </c>
      <c r="AW16" s="23">
        <v>79.938216852094939</v>
      </c>
      <c r="AX16" s="23">
        <v>80.018195051381838</v>
      </c>
    </row>
    <row r="17" spans="1:50" x14ac:dyDescent="0.25">
      <c r="K17" s="23">
        <v>68.686701311688125</v>
      </c>
      <c r="L17" s="23">
        <v>68.754511832748022</v>
      </c>
      <c r="M17" s="23">
        <v>68.822439450374659</v>
      </c>
      <c r="N17" s="23">
        <v>68.890531473823259</v>
      </c>
      <c r="O17" s="23">
        <v>68.958784090526763</v>
      </c>
      <c r="P17" s="23">
        <v>69.027191111188586</v>
      </c>
      <c r="Q17" s="23">
        <v>69.095746173302786</v>
      </c>
      <c r="R17" s="23">
        <v>69.164442854185282</v>
      </c>
      <c r="S17" s="23">
        <v>69.233274716782759</v>
      </c>
      <c r="T17" s="23">
        <v>69.302235360964076</v>
      </c>
      <c r="U17" s="23">
        <v>69.371318477500651</v>
      </c>
      <c r="V17" s="23">
        <v>69.440517905204331</v>
      </c>
      <c r="W17" s="23">
        <v>69.509827690181396</v>
      </c>
      <c r="X17" s="23">
        <v>69.579242145850557</v>
      </c>
      <c r="Y17" s="23">
        <v>69.648755912009207</v>
      </c>
      <c r="Z17" s="23">
        <v>69.718364010875547</v>
      </c>
      <c r="AA17" s="23">
        <v>69.788061897706243</v>
      </c>
      <c r="AB17" s="23">
        <v>69.857845503336691</v>
      </c>
      <c r="AC17" s="23">
        <v>69.927711265867572</v>
      </c>
      <c r="AD17" s="23">
        <v>69.997656148804069</v>
      </c>
      <c r="AE17" s="23">
        <v>70.067677643316813</v>
      </c>
      <c r="AF17" s="23">
        <v>70.137773753013576</v>
      </c>
      <c r="AG17" s="23">
        <v>70.207942960737753</v>
      </c>
      <c r="AH17" s="23">
        <v>70.278184178443226</v>
      </c>
      <c r="AI17" s="23">
        <v>70.348496683041091</v>
      </c>
      <c r="AJ17" s="23">
        <v>70.418880043051701</v>
      </c>
      <c r="AK17" s="23">
        <v>70.489334042549444</v>
      </c>
      <c r="AL17" s="23">
        <v>70.559858609751799</v>
      </c>
      <c r="AM17" s="23">
        <v>70.630453757143286</v>
      </c>
      <c r="AN17" s="23">
        <v>70.701119537901988</v>
      </c>
      <c r="AO17" s="23">
        <v>70.771856019786114</v>
      </c>
      <c r="AP17" s="23">
        <v>70.842663273532168</v>
      </c>
      <c r="AQ17" s="23">
        <v>70.913541369947396</v>
      </c>
      <c r="AR17" s="23">
        <v>70.9844903799099</v>
      </c>
      <c r="AS17" s="23">
        <v>71.055510374368723</v>
      </c>
      <c r="AT17" s="23">
        <v>71.126601424343804</v>
      </c>
      <c r="AU17" s="23">
        <v>71.197763600926251</v>
      </c>
      <c r="AV17" s="23">
        <v>71.268996975278228</v>
      </c>
      <c r="AW17" s="23">
        <v>71.340301618633148</v>
      </c>
      <c r="AX17" s="23">
        <v>71.411677602295612</v>
      </c>
    </row>
    <row r="18" spans="1:50" x14ac:dyDescent="0.25">
      <c r="J18" s="23">
        <v>60.757023509953257</v>
      </c>
      <c r="K18" s="23">
        <v>60.815457613036642</v>
      </c>
      <c r="L18" s="23">
        <v>60.874137961161395</v>
      </c>
      <c r="M18" s="23">
        <v>60.933067432510214</v>
      </c>
      <c r="N18" s="23">
        <v>60.992239847844168</v>
      </c>
      <c r="O18" s="23">
        <v>61.051648127982695</v>
      </c>
      <c r="P18" s="23">
        <v>61.111284663835917</v>
      </c>
      <c r="Q18" s="23">
        <v>61.171141345705607</v>
      </c>
      <c r="R18" s="23">
        <v>61.23120958941238</v>
      </c>
      <c r="S18" s="23">
        <v>61.291480372029802</v>
      </c>
      <c r="T18" s="23">
        <v>61.351944278037529</v>
      </c>
      <c r="U18" s="23">
        <v>61.412591557062264</v>
      </c>
      <c r="V18" s="23">
        <v>61.473412194013719</v>
      </c>
      <c r="W18" s="23">
        <v>61.534395992158132</v>
      </c>
      <c r="X18" s="23">
        <v>61.59553266927314</v>
      </c>
      <c r="Y18" s="23">
        <v>61.656811966476013</v>
      </c>
      <c r="Z18" s="23">
        <v>61.718223768584565</v>
      </c>
      <c r="AA18" s="23">
        <v>61.779758233939852</v>
      </c>
      <c r="AB18" s="23">
        <v>61.84140593048857</v>
      </c>
      <c r="AC18" s="23">
        <v>61.903157973616416</v>
      </c>
      <c r="AD18" s="23">
        <v>61.965006159803629</v>
      </c>
      <c r="AE18" s="23">
        <v>62.026943088767432</v>
      </c>
      <c r="AF18" s="23">
        <v>62.088962265562188</v>
      </c>
      <c r="AG18" s="23">
        <v>62.151058173423841</v>
      </c>
      <c r="AH18" s="23">
        <v>62.213226308357548</v>
      </c>
      <c r="AI18" s="23">
        <v>62.275463168024686</v>
      </c>
      <c r="AJ18" s="23">
        <v>62.337766190812339</v>
      </c>
      <c r="AK18" s="23">
        <v>62.400133646298535</v>
      </c>
      <c r="AL18" s="23">
        <v>62.462564485434505</v>
      </c>
      <c r="AM18" s="23">
        <v>62.525058166651938</v>
      </c>
      <c r="AN18" s="23">
        <v>62.587614480712006</v>
      </c>
      <c r="AO18" s="23">
        <v>62.65023339943383</v>
      </c>
      <c r="AP18" s="23">
        <v>62.712914968394287</v>
      </c>
      <c r="AQ18" s="23">
        <v>62.775659250274927</v>
      </c>
      <c r="AR18" s="23">
        <v>62.838466307820056</v>
      </c>
      <c r="AS18" s="23">
        <v>62.901336203836728</v>
      </c>
      <c r="AT18" s="23">
        <v>62.964269001194843</v>
      </c>
      <c r="AU18" s="23">
        <v>63.027264762827208</v>
      </c>
      <c r="AV18" s="23">
        <v>63.090323551729583</v>
      </c>
      <c r="AW18" s="23">
        <v>63.153445430960765</v>
      </c>
      <c r="AX18" s="23">
        <v>63.216630463642645</v>
      </c>
    </row>
    <row r="19" spans="1:50" x14ac:dyDescent="0.25">
      <c r="I19" s="23">
        <v>53.237625360937521</v>
      </c>
      <c r="J19" s="23">
        <v>53.285786413742997</v>
      </c>
      <c r="K19" s="23">
        <v>53.334310978158733</v>
      </c>
      <c r="L19" s="23">
        <v>53.383198121931983</v>
      </c>
      <c r="M19" s="23">
        <v>53.432444693174467</v>
      </c>
      <c r="N19" s="23">
        <v>53.482046633091038</v>
      </c>
      <c r="O19" s="23">
        <v>53.531998985380845</v>
      </c>
      <c r="P19" s="23">
        <v>53.582295850399291</v>
      </c>
      <c r="Q19" s="23">
        <v>53.632930341473916</v>
      </c>
      <c r="R19" s="23">
        <v>53.683894547037362</v>
      </c>
      <c r="S19" s="23">
        <v>53.735179500669808</v>
      </c>
      <c r="T19" s="23">
        <v>53.786775161560108</v>
      </c>
      <c r="U19" s="23">
        <v>53.8386704082479</v>
      </c>
      <c r="V19" s="23">
        <v>53.890853048895607</v>
      </c>
      <c r="W19" s="23">
        <v>53.943309851699873</v>
      </c>
      <c r="X19" s="23">
        <v>53.996026599345178</v>
      </c>
      <c r="Y19" s="23">
        <v>54.048988171570755</v>
      </c>
      <c r="Z19" s="23">
        <v>54.102178659884501</v>
      </c>
      <c r="AA19" s="23">
        <v>54.155581518106771</v>
      </c>
      <c r="AB19" s="23">
        <v>54.209179751629499</v>
      </c>
      <c r="AC19" s="23">
        <v>54.262956146867062</v>
      </c>
      <c r="AD19" s="23">
        <v>54.316893540174739</v>
      </c>
      <c r="AE19" s="23">
        <v>54.370975122339004</v>
      </c>
      <c r="AF19" s="23">
        <v>54.425184770467681</v>
      </c>
      <c r="AG19" s="23">
        <v>54.479507393711749</v>
      </c>
      <c r="AH19" s="23">
        <v>54.533929272952101</v>
      </c>
      <c r="AI19" s="23">
        <v>54.588438367989419</v>
      </c>
      <c r="AJ19" s="23">
        <v>54.643024560072732</v>
      </c>
      <c r="AK19" s="23">
        <v>54.697679794727712</v>
      </c>
      <c r="AL19" s="23">
        <v>54.752398092510511</v>
      </c>
      <c r="AM19" s="23">
        <v>54.807175406641598</v>
      </c>
      <c r="AN19" s="23">
        <v>54.862009328915946</v>
      </c>
      <c r="AO19" s="23">
        <v>54.916898678407541</v>
      </c>
      <c r="AP19" s="23">
        <v>54.971843044690388</v>
      </c>
      <c r="AQ19" s="23">
        <v>55.026842382820867</v>
      </c>
      <c r="AR19" s="23">
        <v>55.081896747798304</v>
      </c>
      <c r="AS19" s="23">
        <v>55.137006194677092</v>
      </c>
      <c r="AT19" s="23">
        <v>55.192170778566663</v>
      </c>
      <c r="AU19" s="23">
        <v>55.247390554631615</v>
      </c>
      <c r="AV19" s="23">
        <v>55.302665578091712</v>
      </c>
      <c r="AW19" s="23">
        <v>55.357995904222015</v>
      </c>
      <c r="AX19" s="23">
        <v>55.41338158835282</v>
      </c>
    </row>
    <row r="20" spans="1:50" x14ac:dyDescent="0.25">
      <c r="H20" s="23">
        <v>46.128561789448788</v>
      </c>
      <c r="I20" s="23">
        <v>46.164857779906505</v>
      </c>
      <c r="J20" s="23">
        <v>46.20162412040051</v>
      </c>
      <c r="K20" s="23">
        <v>46.238866549826881</v>
      </c>
      <c r="L20" s="23">
        <v>46.276589919366771</v>
      </c>
      <c r="M20" s="23">
        <v>46.31479832674804</v>
      </c>
      <c r="N20" s="23">
        <v>46.353495024081901</v>
      </c>
      <c r="O20" s="23">
        <v>46.392682307931899</v>
      </c>
      <c r="P20" s="23">
        <v>46.432361400992313</v>
      </c>
      <c r="Q20" s="23">
        <v>46.472532326026574</v>
      </c>
      <c r="R20" s="23">
        <v>46.513193772748679</v>
      </c>
      <c r="S20" s="23">
        <v>46.554342958779564</v>
      </c>
      <c r="T20" s="23">
        <v>46.595975486375984</v>
      </c>
      <c r="U20" s="23">
        <v>46.63808519735349</v>
      </c>
      <c r="V20" s="23">
        <v>46.680664029530149</v>
      </c>
      <c r="W20" s="23">
        <v>46.723701879130267</v>
      </c>
      <c r="X20" s="23">
        <v>46.767186474931549</v>
      </c>
      <c r="Y20" s="23">
        <v>46.811103271530314</v>
      </c>
      <c r="Z20" s="23">
        <v>46.855435370929172</v>
      </c>
      <c r="AA20" s="23">
        <v>46.900163483684246</v>
      </c>
      <c r="AB20" s="23">
        <v>46.94526594298739</v>
      </c>
      <c r="AC20" s="23">
        <v>46.990718787124273</v>
      </c>
      <c r="AD20" s="23">
        <v>47.036495927434252</v>
      </c>
      <c r="AE20" s="23">
        <v>47.082569419718837</v>
      </c>
      <c r="AF20" s="23">
        <v>47.128909856282711</v>
      </c>
      <c r="AG20" s="23">
        <v>47.175486892440695</v>
      </c>
      <c r="AH20" s="23">
        <v>47.222269914080705</v>
      </c>
      <c r="AI20" s="23">
        <v>47.269228840210658</v>
      </c>
      <c r="AJ20" s="23">
        <v>47.316335034855555</v>
      </c>
      <c r="AK20" s="23">
        <v>47.363562275389285</v>
      </c>
      <c r="AL20" s="23">
        <v>47.410887690369385</v>
      </c>
      <c r="AM20" s="23">
        <v>47.458292543831782</v>
      </c>
      <c r="AN20" s="23">
        <v>47.505762715517662</v>
      </c>
      <c r="AO20" s="23">
        <v>47.553288726548558</v>
      </c>
      <c r="AP20" s="23">
        <v>47.600865213791813</v>
      </c>
      <c r="AQ20" s="23">
        <v>47.648489887373664</v>
      </c>
      <c r="AR20" s="23">
        <v>47.696162209449383</v>
      </c>
      <c r="AS20" s="23">
        <v>47.74388222769128</v>
      </c>
      <c r="AT20" s="23">
        <v>47.79164998981939</v>
      </c>
      <c r="AU20" s="23">
        <v>47.839465543601463</v>
      </c>
      <c r="AV20" s="23">
        <v>47.887328936853059</v>
      </c>
      <c r="AW20" s="23">
        <v>47.935240217437588</v>
      </c>
      <c r="AX20" s="23">
        <v>47.98319943326635</v>
      </c>
    </row>
    <row r="21" spans="1:50" x14ac:dyDescent="0.25">
      <c r="G21" s="23">
        <v>39.442786758759212</v>
      </c>
      <c r="H21" s="23">
        <v>39.465103811307877</v>
      </c>
      <c r="I21" s="23">
        <v>39.4879419723041</v>
      </c>
      <c r="J21" s="23">
        <v>39.511316917766294</v>
      </c>
      <c r="K21" s="23">
        <v>39.535244299183418</v>
      </c>
      <c r="L21" s="23">
        <v>39.559739706216689</v>
      </c>
      <c r="M21" s="23">
        <v>39.584818579803418</v>
      </c>
      <c r="N21" s="23">
        <v>39.610496108863323</v>
      </c>
      <c r="O21" s="23">
        <v>39.636787110238004</v>
      </c>
      <c r="P21" s="23">
        <v>39.663705889836912</v>
      </c>
      <c r="Q21" s="23">
        <v>39.691266082764621</v>
      </c>
      <c r="R21" s="23">
        <v>39.719480470087227</v>
      </c>
      <c r="S21" s="23">
        <v>39.74836076983204</v>
      </c>
      <c r="T21" s="23">
        <v>39.777917399838842</v>
      </c>
      <c r="U21" s="23">
        <v>39.808159210234933</v>
      </c>
      <c r="V21" s="23">
        <v>39.839093183650945</v>
      </c>
      <c r="W21" s="23">
        <v>39.870724101910419</v>
      </c>
      <c r="X21" s="23">
        <v>39.903054178921032</v>
      </c>
      <c r="Y21" s="23">
        <v>39.936082661008413</v>
      </c>
      <c r="Z21" s="23">
        <v>39.969805398145375</v>
      </c>
      <c r="AA21" s="23">
        <v>40.004214392661432</v>
      </c>
      <c r="AB21" s="23">
        <v>40.039297336339828</v>
      </c>
      <c r="AC21" s="23">
        <v>40.075037152624965</v>
      </c>
      <c r="AD21" s="23">
        <v>40.111411568285995</v>
      </c>
      <c r="AE21" s="23">
        <v>40.148392748576171</v>
      </c>
      <c r="AF21" s="23">
        <v>40.185947041786861</v>
      </c>
      <c r="AG21" s="23">
        <v>40.224034892841345</v>
      </c>
      <c r="AH21" s="23">
        <v>40.262611000203201</v>
      </c>
      <c r="AI21" s="23">
        <v>40.301624803623604</v>
      </c>
      <c r="AJ21" s="23">
        <v>40.341021397817251</v>
      </c>
      <c r="AK21" s="23">
        <v>40.380742961725403</v>
      </c>
      <c r="AL21" s="23">
        <v>40.420730763353646</v>
      </c>
      <c r="AM21" s="23">
        <v>40.46092773095728</v>
      </c>
      <c r="AN21" s="23">
        <v>40.501281455599837</v>
      </c>
      <c r="AO21" s="23">
        <v>40.54174729730336</v>
      </c>
      <c r="AP21" s="23">
        <v>40.58229102214024</v>
      </c>
      <c r="AQ21" s="23">
        <v>40.622890176051698</v>
      </c>
      <c r="AR21" s="23">
        <v>40.663533384445003</v>
      </c>
      <c r="AS21" s="23">
        <v>40.704217256375095</v>
      </c>
      <c r="AT21" s="23">
        <v>40.744941832525825</v>
      </c>
      <c r="AU21" s="23">
        <v>40.785707153621786</v>
      </c>
      <c r="AV21" s="23">
        <v>40.8265132604283</v>
      </c>
      <c r="AW21" s="23">
        <v>40.867360193751487</v>
      </c>
      <c r="AX21" s="23">
        <v>40.908247994438256</v>
      </c>
    </row>
    <row r="22" spans="1:50" x14ac:dyDescent="0.25">
      <c r="F22" s="23">
        <v>33.207844619549597</v>
      </c>
      <c r="G22" s="23">
        <v>33.21399741593887</v>
      </c>
      <c r="H22" s="23">
        <v>33.220613675054828</v>
      </c>
      <c r="I22" s="23">
        <v>33.22771685566336</v>
      </c>
      <c r="J22" s="23">
        <v>33.235331342442443</v>
      </c>
      <c r="K22" s="23">
        <v>33.243482461026346</v>
      </c>
      <c r="L22" s="23">
        <v>33.252196479876538</v>
      </c>
      <c r="M22" s="23">
        <v>33.261500602997977</v>
      </c>
      <c r="N22" s="23">
        <v>33.271422951552381</v>
      </c>
      <c r="O22" s="23">
        <v>33.281992531723994</v>
      </c>
      <c r="P22" s="23">
        <v>33.293239185654571</v>
      </c>
      <c r="Q22" s="23">
        <v>33.305193521635651</v>
      </c>
      <c r="R22" s="23">
        <v>33.317886819006794</v>
      </c>
      <c r="S22" s="23">
        <v>33.331350902343651</v>
      </c>
      <c r="T22" s="23">
        <v>33.345617978516223</v>
      </c>
      <c r="U22" s="23">
        <v>33.360720429045585</v>
      </c>
      <c r="V22" s="23">
        <v>33.376690548884319</v>
      </c>
      <c r="W22" s="23">
        <v>33.393560221302167</v>
      </c>
      <c r="X22" s="23">
        <v>33.411360517006116</v>
      </c>
      <c r="Y22" s="23">
        <v>33.430121204033213</v>
      </c>
      <c r="Z22" s="23">
        <v>33.449870153449972</v>
      </c>
      <c r="AA22" s="23">
        <v>33.470632624691973</v>
      </c>
      <c r="AB22" s="23">
        <v>33.492430413832025</v>
      </c>
      <c r="AC22" s="23">
        <v>33.51528084873101</v>
      </c>
      <c r="AD22" s="23">
        <v>33.539195617753563</v>
      </c>
      <c r="AE22" s="23">
        <v>33.564179424794681</v>
      </c>
      <c r="AF22" s="23">
        <v>33.590228474615195</v>
      </c>
      <c r="AG22" s="23">
        <v>33.617328811533618</v>
      </c>
      <c r="AH22" s="23">
        <v>33.645454564882598</v>
      </c>
      <c r="AI22" s="23">
        <v>33.674566200731796</v>
      </c>
      <c r="AJ22" s="23">
        <v>33.704608946132282</v>
      </c>
      <c r="AK22" s="23">
        <v>33.735511643656679</v>
      </c>
      <c r="AL22" s="23">
        <v>33.767186410380376</v>
      </c>
      <c r="AM22" s="23">
        <v>33.799529606079574</v>
      </c>
      <c r="AN22" s="23">
        <v>33.832424726731787</v>
      </c>
      <c r="AO22" s="23">
        <v>33.865747854884241</v>
      </c>
      <c r="AP22" s="23">
        <v>33.899376072987643</v>
      </c>
      <c r="AQ22" s="23">
        <v>33.933198550419583</v>
      </c>
      <c r="AR22" s="23">
        <v>33.967128587673294</v>
      </c>
      <c r="AS22" s="23">
        <v>34.001112705487856</v>
      </c>
      <c r="AT22" s="23">
        <v>34.035130824417955</v>
      </c>
      <c r="AU22" s="23">
        <v>34.069182978481734</v>
      </c>
      <c r="AV22" s="23">
        <v>34.103269201731322</v>
      </c>
      <c r="AW22" s="23">
        <v>34.137389528252946</v>
      </c>
      <c r="AX22" s="23">
        <v>34.17154399216696</v>
      </c>
    </row>
    <row r="23" spans="1:50" x14ac:dyDescent="0.25">
      <c r="E23" s="23">
        <v>27.464397677883888</v>
      </c>
      <c r="F23" s="23">
        <v>27.452822238125705</v>
      </c>
      <c r="G23" s="23">
        <v>27.441516632408813</v>
      </c>
      <c r="H23" s="23">
        <v>27.430505024650639</v>
      </c>
      <c r="I23" s="23">
        <v>27.41981314051198</v>
      </c>
      <c r="J23" s="23">
        <v>27.409468372818978</v>
      </c>
      <c r="K23" s="23">
        <v>27.399499892015537</v>
      </c>
      <c r="L23" s="23">
        <v>27.389938762553534</v>
      </c>
      <c r="M23" s="23">
        <v>27.380818065029921</v>
      </c>
      <c r="N23" s="23">
        <v>27.372173023618362</v>
      </c>
      <c r="O23" s="23">
        <v>27.364041138046275</v>
      </c>
      <c r="P23" s="23">
        <v>27.35646231897482</v>
      </c>
      <c r="Q23" s="23">
        <v>27.349479025119621</v>
      </c>
      <c r="R23" s="23">
        <v>27.343136399765044</v>
      </c>
      <c r="S23" s="23">
        <v>27.337482403426616</v>
      </c>
      <c r="T23" s="23">
        <v>27.332567938241603</v>
      </c>
      <c r="U23" s="23">
        <v>27.328446958135238</v>
      </c>
      <c r="V23" s="23">
        <v>27.325176556816164</v>
      </c>
      <c r="W23" s="23">
        <v>27.322817023065927</v>
      </c>
      <c r="X23" s="23">
        <v>27.321431849435161</v>
      </c>
      <c r="Y23" s="23">
        <v>27.321087676132841</v>
      </c>
      <c r="Z23" s="23">
        <v>27.321854146332157</v>
      </c>
      <c r="AA23" s="23">
        <v>27.323803642005341</v>
      </c>
      <c r="AB23" s="23">
        <v>27.327010860374116</v>
      </c>
      <c r="AC23" s="23">
        <v>27.33155217973184</v>
      </c>
      <c r="AD23" s="23">
        <v>27.337504749388582</v>
      </c>
      <c r="AE23" s="23">
        <v>27.344945221582183</v>
      </c>
      <c r="AF23" s="23">
        <v>27.353948023527455</v>
      </c>
      <c r="AG23" s="23">
        <v>27.364583046284782</v>
      </c>
      <c r="AH23" s="23">
        <v>27.376912606347556</v>
      </c>
      <c r="AI23" s="23">
        <v>27.390987521272063</v>
      </c>
      <c r="AJ23" s="23">
        <v>27.406842143083399</v>
      </c>
      <c r="AK23" s="23">
        <v>27.424488232401913</v>
      </c>
      <c r="AL23" s="23">
        <v>27.443907666686556</v>
      </c>
      <c r="AM23" s="23">
        <v>27.465044214094853</v>
      </c>
      <c r="AN23" s="23">
        <v>27.487795055393153</v>
      </c>
      <c r="AO23" s="23">
        <v>27.512003511932217</v>
      </c>
      <c r="AP23" s="23">
        <v>27.537455641644563</v>
      </c>
      <c r="AQ23" s="23">
        <v>27.563884968655582</v>
      </c>
      <c r="AR23" s="23">
        <v>27.590991123119764</v>
      </c>
      <c r="AS23" s="23">
        <v>27.618477906359846</v>
      </c>
      <c r="AT23" s="23">
        <v>27.64611019810939</v>
      </c>
      <c r="AU23" s="23">
        <v>27.673770135971438</v>
      </c>
      <c r="AV23" s="23">
        <v>27.701457747605925</v>
      </c>
      <c r="AW23" s="23">
        <v>27.72917306070045</v>
      </c>
      <c r="AX23" s="23">
        <v>27.756916102970379</v>
      </c>
    </row>
    <row r="24" spans="1:50" x14ac:dyDescent="0.25">
      <c r="D24" s="23">
        <v>22.260681778702807</v>
      </c>
      <c r="E24" s="23">
        <v>22.231169537096676</v>
      </c>
      <c r="F24" s="23">
        <v>22.201616946761384</v>
      </c>
      <c r="G24" s="23">
        <v>22.172039811054091</v>
      </c>
      <c r="H24" s="23">
        <v>22.142455401851159</v>
      </c>
      <c r="I24" s="23">
        <v>22.112882600256263</v>
      </c>
      <c r="J24" s="23">
        <v>22.083342052214125</v>
      </c>
      <c r="K24" s="23">
        <v>22.053856340972363</v>
      </c>
      <c r="L24" s="23">
        <v>22.024450178394634</v>
      </c>
      <c r="M24" s="23">
        <v>21.995150617362501</v>
      </c>
      <c r="N24" s="23">
        <v>21.965987287768041</v>
      </c>
      <c r="O24" s="23">
        <v>21.936992658887647</v>
      </c>
      <c r="P24" s="23">
        <v>21.908202331235909</v>
      </c>
      <c r="Q24" s="23">
        <v>21.879655361322509</v>
      </c>
      <c r="R24" s="23">
        <v>21.851394623063442</v>
      </c>
      <c r="S24" s="23">
        <v>21.823467209914082</v>
      </c>
      <c r="T24" s="23">
        <v>21.795924882067276</v>
      </c>
      <c r="U24" s="23">
        <v>21.768824563252739</v>
      </c>
      <c r="V24" s="23">
        <v>21.742228891716007</v>
      </c>
      <c r="W24" s="23">
        <v>21.716206829747303</v>
      </c>
      <c r="X24" s="23">
        <v>21.690834335518169</v>
      </c>
      <c r="Y24" s="23">
        <v>21.666195099740435</v>
      </c>
      <c r="Z24" s="23">
        <v>21.642381347444832</v>
      </c>
      <c r="AA24" s="23">
        <v>21.619494701477311</v>
      </c>
      <c r="AB24" s="23">
        <v>21.597647098372395</v>
      </c>
      <c r="AC24" s="23">
        <v>21.576961737956864</v>
      </c>
      <c r="AD24" s="23">
        <v>21.55757403369093</v>
      </c>
      <c r="AE24" s="23">
        <v>21.539632508889383</v>
      </c>
      <c r="AF24" s="23">
        <v>21.523299550928083</v>
      </c>
      <c r="AG24" s="23">
        <v>21.508751885990961</v>
      </c>
      <c r="AH24" s="23">
        <v>21.496180563151686</v>
      </c>
      <c r="AI24" s="23">
        <v>21.485790127785538</v>
      </c>
      <c r="AJ24" s="23">
        <v>21.477796505898514</v>
      </c>
      <c r="AK24" s="23">
        <v>21.472422894900255</v>
      </c>
      <c r="AL24" s="23">
        <v>21.469892644244034</v>
      </c>
      <c r="AM24" s="23">
        <v>21.4704177029943</v>
      </c>
      <c r="AN24" s="23">
        <v>21.474180740887736</v>
      </c>
      <c r="AO24" s="23">
        <v>21.481308650499482</v>
      </c>
      <c r="AP24" s="23">
        <v>21.491835199459615</v>
      </c>
      <c r="AQ24" s="23">
        <v>21.505652061081353</v>
      </c>
      <c r="AR24" s="23">
        <v>21.522452312271177</v>
      </c>
      <c r="AS24" s="23">
        <v>21.541682455616527</v>
      </c>
      <c r="AT24" s="23">
        <v>21.562543237121709</v>
      </c>
      <c r="AU24" s="23">
        <v>21.584116565225116</v>
      </c>
      <c r="AV24" s="23">
        <v>21.60571147744686</v>
      </c>
      <c r="AW24" s="23">
        <v>21.627327995381908</v>
      </c>
      <c r="AX24" s="23">
        <v>21.648966140646735</v>
      </c>
    </row>
    <row r="25" spans="1:50" x14ac:dyDescent="0.25">
      <c r="C25" s="23">
        <v>17.643369752630001</v>
      </c>
      <c r="D25" s="23">
        <v>17.5975618463617</v>
      </c>
      <c r="E25" s="23">
        <v>17.551354031909341</v>
      </c>
      <c r="F25" s="23">
        <v>17.504747128891232</v>
      </c>
      <c r="G25" s="23">
        <v>17.457742603746329</v>
      </c>
      <c r="H25" s="23">
        <v>17.410342659624607</v>
      </c>
      <c r="I25" s="23">
        <v>17.362550338818114</v>
      </c>
      <c r="J25" s="23">
        <v>17.314369639712144</v>
      </c>
      <c r="K25" s="23">
        <v>17.265805650551435</v>
      </c>
      <c r="L25" s="23">
        <v>17.216864702722592</v>
      </c>
      <c r="M25" s="23">
        <v>17.167554546743119</v>
      </c>
      <c r="N25" s="23">
        <v>17.117884554735539</v>
      </c>
      <c r="O25" s="23">
        <v>17.067865953874392</v>
      </c>
      <c r="P25" s="23">
        <v>17.0175120961521</v>
      </c>
      <c r="Q25" s="23">
        <v>16.966838770850842</v>
      </c>
      <c r="R25" s="23">
        <v>16.915864567375294</v>
      </c>
      <c r="S25" s="23">
        <v>16.864611297648047</v>
      </c>
      <c r="T25" s="23">
        <v>16.813104489163354</v>
      </c>
      <c r="U25" s="23">
        <v>16.761373962120203</v>
      </c>
      <c r="V25" s="23">
        <v>16.709454506916689</v>
      </c>
      <c r="W25" s="23">
        <v>16.657386681815691</v>
      </c>
      <c r="X25" s="23">
        <v>16.605217754950985</v>
      </c>
      <c r="Y25" s="23">
        <v>16.553002820229668</v>
      </c>
      <c r="Z25" s="23">
        <v>16.500806123347665</v>
      </c>
      <c r="AA25" s="23">
        <v>16.448702642349645</v>
      </c>
      <c r="AB25" s="23">
        <v>16.396779977259058</v>
      </c>
      <c r="AC25" s="23">
        <v>16.345140615604791</v>
      </c>
      <c r="AD25" s="23">
        <v>16.293904655459222</v>
      </c>
      <c r="AE25" s="23">
        <v>16.243213084957784</v>
      </c>
      <c r="AF25" s="23">
        <v>16.193231736795934</v>
      </c>
      <c r="AG25" s="23">
        <v>16.144156056429594</v>
      </c>
      <c r="AH25" s="23">
        <v>16.096216839972126</v>
      </c>
      <c r="AI25" s="23">
        <v>16.049687103989235</v>
      </c>
      <c r="AJ25" s="23">
        <v>16.004890227705719</v>
      </c>
      <c r="AK25" s="23">
        <v>15.962209424686845</v>
      </c>
      <c r="AL25" s="23">
        <v>15.922098389096446</v>
      </c>
      <c r="AM25" s="23">
        <v>15.885092491708441</v>
      </c>
      <c r="AN25" s="23">
        <v>15.85181892612135</v>
      </c>
      <c r="AO25" s="23">
        <v>15.82300226663102</v>
      </c>
      <c r="AP25" s="23">
        <v>15.799458175064148</v>
      </c>
      <c r="AQ25" s="23">
        <v>15.78206112999356</v>
      </c>
      <c r="AR25" s="23">
        <v>15.771660195400443</v>
      </c>
      <c r="AS25" s="23">
        <v>15.768898869869679</v>
      </c>
      <c r="AT25" s="23">
        <v>15.773876497244336</v>
      </c>
      <c r="AU25" s="23">
        <v>15.785604174405389</v>
      </c>
      <c r="AV25" s="23">
        <v>15.801397674013485</v>
      </c>
      <c r="AW25" s="23">
        <v>15.81720697502055</v>
      </c>
      <c r="AX25" s="23">
        <v>15.833032093235914</v>
      </c>
    </row>
    <row r="26" spans="1:50" x14ac:dyDescent="0.25">
      <c r="B26" s="23">
        <v>13.646847972323318</v>
      </c>
      <c r="C26" s="23">
        <v>13.588265671620082</v>
      </c>
      <c r="D26" s="23">
        <v>13.528966075997426</v>
      </c>
      <c r="E26" s="23">
        <v>13.468934154919289</v>
      </c>
      <c r="F26" s="23">
        <v>13.408154414498583</v>
      </c>
      <c r="G26" s="23">
        <v>13.346610887099231</v>
      </c>
      <c r="H26" s="23">
        <v>13.284287122419993</v>
      </c>
      <c r="I26" s="23">
        <v>13.221166180575008</v>
      </c>
      <c r="J26" s="23">
        <v>13.157230627808925</v>
      </c>
      <c r="K26" s="23">
        <v>13.092462535644534</v>
      </c>
      <c r="L26" s="23">
        <v>13.026843484460761</v>
      </c>
      <c r="M26" s="23">
        <v>12.960354572751354</v>
      </c>
      <c r="N26" s="23">
        <v>12.892976433633168</v>
      </c>
      <c r="O26" s="23">
        <v>12.824689260577047</v>
      </c>
      <c r="P26" s="23">
        <v>12.755472844847793</v>
      </c>
      <c r="Q26" s="23">
        <v>12.6853066277975</v>
      </c>
      <c r="R26" s="23">
        <v>12.614169771999629</v>
      </c>
      <c r="S26" s="23">
        <v>12.54204125630061</v>
      </c>
      <c r="T26" s="23">
        <v>12.468900001277895</v>
      </c>
      <c r="U26" s="23">
        <v>12.394725033436728</v>
      </c>
      <c r="V26" s="23">
        <v>12.319495698896898</v>
      </c>
      <c r="W26" s="23">
        <v>12.243191940517542</v>
      </c>
      <c r="X26" s="23">
        <v>12.165794656659324</v>
      </c>
      <c r="Y26" s="23">
        <v>12.087286165483269</v>
      </c>
      <c r="Z26" s="23">
        <v>12.007650806382497</v>
      </c>
      <c r="AA26" s="23">
        <v>11.926875720630703</v>
      </c>
      <c r="AB26" s="23">
        <v>11.844951867745362</v>
      </c>
      <c r="AC26" s="23">
        <v>11.761875354067678</v>
      </c>
      <c r="AD26" s="23">
        <v>11.677649178107202</v>
      </c>
      <c r="AE26" s="23">
        <v>11.59228553694504</v>
      </c>
      <c r="AF26" s="23">
        <v>11.505808894967569</v>
      </c>
      <c r="AG26" s="23">
        <v>11.418260098861023</v>
      </c>
      <c r="AH26" s="23">
        <v>11.329701944209166</v>
      </c>
      <c r="AI26" s="23">
        <v>11.240226779612334</v>
      </c>
      <c r="AJ26" s="23">
        <v>11.149967006115531</v>
      </c>
      <c r="AK26" s="23">
        <v>11.059109743597869</v>
      </c>
      <c r="AL26" s="23">
        <v>10.967917571160914</v>
      </c>
      <c r="AM26" s="23">
        <v>10.876758227342249</v>
      </c>
      <c r="AN26" s="23">
        <v>10.786147654197551</v>
      </c>
      <c r="AO26" s="23">
        <v>10.696813004344865</v>
      </c>
      <c r="AP26" s="23">
        <v>10.609785342869325</v>
      </c>
      <c r="AQ26" s="23">
        <v>10.52653534928845</v>
      </c>
      <c r="AR26" s="23">
        <v>10.449166743508441</v>
      </c>
      <c r="AS26" s="23">
        <v>10.380671434704498</v>
      </c>
      <c r="AT26" s="23">
        <v>10.325194417492042</v>
      </c>
      <c r="AU26" s="23">
        <v>10.288052067152499</v>
      </c>
      <c r="AV26" s="23">
        <v>10.274583197883985</v>
      </c>
      <c r="AW26" s="23">
        <v>10.284862920086317</v>
      </c>
      <c r="AX26" s="23">
        <v>10.295152927152444</v>
      </c>
    </row>
    <row r="27" spans="1:50" x14ac:dyDescent="0.25">
      <c r="A27" s="23">
        <v>10.283793769975523</v>
      </c>
      <c r="B27" s="23">
        <v>10.217354673797567</v>
      </c>
      <c r="C27" s="23">
        <v>10.15000329089642</v>
      </c>
      <c r="D27" s="23">
        <v>10.081713887227082</v>
      </c>
      <c r="E27" s="23">
        <v>10.012459441086975</v>
      </c>
      <c r="F27" s="23">
        <v>9.9422115500710948</v>
      </c>
      <c r="G27" s="23">
        <v>9.8709403291987776</v>
      </c>
      <c r="H27" s="23">
        <v>9.798614299177542</v>
      </c>
      <c r="I27" s="23">
        <v>9.7252002636178911</v>
      </c>
      <c r="J27" s="23">
        <v>9.6506631738406732</v>
      </c>
      <c r="K27" s="23">
        <v>9.5749659797190727</v>
      </c>
      <c r="L27" s="23">
        <v>9.4980694647625832</v>
      </c>
      <c r="M27" s="23">
        <v>9.4199320633746133</v>
      </c>
      <c r="N27" s="23">
        <v>9.340509657890804</v>
      </c>
      <c r="O27" s="23">
        <v>9.259755352619857</v>
      </c>
      <c r="P27" s="23">
        <v>9.1776192216533641</v>
      </c>
      <c r="Q27" s="23">
        <v>9.094048026667064</v>
      </c>
      <c r="R27" s="23">
        <v>9.0089849002877624</v>
      </c>
      <c r="S27" s="23">
        <v>8.9223689898218375</v>
      </c>
      <c r="T27" s="23">
        <v>8.8341350552066569</v>
      </c>
      <c r="U27" s="23">
        <v>8.7442130139172889</v>
      </c>
      <c r="V27" s="23">
        <v>8.6525274241979702</v>
      </c>
      <c r="W27" s="23">
        <v>8.5589968963300436</v>
      </c>
      <c r="X27" s="23">
        <v>8.4635334196372227</v>
      </c>
      <c r="Y27" s="23">
        <v>8.3660415904771206</v>
      </c>
      <c r="Z27" s="23">
        <v>8.2664177234817977</v>
      </c>
      <c r="AA27" s="23">
        <v>8.1645488246758227</v>
      </c>
      <c r="AB27" s="23">
        <v>8.0603114006918553</v>
      </c>
      <c r="AC27" s="23">
        <v>7.9535700729978593</v>
      </c>
      <c r="AD27" s="23">
        <v>7.8441759597508804</v>
      </c>
      <c r="AE27" s="23">
        <v>7.7319647806082621</v>
      </c>
      <c r="AF27" s="23">
        <v>7.6167546318077406</v>
      </c>
      <c r="AG27" s="23">
        <v>7.4983433708847436</v>
      </c>
      <c r="AH27" s="23">
        <v>7.3765055445497678</v>
      </c>
      <c r="AI27" s="23">
        <v>7.2509887941298352</v>
      </c>
      <c r="AJ27" s="23">
        <v>7.1215096908724487</v>
      </c>
      <c r="AK27" s="23">
        <v>6.9877490109677884</v>
      </c>
      <c r="AL27" s="23">
        <v>6.8493466076955931</v>
      </c>
      <c r="AM27" s="23">
        <v>6.7058963893032626</v>
      </c>
      <c r="AN27" s="23">
        <v>6.5569427284267725</v>
      </c>
      <c r="AO27" s="23">
        <v>6.4019815327252525</v>
      </c>
      <c r="AP27" s="23">
        <v>6.2404737027812267</v>
      </c>
      <c r="AQ27" s="23">
        <v>6.0718895366549486</v>
      </c>
      <c r="AR27" s="23">
        <v>5.895829336437914</v>
      </c>
      <c r="AS27" s="23">
        <v>5.7123327661796459</v>
      </c>
      <c r="AT27" s="23">
        <v>5.522662801892908</v>
      </c>
      <c r="AU27" s="23">
        <v>5.3313050262702122</v>
      </c>
      <c r="AV27" s="23">
        <v>5.1511374764467313</v>
      </c>
      <c r="AW27" s="23">
        <v>5.0170155491097947</v>
      </c>
      <c r="AX27" s="23">
        <v>5.0220350740030568</v>
      </c>
    </row>
    <row r="28" spans="1:50" x14ac:dyDescent="0.25">
      <c r="B28" s="23">
        <v>7.4010959624506443</v>
      </c>
      <c r="C28" s="23">
        <v>7.3303473223459621</v>
      </c>
      <c r="D28" s="23">
        <v>7.2585958270207813</v>
      </c>
      <c r="E28" s="23">
        <v>7.1858104258864319</v>
      </c>
      <c r="F28" s="23">
        <v>7.1119583514300544</v>
      </c>
      <c r="G28" s="23">
        <v>7.0370049813876125</v>
      </c>
      <c r="H28" s="23">
        <v>6.960913686257526</v>
      </c>
      <c r="I28" s="23">
        <v>6.8836456602323732</v>
      </c>
      <c r="J28" s="23">
        <v>6.8051597332873497</v>
      </c>
      <c r="K28" s="23">
        <v>6.7254121617882126</v>
      </c>
      <c r="L28" s="23">
        <v>6.644356394532406</v>
      </c>
      <c r="M28" s="23">
        <v>6.5619428105990405</v>
      </c>
      <c r="N28" s="23">
        <v>6.478118424732334</v>
      </c>
      <c r="O28" s="23">
        <v>6.3928265551949011</v>
      </c>
      <c r="P28" s="23">
        <v>6.306006448064589</v>
      </c>
      <c r="Q28" s="23">
        <v>6.2175928507694005</v>
      </c>
      <c r="R28" s="23">
        <v>6.1275155262004626</v>
      </c>
      <c r="S28" s="23">
        <v>6.0356986969382769</v>
      </c>
      <c r="T28" s="23">
        <v>5.9420604068738552</v>
      </c>
      <c r="U28" s="23">
        <v>5.8465117846739956</v>
      </c>
      <c r="V28" s="23">
        <v>5.7489561899498804</v>
      </c>
      <c r="W28" s="23">
        <v>5.6492882184096764</v>
      </c>
      <c r="X28" s="23">
        <v>5.5473925363778127</v>
      </c>
      <c r="Y28" s="23">
        <v>5.4431425074090027</v>
      </c>
      <c r="Z28" s="23">
        <v>5.3363985636828897</v>
      </c>
      <c r="AA28" s="23">
        <v>5.2270062615645427</v>
      </c>
      <c r="AB28" s="23">
        <v>5.1147939428927875</v>
      </c>
      <c r="AC28" s="23">
        <v>4.9995698993852535</v>
      </c>
      <c r="AD28" s="23">
        <v>4.8811189043275833</v>
      </c>
      <c r="AE28" s="23">
        <v>4.7591979293839461</v>
      </c>
      <c r="AF28" s="23">
        <v>4.6335307987132559</v>
      </c>
      <c r="AG28" s="23">
        <v>4.5038014378736575</v>
      </c>
      <c r="AH28" s="23">
        <v>4.3696452356520687</v>
      </c>
      <c r="AI28" s="23">
        <v>4.230637827298704</v>
      </c>
      <c r="AJ28" s="23">
        <v>4.0862802841130028</v>
      </c>
      <c r="AK28" s="23">
        <v>3.9359791804604773</v>
      </c>
      <c r="AL28" s="23">
        <v>3.7790191657326746</v>
      </c>
      <c r="AM28" s="23">
        <v>3.6145242307948275</v>
      </c>
      <c r="AN28" s="23">
        <v>3.4414013006317568</v>
      </c>
      <c r="AO28" s="23">
        <v>3.2582550153892558</v>
      </c>
      <c r="AP28" s="23">
        <v>3.0632532067197817</v>
      </c>
      <c r="AQ28" s="23">
        <v>2.8539032435450702</v>
      </c>
      <c r="AR28" s="23">
        <v>2.6266573675039027</v>
      </c>
      <c r="AS28" s="23">
        <v>2.3761691597764401</v>
      </c>
      <c r="AT28" s="23">
        <v>2.0937946147132585</v>
      </c>
      <c r="AU28" s="23">
        <v>1.7643659859348257</v>
      </c>
      <c r="AV28" s="23">
        <v>1.3588251801635447</v>
      </c>
      <c r="AW28" s="23">
        <v>0.81653425143290559</v>
      </c>
      <c r="AX28" s="23">
        <v>1.0205196411305906E-3</v>
      </c>
    </row>
    <row r="29" spans="1:50" x14ac:dyDescent="0.25">
      <c r="C29" s="23">
        <v>5.103116448632731</v>
      </c>
      <c r="D29" s="23">
        <v>5.0335260320774253</v>
      </c>
      <c r="E29" s="23">
        <v>4.9630120772686759</v>
      </c>
      <c r="F29" s="23">
        <v>4.8915475316536261</v>
      </c>
      <c r="G29" s="23">
        <v>4.8191039305191499</v>
      </c>
      <c r="H29" s="23">
        <v>4.7456512907342994</v>
      </c>
      <c r="I29" s="23">
        <v>4.6711579938114571</v>
      </c>
      <c r="J29" s="23">
        <v>4.5955906571402565</v>
      </c>
      <c r="K29" s="23">
        <v>4.518913991918259</v>
      </c>
      <c r="L29" s="23">
        <v>4.4410906460712214</v>
      </c>
      <c r="M29" s="23">
        <v>4.3620810301923818</v>
      </c>
      <c r="N29" s="23">
        <v>4.2818431242211545</v>
      </c>
      <c r="O29" s="23">
        <v>4.2003322622142854</v>
      </c>
      <c r="P29" s="23">
        <v>4.1175008921291312</v>
      </c>
      <c r="Q29" s="23">
        <v>4.0332983070198072</v>
      </c>
      <c r="R29" s="23">
        <v>3.9476703434295857</v>
      </c>
      <c r="S29" s="23">
        <v>3.860559042020959</v>
      </c>
      <c r="T29" s="23">
        <v>3.7719022645947105</v>
      </c>
      <c r="U29" s="23">
        <v>3.6816332605728714</v>
      </c>
      <c r="V29" s="23">
        <v>3.5896801747212663</v>
      </c>
      <c r="W29" s="23">
        <v>3.4959654863086818</v>
      </c>
      <c r="X29" s="23">
        <v>3.4004053679809494</v>
      </c>
      <c r="Y29" s="23">
        <v>3.3029089502926361</v>
      </c>
      <c r="Z29" s="23">
        <v>3.2033774749910071</v>
      </c>
      <c r="AA29" s="23">
        <v>3.1017033166819745</v>
      </c>
      <c r="AB29" s="23">
        <v>2.9977688483042613</v>
      </c>
      <c r="AC29" s="23">
        <v>2.8914451207755856</v>
      </c>
      <c r="AD29" s="23">
        <v>2.7825903211658836</v>
      </c>
      <c r="AE29" s="23">
        <v>2.6710479667988833</v>
      </c>
      <c r="AF29" s="23">
        <v>2.5566447850232485</v>
      </c>
      <c r="AG29" s="23">
        <v>2.4391882207955873</v>
      </c>
      <c r="AH29" s="23">
        <v>2.3184635086000935</v>
      </c>
      <c r="AI29" s="23">
        <v>2.1942302459909326</v>
      </c>
      <c r="AJ29" s="23">
        <v>2.0662184229641736</v>
      </c>
      <c r="AK29" s="23">
        <v>1.934123915986355</v>
      </c>
      <c r="AL29" s="23">
        <v>1.7976035957093779</v>
      </c>
      <c r="AM29" s="23">
        <v>1.6562705313296813</v>
      </c>
      <c r="AN29" s="23">
        <v>1.5096905518723873</v>
      </c>
      <c r="AO29" s="23">
        <v>1.3573832361191129</v>
      </c>
      <c r="AP29" s="23">
        <v>1.1988346818042186</v>
      </c>
      <c r="AQ29" s="23">
        <v>1.0335397154863588</v>
      </c>
      <c r="AR29" s="23">
        <v>0.86111661532141526</v>
      </c>
      <c r="AS29" s="23">
        <v>0.68160147828369011</v>
      </c>
      <c r="AT29" s="23">
        <v>0.49619433414156328</v>
      </c>
      <c r="AU29" s="23">
        <v>0.30916219608617052</v>
      </c>
      <c r="AV29" s="23">
        <v>0.13276046703861841</v>
      </c>
      <c r="AW29" s="23">
        <v>1.6578850713323657E-4</v>
      </c>
      <c r="AX29" s="23">
        <v>0</v>
      </c>
    </row>
    <row r="30" spans="1:50" x14ac:dyDescent="0.25">
      <c r="D30" s="23">
        <v>3.3522104850851617</v>
      </c>
      <c r="E30" s="23">
        <v>3.2888593840269085</v>
      </c>
      <c r="F30" s="23">
        <v>3.2248212180290068</v>
      </c>
      <c r="G30" s="23">
        <v>3.1600814958242158</v>
      </c>
      <c r="H30" s="23">
        <v>3.0946252870846056</v>
      </c>
      <c r="I30" s="23">
        <v>3.0284372170409122</v>
      </c>
      <c r="J30" s="23">
        <v>2.9615014626024481</v>
      </c>
      <c r="K30" s="23">
        <v>2.8938017515330792</v>
      </c>
      <c r="L30" s="23">
        <v>2.8253213656351628</v>
      </c>
      <c r="M30" s="23">
        <v>2.7560431490763015</v>
      </c>
      <c r="N30" s="23">
        <v>2.6859495232802861</v>
      </c>
      <c r="O30" s="23">
        <v>2.6150225101696369</v>
      </c>
      <c r="P30" s="23">
        <v>2.543243766012671</v>
      </c>
      <c r="Q30" s="23">
        <v>2.4705946287239353</v>
      </c>
      <c r="R30" s="23">
        <v>2.3970561822310605</v>
      </c>
      <c r="S30" s="23">
        <v>2.3226093425080445</v>
      </c>
      <c r="T30" s="23">
        <v>2.2472349711553283</v>
      </c>
      <c r="U30" s="23">
        <v>2.1709140240770743</v>
      </c>
      <c r="V30" s="23">
        <v>2.0936277449993366</v>
      </c>
      <c r="W30" s="23">
        <v>2.01535791646877</v>
      </c>
      <c r="X30" s="23">
        <v>1.9360871848270185</v>
      </c>
      <c r="Y30" s="23">
        <v>1.855799480819974</v>
      </c>
      <c r="Z30" s="23">
        <v>1.7744805644799615</v>
      </c>
      <c r="AA30" s="23">
        <v>1.6921187324242448</v>
      </c>
      <c r="AB30" s="23">
        <v>1.6087057387794486</v>
      </c>
      <c r="AC30" s="23">
        <v>1.5242379990759451</v>
      </c>
      <c r="AD30" s="23">
        <v>1.4387181718797262</v>
      </c>
      <c r="AE30" s="23">
        <v>1.3521572489616742</v>
      </c>
      <c r="AF30" s="23">
        <v>1.2645773364586081</v>
      </c>
      <c r="AG30" s="23">
        <v>1.1760153844196393</v>
      </c>
      <c r="AH30" s="23">
        <v>1.0865282322061951</v>
      </c>
      <c r="AI30" s="23">
        <v>0.9961995009366168</v>
      </c>
      <c r="AJ30" s="23">
        <v>0.9051491106680899</v>
      </c>
      <c r="AK30" s="23">
        <v>0.81354657527256746</v>
      </c>
      <c r="AL30" s="23">
        <v>0.72162980411501865</v>
      </c>
      <c r="AM30" s="23">
        <v>0.62973202723161481</v>
      </c>
      <c r="AN30" s="23">
        <v>0.5383208194287562</v>
      </c>
      <c r="AO30" s="23">
        <v>0.44805522589574076</v>
      </c>
      <c r="AP30" s="23">
        <v>0.35986981576068011</v>
      </c>
      <c r="AQ30" s="23">
        <v>0.27509773317621178</v>
      </c>
      <c r="AR30" s="23">
        <v>0.19564610919192291</v>
      </c>
      <c r="AS30" s="23">
        <v>0.12422749000585979</v>
      </c>
      <c r="AT30" s="23">
        <v>6.4600223839826859E-2</v>
      </c>
      <c r="AU30" s="23">
        <v>2.158553592614915E-2</v>
      </c>
      <c r="AV30" s="23">
        <v>2.6933170112255335E-5</v>
      </c>
      <c r="AW30" s="23">
        <v>0</v>
      </c>
      <c r="AX30" s="23">
        <v>0</v>
      </c>
    </row>
    <row r="31" spans="1:50" x14ac:dyDescent="0.25">
      <c r="E31" s="23">
        <v>2.0853309787957977</v>
      </c>
      <c r="F31" s="23">
        <v>2.0320160526963322</v>
      </c>
      <c r="G31" s="23">
        <v>1.9783446298253216</v>
      </c>
      <c r="H31" s="23">
        <v>1.9243185989782459</v>
      </c>
      <c r="I31" s="23">
        <v>1.8699405674210314</v>
      </c>
      <c r="J31" s="23">
        <v>1.8152139671081686</v>
      </c>
      <c r="K31" s="23">
        <v>1.7601431704339128</v>
      </c>
      <c r="L31" s="23">
        <v>1.7047336225444953</v>
      </c>
      <c r="M31" s="23">
        <v>1.6489919932379422</v>
      </c>
      <c r="N31" s="23">
        <v>1.5929263517258125</v>
      </c>
      <c r="O31" s="23">
        <v>1.536546368131392</v>
      </c>
      <c r="P31" s="23">
        <v>1.4798635463397507</v>
      </c>
      <c r="Q31" s="23">
        <v>1.4228914937136892</v>
      </c>
      <c r="R31" s="23">
        <v>1.3656462342843259</v>
      </c>
      <c r="S31" s="23">
        <v>1.3081465733605613</v>
      </c>
      <c r="T31" s="23">
        <v>1.2504145231371186</v>
      </c>
      <c r="U31" s="23">
        <v>1.1924758008883212</v>
      </c>
      <c r="V31" s="23">
        <v>1.1343604138053893</v>
      </c>
      <c r="W31" s="23">
        <v>1.0761033475816848</v>
      </c>
      <c r="X31" s="23">
        <v>1.0177453796138598</v>
      </c>
      <c r="Y31" s="23">
        <v>0.95933404233952912</v>
      </c>
      <c r="Z31" s="23">
        <v>0.90092476798349808</v>
      </c>
      <c r="AA31" s="23">
        <v>0.84258225307973666</v>
      </c>
      <c r="AB31" s="23">
        <v>0.78438208985394198</v>
      </c>
      <c r="AC31" s="23">
        <v>0.72641272217713904</v>
      </c>
      <c r="AD31" s="23">
        <v>0.66877779657472436</v>
      </c>
      <c r="AE31" s="23">
        <v>0.61159899377020444</v>
      </c>
      <c r="AF31" s="23">
        <v>0.55501944311634899</v>
      </c>
      <c r="AG31" s="23">
        <v>0.49920783975460559</v>
      </c>
      <c r="AH31" s="23">
        <v>0.4443633992872642</v>
      </c>
      <c r="AI31" s="23">
        <v>0.39072179015785469</v>
      </c>
      <c r="AJ31" s="23">
        <v>0.33856216529038585</v>
      </c>
      <c r="AK31" s="23">
        <v>0.28821534260913173</v>
      </c>
      <c r="AL31" s="23">
        <v>0.24007300124222269</v>
      </c>
      <c r="AM31" s="23">
        <v>0.19459735476793405</v>
      </c>
      <c r="AN31" s="23">
        <v>0.15232992171982845</v>
      </c>
      <c r="AO31" s="23">
        <v>0.11389634007518597</v>
      </c>
      <c r="AP31" s="23">
        <v>8.000095787752981E-2</v>
      </c>
      <c r="AQ31" s="23">
        <v>5.1399006818002503E-2</v>
      </c>
      <c r="AR31" s="23">
        <v>2.8823929174908256E-2</v>
      </c>
      <c r="AS31" s="23">
        <v>1.2831905404862037E-2</v>
      </c>
      <c r="AT31" s="23">
        <v>3.5095917476233953E-3</v>
      </c>
      <c r="AU31" s="23">
        <v>4.3754278558808283E-6</v>
      </c>
      <c r="AV31" s="23">
        <v>0</v>
      </c>
      <c r="AW31" s="23">
        <v>0</v>
      </c>
      <c r="AX31" s="23">
        <v>0</v>
      </c>
    </row>
    <row r="32" spans="1:50" x14ac:dyDescent="0.25">
      <c r="F32" s="23">
        <v>1.2206347291662376</v>
      </c>
      <c r="G32" s="23">
        <v>1.1792775347999604</v>
      </c>
      <c r="H32" s="23">
        <v>1.1378971617780904</v>
      </c>
      <c r="I32" s="23">
        <v>1.0965091438281622</v>
      </c>
      <c r="J32" s="23">
        <v>1.0551304337745686</v>
      </c>
      <c r="K32" s="23">
        <v>1.0137795750929881</v>
      </c>
      <c r="L32" s="23">
        <v>0.97247686088451601</v>
      </c>
      <c r="M32" s="23">
        <v>0.93124450856623719</v>
      </c>
      <c r="N32" s="23">
        <v>0.890106853884849</v>
      </c>
      <c r="O32" s="23">
        <v>0.84909056661899629</v>
      </c>
      <c r="P32" s="23">
        <v>0.80822489052127344</v>
      </c>
      <c r="Q32" s="23">
        <v>0.76754191031514474</v>
      </c>
      <c r="R32" s="23">
        <v>0.72707684883237245</v>
      </c>
      <c r="S32" s="23">
        <v>0.68686839763669527</v>
      </c>
      <c r="T32" s="23">
        <v>0.64695908470690411</v>
      </c>
      <c r="U32" s="23">
        <v>0.60739568291147461</v>
      </c>
      <c r="V32" s="23">
        <v>0.56822966304270561</v>
      </c>
      <c r="W32" s="23">
        <v>0.52951769500802737</v>
      </c>
      <c r="X32" s="23">
        <v>0.49132220027427764</v>
      </c>
      <c r="Y32" s="23">
        <v>0.453711957640346</v>
      </c>
      <c r="Z32" s="23">
        <v>0.41676276259268308</v>
      </c>
      <c r="AA32" s="23">
        <v>0.38055813746030503</v>
      </c>
      <c r="AB32" s="23">
        <v>0.34519008470696</v>
      </c>
      <c r="AC32" s="23">
        <v>0.31075986805236716</v>
      </c>
      <c r="AD32" s="23">
        <v>0.27737879432611523</v>
      </c>
      <c r="AE32" s="23">
        <v>0.24516895098983257</v>
      </c>
      <c r="AF32" s="23">
        <v>0.21426382711219127</v>
      </c>
      <c r="AG32" s="23">
        <v>0.18480870485567971</v>
      </c>
      <c r="AH32" s="23">
        <v>0.15696064790572881</v>
      </c>
      <c r="AI32" s="23">
        <v>0.13088782383892617</v>
      </c>
      <c r="AJ32" s="23">
        <v>0.10676776720359922</v>
      </c>
      <c r="AK32" s="23">
        <v>8.4784004233291951E-2</v>
      </c>
      <c r="AL32" s="23">
        <v>6.5120203494000564E-2</v>
      </c>
      <c r="AM32" s="23">
        <v>4.795068259592556E-2</v>
      </c>
      <c r="AN32" s="23">
        <v>3.3425714085233753E-2</v>
      </c>
      <c r="AO32" s="23">
        <v>2.1649745203106297E-2</v>
      </c>
      <c r="AP32" s="23">
        <v>1.2650695763618486E-2</v>
      </c>
      <c r="AQ32" s="23">
        <v>6.3396966356393733E-3</v>
      </c>
      <c r="AR32" s="23">
        <v>2.4646245419558351E-3</v>
      </c>
      <c r="AS32" s="23">
        <v>5.7062404135900351E-4</v>
      </c>
      <c r="AT32" s="23">
        <v>7.1081008445066778E-7</v>
      </c>
      <c r="AU32" s="23">
        <v>0</v>
      </c>
      <c r="AV32" s="23">
        <v>0</v>
      </c>
      <c r="AW32" s="23">
        <v>0</v>
      </c>
      <c r="AX32" s="23">
        <v>0</v>
      </c>
    </row>
    <row r="33" spans="7:50" x14ac:dyDescent="0.25">
      <c r="G33" s="23">
        <v>0.66772700574190968</v>
      </c>
      <c r="H33" s="23">
        <v>0.63828114859515417</v>
      </c>
      <c r="I33" s="23">
        <v>0.60906444694964856</v>
      </c>
      <c r="J33" s="23">
        <v>0.5800985096986625</v>
      </c>
      <c r="K33" s="23">
        <v>0.55140615930572801</v>
      </c>
      <c r="L33" s="23">
        <v>0.5230116908336816</v>
      </c>
      <c r="M33" s="23">
        <v>0.49494097724187103</v>
      </c>
      <c r="N33" s="23">
        <v>0.46722156961001721</v>
      </c>
      <c r="O33" s="23">
        <v>0.43988280050650824</v>
      </c>
      <c r="P33" s="23">
        <v>0.4129558900137667</v>
      </c>
      <c r="Q33" s="23">
        <v>0.38647405312431732</v>
      </c>
      <c r="R33" s="23">
        <v>0.36047260667208403</v>
      </c>
      <c r="S33" s="23">
        <v>0.33498907326038008</v>
      </c>
      <c r="T33" s="23">
        <v>0.31006327872854195</v>
      </c>
      <c r="U33" s="23">
        <v>0.28573743849999206</v>
      </c>
      <c r="V33" s="23">
        <v>0.26205622659379535</v>
      </c>
      <c r="W33" s="23">
        <v>0.23906681905575805</v>
      </c>
      <c r="X33" s="23">
        <v>0.21681890094137005</v>
      </c>
      <c r="Y33" s="23">
        <v>0.1953646225964519</v>
      </c>
      <c r="Z33" s="23">
        <v>0.17475848662719756</v>
      </c>
      <c r="AA33" s="23">
        <v>0.15505714138434448</v>
      </c>
      <c r="AB33" s="23">
        <v>0.13631904972061151</v>
      </c>
      <c r="AC33" s="23">
        <v>0.11860399291014029</v>
      </c>
      <c r="AD33" s="23">
        <v>0.10197235865315712</v>
      </c>
      <c r="AE33" s="23">
        <v>8.6484148850215659E-2</v>
      </c>
      <c r="AF33" s="23">
        <v>7.2197627425325608E-2</v>
      </c>
      <c r="AG33" s="23">
        <v>5.916751164433609E-2</v>
      </c>
      <c r="AH33" s="23">
        <v>4.744259409095454E-2</v>
      </c>
      <c r="AI33" s="23">
        <v>3.7062671027852573E-2</v>
      </c>
      <c r="AJ33" s="23">
        <v>2.8054654719977427E-2</v>
      </c>
      <c r="AK33" s="23">
        <v>2.0427777936604368E-2</v>
      </c>
      <c r="AL33" s="23">
        <v>1.4167885233909477E-2</v>
      </c>
      <c r="AM33" s="23">
        <v>9.2309919049457789E-3</v>
      </c>
      <c r="AN33" s="23">
        <v>5.5366443538175502E-3</v>
      </c>
      <c r="AO33" s="23">
        <v>2.962222663529641E-3</v>
      </c>
      <c r="AP33" s="23">
        <v>1.3402685516701559E-3</v>
      </c>
      <c r="AQ33" s="23">
        <v>4.6217749942202774E-4</v>
      </c>
      <c r="AR33" s="23">
        <v>9.2777620854299106E-5</v>
      </c>
      <c r="AS33" s="23">
        <v>1.1547464449167773E-7</v>
      </c>
      <c r="AT33" s="23">
        <v>0</v>
      </c>
      <c r="AU33" s="23">
        <v>0</v>
      </c>
      <c r="AV33" s="23">
        <v>0</v>
      </c>
      <c r="AW33" s="23">
        <v>0</v>
      </c>
      <c r="AX33" s="23">
        <v>0</v>
      </c>
    </row>
    <row r="34" spans="7:50" x14ac:dyDescent="0.25">
      <c r="H34" s="23">
        <v>0.33888042512796285</v>
      </c>
      <c r="I34" s="23">
        <v>0.319738838529877</v>
      </c>
      <c r="J34" s="23">
        <v>0.30095274272355199</v>
      </c>
      <c r="K34" s="23">
        <v>0.28254205523679354</v>
      </c>
      <c r="L34" s="23">
        <v>0.26452639280573081</v>
      </c>
      <c r="M34" s="23">
        <v>0.24692601227496086</v>
      </c>
      <c r="N34" s="23">
        <v>0.22976185183919717</v>
      </c>
      <c r="O34" s="23">
        <v>0.21305550962334868</v>
      </c>
      <c r="P34" s="23">
        <v>0.1968292072410511</v>
      </c>
      <c r="Q34" s="23">
        <v>0.18110573781524983</v>
      </c>
      <c r="R34" s="23">
        <v>0.16590839514768727</v>
      </c>
      <c r="S34" s="23">
        <v>0.15126088000130133</v>
      </c>
      <c r="T34" s="23">
        <v>0.13718717871181155</v>
      </c>
      <c r="U34" s="23">
        <v>0.12371140848466272</v>
      </c>
      <c r="V34" s="23">
        <v>0.11085762276171184</v>
      </c>
      <c r="W34" s="23">
        <v>9.8649568965559181E-2</v>
      </c>
      <c r="X34" s="23">
        <v>8.711038977192595E-2</v>
      </c>
      <c r="Y34" s="23">
        <v>7.6262257873465286E-2</v>
      </c>
      <c r="Z34" s="23">
        <v>6.6125933076385882E-2</v>
      </c>
      <c r="AA34" s="23">
        <v>5.6720229674546353E-2</v>
      </c>
      <c r="AB34" s="23">
        <v>4.8061381637632843E-2</v>
      </c>
      <c r="AC34" s="23">
        <v>4.0162293643266379E-2</v>
      </c>
      <c r="AD34" s="23">
        <v>3.3031668013043303E-2</v>
      </c>
      <c r="AE34" s="23">
        <v>2.6673002127601052E-2</v>
      </c>
      <c r="AF34" s="23">
        <v>2.1083459277403124E-2</v>
      </c>
      <c r="AG34" s="23">
        <v>1.6252630098399865E-2</v>
      </c>
      <c r="AH34" s="23">
        <v>1.2161224364683742E-2</v>
      </c>
      <c r="AI34" s="23">
        <v>8.7797672605505576E-3</v>
      </c>
      <c r="AJ34" s="23">
        <v>6.0674240062542446E-3</v>
      </c>
      <c r="AK34" s="23">
        <v>3.9711449301847454E-3</v>
      </c>
      <c r="AL34" s="23">
        <v>2.42540983589321E-3</v>
      </c>
      <c r="AM34" s="23">
        <v>1.3529479229160526E-3</v>
      </c>
      <c r="AN34" s="23">
        <v>6.6689257261682189E-4</v>
      </c>
      <c r="AO34" s="23">
        <v>2.7484200030469976E-4</v>
      </c>
      <c r="AP34" s="23">
        <v>8.5128957519574076E-5</v>
      </c>
      <c r="AQ34" s="23">
        <v>1.5084679919040916E-5</v>
      </c>
      <c r="AR34" s="23">
        <v>1.8759432107362516E-8</v>
      </c>
      <c r="AS34" s="23">
        <v>0</v>
      </c>
      <c r="AT34" s="23">
        <v>0</v>
      </c>
      <c r="AU34" s="23">
        <v>0</v>
      </c>
      <c r="AV34" s="23">
        <v>0</v>
      </c>
      <c r="AW34" s="23">
        <v>0</v>
      </c>
      <c r="AX34" s="23">
        <v>0</v>
      </c>
    </row>
    <row r="35" spans="7:50" x14ac:dyDescent="0.25">
      <c r="I35" s="23">
        <v>0.15831258416956145</v>
      </c>
      <c r="J35" s="23">
        <v>0.14702596128593046</v>
      </c>
      <c r="K35" s="23">
        <v>0.13609715765235464</v>
      </c>
      <c r="L35" s="23">
        <v>0.12554321328450582</v>
      </c>
      <c r="M35" s="23">
        <v>0.11537540424332374</v>
      </c>
      <c r="N35" s="23">
        <v>0.10560450108796593</v>
      </c>
      <c r="O35" s="23">
        <v>9.6240995783858085E-2</v>
      </c>
      <c r="P35" s="23">
        <v>8.729501743742675E-2</v>
      </c>
      <c r="Q35" s="23">
        <v>7.8776219327948635E-2</v>
      </c>
      <c r="R35" s="23">
        <v>7.0693648890423719E-2</v>
      </c>
      <c r="S35" s="23">
        <v>6.3055599399674436E-2</v>
      </c>
      <c r="T35" s="23">
        <v>5.5869441664668416E-2</v>
      </c>
      <c r="U35" s="23">
        <v>4.9141434158526766E-2</v>
      </c>
      <c r="V35" s="23">
        <v>4.2876510246134161E-2</v>
      </c>
      <c r="W35" s="23">
        <v>3.7078041608018579E-2</v>
      </c>
      <c r="X35" s="23">
        <v>3.1747577664698962E-2</v>
      </c>
      <c r="Y35" s="23">
        <v>2.6884561879201088E-2</v>
      </c>
      <c r="Z35" s="23">
        <v>2.2486027384394713E-2</v>
      </c>
      <c r="AA35" s="23">
        <v>1.8546276604480865E-2</v>
      </c>
      <c r="AB35" s="23">
        <v>1.5056552606817722E-2</v>
      </c>
      <c r="AC35" s="23">
        <v>1.2004714047413462E-2</v>
      </c>
      <c r="AD35" s="23">
        <v>9.374930983641892E-3</v>
      </c>
      <c r="AE35" s="23">
        <v>7.1474257079097853E-3</v>
      </c>
      <c r="AF35" s="23">
        <v>5.2982911744366527E-3</v>
      </c>
      <c r="AG35" s="23">
        <v>3.7994293499853931E-3</v>
      </c>
      <c r="AH35" s="23">
        <v>2.618662207849504E-3</v>
      </c>
      <c r="AI35" s="23">
        <v>1.7200774959872627E-3</v>
      </c>
      <c r="AJ35" s="23">
        <v>1.0646767922878621E-3</v>
      </c>
      <c r="AK35" s="23">
        <v>6.1138952341481783E-4</v>
      </c>
      <c r="AL35" s="23">
        <v>3.184955888096464E-4</v>
      </c>
      <c r="AM35" s="23">
        <v>1.4545013592257198E-4</v>
      </c>
      <c r="AN35" s="23">
        <v>5.5014811629812531E-5</v>
      </c>
      <c r="AO35" s="23">
        <v>1.5462984679691208E-5</v>
      </c>
      <c r="AP35" s="23">
        <v>2.4526109863692236E-6</v>
      </c>
      <c r="AQ35" s="23">
        <v>3.0475633377339852E-9</v>
      </c>
      <c r="AR35" s="23">
        <v>0</v>
      </c>
      <c r="AS35" s="23">
        <v>0</v>
      </c>
      <c r="AT35" s="23">
        <v>0</v>
      </c>
      <c r="AU35" s="23">
        <v>0</v>
      </c>
      <c r="AV35" s="23">
        <v>0</v>
      </c>
      <c r="AW35" s="23">
        <v>0</v>
      </c>
      <c r="AX35" s="23">
        <v>0</v>
      </c>
    </row>
    <row r="36" spans="7:50" x14ac:dyDescent="0.25">
      <c r="J36" s="23">
        <v>6.7473441012568192E-2</v>
      </c>
      <c r="K36" s="23">
        <v>6.150752268870302E-2</v>
      </c>
      <c r="L36" s="23">
        <v>5.5799582045542924E-2</v>
      </c>
      <c r="M36" s="23">
        <v>5.0386193817268728E-2</v>
      </c>
      <c r="N36" s="23">
        <v>4.5271473008175203E-2</v>
      </c>
      <c r="O36" s="23">
        <v>4.0457030775832514E-2</v>
      </c>
      <c r="P36" s="23">
        <v>3.5943668002359805E-2</v>
      </c>
      <c r="Q36" s="23">
        <v>3.1731371826690835E-2</v>
      </c>
      <c r="R36" s="23">
        <v>2.7819228437176682E-2</v>
      </c>
      <c r="S36" s="23">
        <v>2.4205329152709273E-2</v>
      </c>
      <c r="T36" s="23">
        <v>2.0886673622149091E-2</v>
      </c>
      <c r="U36" s="23">
        <v>1.7859071750394841E-2</v>
      </c>
      <c r="V36" s="23">
        <v>1.5117046644591391E-2</v>
      </c>
      <c r="W36" s="23">
        <v>1.2653741579803691E-2</v>
      </c>
      <c r="X36" s="23">
        <v>1.0460834892415241E-2</v>
      </c>
      <c r="Y36" s="23">
        <v>8.5284677840025292E-3</v>
      </c>
      <c r="Z36" s="23">
        <v>6.8451912558803478E-3</v>
      </c>
      <c r="AA36" s="23">
        <v>5.3979397681473019E-3</v>
      </c>
      <c r="AB36" s="23">
        <v>4.1720406630623413E-3</v>
      </c>
      <c r="AC36" s="23">
        <v>3.1512697892485241E-3</v>
      </c>
      <c r="AD36" s="23">
        <v>2.3179649033739178E-3</v>
      </c>
      <c r="AE36" s="23">
        <v>1.6532089824309983E-3</v>
      </c>
      <c r="AF36" s="23">
        <v>1.1370950666157364E-3</v>
      </c>
      <c r="AG36" s="23">
        <v>7.4908199126920937E-4</v>
      </c>
      <c r="AH36" s="23">
        <v>4.6844547469308237E-4</v>
      </c>
      <c r="AI36" s="23">
        <v>2.7482047476315658E-4</v>
      </c>
      <c r="AJ36" s="23">
        <v>1.4881751030017092E-4</v>
      </c>
      <c r="AK36" s="23">
        <v>7.2677206773015399E-5</v>
      </c>
      <c r="AL36" s="23">
        <v>3.090433457325374E-5</v>
      </c>
      <c r="AM36" s="23">
        <v>1.0798193928213781E-5</v>
      </c>
      <c r="AN36" s="23">
        <v>2.777606177909398E-6</v>
      </c>
      <c r="AO36" s="23">
        <v>3.9876858932199532E-7</v>
      </c>
      <c r="AP36" s="23">
        <v>4.9509186868486529E-10</v>
      </c>
      <c r="AQ36" s="23">
        <v>0</v>
      </c>
      <c r="AR36" s="23">
        <v>0</v>
      </c>
      <c r="AS36" s="23">
        <v>0</v>
      </c>
      <c r="AT36" s="23">
        <v>0</v>
      </c>
      <c r="AU36" s="23">
        <v>0</v>
      </c>
      <c r="AV36" s="23">
        <v>0</v>
      </c>
      <c r="AW36" s="23">
        <v>0</v>
      </c>
      <c r="AX36" s="23">
        <v>0</v>
      </c>
    </row>
    <row r="37" spans="7:50" x14ac:dyDescent="0.25">
      <c r="K37" s="23">
        <v>2.5812081772369686E-2</v>
      </c>
      <c r="L37" s="23">
        <v>2.3172948390715969E-2</v>
      </c>
      <c r="M37" s="23">
        <v>2.0528514590867294E-2</v>
      </c>
      <c r="N37" s="23">
        <v>1.8066837025719824E-2</v>
      </c>
      <c r="O37" s="23">
        <v>1.5795755762968981E-2</v>
      </c>
      <c r="P37" s="23">
        <v>1.3711943361426046E-2</v>
      </c>
      <c r="Q37" s="23">
        <v>1.1810952434311612E-2</v>
      </c>
      <c r="R37" s="23">
        <v>1.008765951381335E-2</v>
      </c>
      <c r="S37" s="23">
        <v>8.5362617161721041E-3</v>
      </c>
      <c r="T37" s="23">
        <v>7.150264350790996E-3</v>
      </c>
      <c r="U37" s="23">
        <v>5.9224771426899143E-3</v>
      </c>
      <c r="V37" s="23">
        <v>4.84502081698033E-3</v>
      </c>
      <c r="W37" s="23">
        <v>3.9093466395901432E-3</v>
      </c>
      <c r="X37" s="23">
        <v>3.1062714256427865E-3</v>
      </c>
      <c r="Y37" s="23">
        <v>2.4260306383945798E-3</v>
      </c>
      <c r="Z37" s="23">
        <v>1.8583521755032974E-3</v>
      </c>
      <c r="AA37" s="23">
        <v>1.3925532143968216E-3</v>
      </c>
      <c r="AB37" s="23">
        <v>1.0176619754663108E-3</v>
      </c>
      <c r="AC37" s="23">
        <v>7.2256535588470744E-4</v>
      </c>
      <c r="AD37" s="23">
        <v>4.9618197123814985E-4</v>
      </c>
      <c r="AE37" s="23">
        <v>3.2765810162848599E-4</v>
      </c>
      <c r="AF37" s="23">
        <v>2.0658128741627021E-4</v>
      </c>
      <c r="AG37" s="23">
        <v>1.232028473404952E-4</v>
      </c>
      <c r="AH37" s="23">
        <v>6.8656537671809868E-5</v>
      </c>
      <c r="AI37" s="23">
        <v>3.5156325764798573E-5</v>
      </c>
      <c r="AJ37" s="23">
        <v>1.615257868705964E-5</v>
      </c>
      <c r="AK37" s="23">
        <v>6.4241136988459288E-6</v>
      </c>
      <c r="AL37" s="23">
        <v>2.0852661827256892E-6</v>
      </c>
      <c r="AM37" s="23">
        <v>4.9441436126546074E-7</v>
      </c>
      <c r="AN37" s="23">
        <v>6.4835507959724842E-8</v>
      </c>
      <c r="AO37" s="23">
        <v>8.0430144109854076E-11</v>
      </c>
      <c r="AP37" s="23">
        <v>0</v>
      </c>
      <c r="AQ37" s="23">
        <v>0</v>
      </c>
      <c r="AR37" s="23">
        <v>0</v>
      </c>
      <c r="AS37" s="23">
        <v>0</v>
      </c>
      <c r="AT37" s="23">
        <v>0</v>
      </c>
      <c r="AU37" s="23">
        <v>0</v>
      </c>
      <c r="AV37" s="23">
        <v>0</v>
      </c>
      <c r="AW37" s="23">
        <v>0</v>
      </c>
      <c r="AX37" s="23">
        <v>0</v>
      </c>
    </row>
    <row r="38" spans="7:50" x14ac:dyDescent="0.25">
      <c r="L38" s="23">
        <v>7.7105668226984366E-3</v>
      </c>
      <c r="M38" s="23">
        <v>7.7182812460899622E-3</v>
      </c>
      <c r="N38" s="23">
        <v>6.6972041394502482E-3</v>
      </c>
      <c r="O38" s="23">
        <v>5.7174487822990207E-3</v>
      </c>
      <c r="P38" s="23">
        <v>4.8371929559989603E-3</v>
      </c>
      <c r="Q38" s="23">
        <v>4.054304996437906E-3</v>
      </c>
      <c r="R38" s="23">
        <v>3.3635857111476261E-3</v>
      </c>
      <c r="S38" s="23">
        <v>2.7594724302100341E-3</v>
      </c>
      <c r="T38" s="23">
        <v>2.2361599963325444E-3</v>
      </c>
      <c r="U38" s="23">
        <v>1.7876362682959818E-3</v>
      </c>
      <c r="V38" s="23">
        <v>1.407726692878513E-3</v>
      </c>
      <c r="W38" s="23">
        <v>1.0901452130864808E-3</v>
      </c>
      <c r="X38" s="23">
        <v>8.285531940691402E-4</v>
      </c>
      <c r="Y38" s="23">
        <v>6.1662610445722336E-4</v>
      </c>
      <c r="Z38" s="23">
        <v>4.4812726815904308E-4</v>
      </c>
      <c r="AA38" s="23">
        <v>3.1698741857535902E-4</v>
      </c>
      <c r="AB38" s="23">
        <v>2.1738809425788231E-4</v>
      </c>
      <c r="AC38" s="23">
        <v>1.4384611385536103E-4</v>
      </c>
      <c r="AD38" s="23">
        <v>9.1295498326534618E-5</v>
      </c>
      <c r="AE38" s="23">
        <v>5.5162345713979923E-5</v>
      </c>
      <c r="AF38" s="23">
        <v>3.1427432027367347E-5</v>
      </c>
      <c r="AG38" s="23">
        <v>1.6670891600307668E-5</v>
      </c>
      <c r="AH38" s="23">
        <v>8.0934591789838682E-6</v>
      </c>
      <c r="AI38" s="23">
        <v>3.5097091889302856E-6</v>
      </c>
      <c r="AJ38" s="23">
        <v>1.310765207824654E-6</v>
      </c>
      <c r="AK38" s="23">
        <v>3.9721724225098995E-7</v>
      </c>
      <c r="AL38" s="23">
        <v>8.7340417376600236E-8</v>
      </c>
      <c r="AM38" s="23">
        <v>1.0541553011346712E-8</v>
      </c>
      <c r="AN38" s="23">
        <v>1.3066278181290995E-11</v>
      </c>
      <c r="AO38" s="23">
        <v>0</v>
      </c>
      <c r="AP38" s="23">
        <v>0</v>
      </c>
      <c r="AQ38" s="23">
        <v>0</v>
      </c>
      <c r="AR38" s="23">
        <v>0</v>
      </c>
      <c r="AS38" s="23">
        <v>0</v>
      </c>
      <c r="AT38" s="23">
        <v>0</v>
      </c>
      <c r="AU38" s="23">
        <v>0</v>
      </c>
      <c r="AV38" s="23">
        <v>0</v>
      </c>
      <c r="AW38" s="23">
        <v>0</v>
      </c>
      <c r="AX38" s="23">
        <v>0</v>
      </c>
    </row>
    <row r="39" spans="7:50" x14ac:dyDescent="0.25">
      <c r="N39" s="23">
        <v>1.8951760884188219E-3</v>
      </c>
      <c r="O39" s="23">
        <v>1.8970722124112265E-3</v>
      </c>
      <c r="P39" s="23">
        <v>1.5744825419938271E-3</v>
      </c>
      <c r="Q39" s="23">
        <v>1.2809572448346763E-3</v>
      </c>
      <c r="R39" s="23">
        <v>1.0291741452547554E-3</v>
      </c>
      <c r="S39" s="23">
        <v>8.1589715045380534E-4</v>
      </c>
      <c r="T39" s="23">
        <v>6.3736494334014468E-4</v>
      </c>
      <c r="U39" s="23">
        <v>4.8986515627687352E-4</v>
      </c>
      <c r="V39" s="23">
        <v>3.6976222273407038E-4</v>
      </c>
      <c r="W39" s="23">
        <v>2.7354131286595816E-4</v>
      </c>
      <c r="X39" s="23">
        <v>1.9784338497078296E-4</v>
      </c>
      <c r="Y39" s="23">
        <v>1.3949973395483475E-4</v>
      </c>
      <c r="Z39" s="23">
        <v>9.5564700580303685E-5</v>
      </c>
      <c r="AA39" s="23">
        <v>6.334521777338816E-5</v>
      </c>
      <c r="AB39" s="23">
        <v>4.0425645931808475E-5</v>
      </c>
      <c r="AC39" s="23">
        <v>2.4686277465255016E-5</v>
      </c>
      <c r="AD39" s="23">
        <v>1.4313938092506795E-5</v>
      </c>
      <c r="AE39" s="23">
        <v>7.8033241137668782E-6</v>
      </c>
      <c r="AF39" s="23">
        <v>3.9481345655235624E-6</v>
      </c>
      <c r="AG39" s="23">
        <v>1.8217146949269287E-6</v>
      </c>
      <c r="AH39" s="23">
        <v>7.4782154179749969E-7</v>
      </c>
      <c r="AI39" s="23">
        <v>2.6319972966148127E-7</v>
      </c>
      <c r="AJ39" s="23">
        <v>7.4786441612333462E-8</v>
      </c>
      <c r="AK39" s="23">
        <v>1.5330316778850074E-8</v>
      </c>
      <c r="AL39" s="23">
        <v>1.7139414446766058E-9</v>
      </c>
      <c r="AM39" s="23">
        <v>2.1226820789695889E-12</v>
      </c>
      <c r="AN39" s="23">
        <v>0</v>
      </c>
      <c r="AO39" s="23">
        <v>0</v>
      </c>
      <c r="AP39" s="23">
        <v>0</v>
      </c>
      <c r="AQ39" s="23">
        <v>0</v>
      </c>
      <c r="AR39" s="23">
        <v>0</v>
      </c>
      <c r="AS39" s="23">
        <v>0</v>
      </c>
      <c r="AT39" s="23">
        <v>0</v>
      </c>
      <c r="AU39" s="23">
        <v>0</v>
      </c>
      <c r="AV39" s="23">
        <v>0</v>
      </c>
      <c r="AW39" s="23">
        <v>0</v>
      </c>
      <c r="AX39" s="23">
        <v>0</v>
      </c>
    </row>
    <row r="40" spans="7:50" x14ac:dyDescent="0.25">
      <c r="P40" s="23">
        <v>3.6776515603425305E-4</v>
      </c>
      <c r="Q40" s="23">
        <v>3.6813310513417484E-4</v>
      </c>
      <c r="R40" s="23">
        <v>2.8816414366849739E-4</v>
      </c>
      <c r="S40" s="23">
        <v>2.2009416398177794E-4</v>
      </c>
      <c r="T40" s="23">
        <v>1.6516441574176768E-4</v>
      </c>
      <c r="U40" s="23">
        <v>1.2154370093621743E-4</v>
      </c>
      <c r="V40" s="23">
        <v>8.7542603358602199E-5</v>
      </c>
      <c r="W40" s="23">
        <v>6.1556770218431343E-5</v>
      </c>
      <c r="X40" s="23">
        <v>4.2131508026485057E-5</v>
      </c>
      <c r="Y40" s="23">
        <v>2.7968885011938314E-5</v>
      </c>
      <c r="Z40" s="23">
        <v>1.7932331778414872E-5</v>
      </c>
      <c r="AA40" s="23">
        <v>1.1047282443280088E-5</v>
      </c>
      <c r="AB40" s="23">
        <v>6.4980072047124324E-6</v>
      </c>
      <c r="AC40" s="23">
        <v>3.6205151405756899E-6</v>
      </c>
      <c r="AD40" s="23">
        <v>1.8916294478113068E-6</v>
      </c>
      <c r="AE40" s="23">
        <v>9.1460966658469511E-7</v>
      </c>
      <c r="AF40" s="23">
        <v>4.0199485699143857E-7</v>
      </c>
      <c r="AG40" s="23">
        <v>1.566352211327797E-7</v>
      </c>
      <c r="AH40" s="23">
        <v>5.2120043184864071E-8</v>
      </c>
      <c r="AI40" s="23">
        <v>1.3939246196152438E-8</v>
      </c>
      <c r="AJ40" s="23">
        <v>2.6760704055627681E-9</v>
      </c>
      <c r="AK40" s="23">
        <v>2.7866797941926149E-10</v>
      </c>
      <c r="AL40" s="23">
        <v>3.4484029391247545E-13</v>
      </c>
      <c r="AM40" s="23">
        <v>0</v>
      </c>
      <c r="AN40" s="23">
        <v>0</v>
      </c>
      <c r="AO40" s="23">
        <v>0</v>
      </c>
      <c r="AP40" s="23">
        <v>0</v>
      </c>
      <c r="AQ40" s="23">
        <v>0</v>
      </c>
      <c r="AR40" s="23">
        <v>0</v>
      </c>
      <c r="AS40" s="23">
        <v>0</v>
      </c>
      <c r="AT40" s="23">
        <v>0</v>
      </c>
      <c r="AU40" s="23">
        <v>0</v>
      </c>
      <c r="AV40" s="23">
        <v>0</v>
      </c>
      <c r="AW40" s="23">
        <v>0</v>
      </c>
      <c r="AX40" s="23">
        <v>0</v>
      </c>
    </row>
    <row r="41" spans="7:50" x14ac:dyDescent="0.25">
      <c r="R41" s="23">
        <v>5.2988197884825328E-5</v>
      </c>
      <c r="S41" s="23">
        <v>5.3041212585642668E-5</v>
      </c>
      <c r="T41" s="23">
        <v>3.846449144072659E-5</v>
      </c>
      <c r="U41" s="23">
        <v>2.721575430686689E-5</v>
      </c>
      <c r="V41" s="23">
        <v>1.8617774389646694E-5</v>
      </c>
      <c r="W41" s="23">
        <v>1.2377360081541221E-5</v>
      </c>
      <c r="X41" s="23">
        <v>7.967406755834525E-6</v>
      </c>
      <c r="Y41" s="23">
        <v>4.9448910537929909E-6</v>
      </c>
      <c r="Z41" s="23">
        <v>2.94339721968188E-6</v>
      </c>
      <c r="AA41" s="23">
        <v>1.6694465141722516E-6</v>
      </c>
      <c r="AB41" s="23">
        <v>8.9497030249556548E-7</v>
      </c>
      <c r="AC41" s="23">
        <v>4.4882692265718849E-7</v>
      </c>
      <c r="AD41" s="23">
        <v>2.0775032830178793E-7</v>
      </c>
      <c r="AE41" s="23">
        <v>8.716337633810077E-8</v>
      </c>
      <c r="AF41" s="23">
        <v>3.2316522460295919E-8</v>
      </c>
      <c r="AG41" s="23">
        <v>1.0195902641233206E-8</v>
      </c>
      <c r="AH41" s="23">
        <v>2.5753594094936883E-9</v>
      </c>
      <c r="AI41" s="23">
        <v>4.6491487232385509E-10</v>
      </c>
      <c r="AJ41" s="23">
        <v>4.530830983748947E-11</v>
      </c>
      <c r="AK41" s="23">
        <v>5.6021026174281635E-14</v>
      </c>
      <c r="AL41" s="23">
        <v>0</v>
      </c>
      <c r="AM41" s="23">
        <v>0</v>
      </c>
      <c r="AN41" s="23">
        <v>0</v>
      </c>
      <c r="AO41" s="23">
        <v>0</v>
      </c>
      <c r="AP41" s="23">
        <v>0</v>
      </c>
      <c r="AQ41" s="23">
        <v>0</v>
      </c>
      <c r="AR41" s="23">
        <v>0</v>
      </c>
      <c r="AS41" s="23">
        <v>0</v>
      </c>
      <c r="AT41" s="23">
        <v>0</v>
      </c>
      <c r="AU41" s="23">
        <v>0</v>
      </c>
      <c r="AV41" s="23">
        <v>0</v>
      </c>
      <c r="AW41" s="23">
        <v>0</v>
      </c>
      <c r="AX41" s="23">
        <v>0</v>
      </c>
    </row>
    <row r="42" spans="7:50" x14ac:dyDescent="0.25">
      <c r="T42" s="23">
        <v>3.4852660929394613E-6</v>
      </c>
      <c r="U42" s="23">
        <v>3.4887531022464699E-6</v>
      </c>
      <c r="V42" s="23">
        <v>3.4922436003068715E-6</v>
      </c>
      <c r="W42" s="23">
        <v>2.1983741586722262E-6</v>
      </c>
      <c r="X42" s="23">
        <v>1.3312187268306223E-6</v>
      </c>
      <c r="Y42" s="23">
        <v>7.6637240378520402E-7</v>
      </c>
      <c r="Z42" s="23">
        <v>4.1958905643926899E-7</v>
      </c>
      <c r="AA42" s="23">
        <v>2.1669281414655262E-7</v>
      </c>
      <c r="AB42" s="23">
        <v>1.0445892886112216E-7</v>
      </c>
      <c r="AC42" s="23">
        <v>4.6365929080410638E-8</v>
      </c>
      <c r="AD42" s="23">
        <v>1.8605590720504929E-8</v>
      </c>
      <c r="AE42" s="23">
        <v>6.578641275695878E-9</v>
      </c>
      <c r="AF42" s="23">
        <v>1.9731598565346158E-9</v>
      </c>
      <c r="AG42" s="23">
        <v>4.7214782710905589E-10</v>
      </c>
      <c r="AH42" s="23">
        <v>8.0433674423355253E-11</v>
      </c>
      <c r="AI42" s="23">
        <v>7.3666215718402299E-12</v>
      </c>
      <c r="AJ42" s="23">
        <v>9.1008951941522137E-15</v>
      </c>
      <c r="AK42" s="23">
        <v>0</v>
      </c>
      <c r="AL42" s="23">
        <v>0</v>
      </c>
      <c r="AM42" s="23">
        <v>0</v>
      </c>
      <c r="AN42" s="23">
        <v>0</v>
      </c>
      <c r="AO42" s="23">
        <v>0</v>
      </c>
      <c r="AP42" s="23">
        <v>0</v>
      </c>
      <c r="AQ42" s="23">
        <v>0</v>
      </c>
      <c r="AR42" s="23">
        <v>0</v>
      </c>
      <c r="AS42" s="23">
        <v>0</v>
      </c>
      <c r="AT42" s="23">
        <v>0</v>
      </c>
      <c r="AU42" s="23">
        <v>0</v>
      </c>
      <c r="AV42" s="23">
        <v>0</v>
      </c>
      <c r="AW42" s="23">
        <v>0</v>
      </c>
      <c r="AX42" s="23">
        <v>0</v>
      </c>
    </row>
    <row r="43" spans="7:50" x14ac:dyDescent="0.25">
      <c r="W43" s="23">
        <v>1.0262028141387801E-7</v>
      </c>
      <c r="X43" s="23">
        <v>1.0272295302254025E-7</v>
      </c>
      <c r="Y43" s="23">
        <v>1.0282572735416408E-7</v>
      </c>
      <c r="Z43" s="23">
        <v>5.1487302017858995E-8</v>
      </c>
      <c r="AA43" s="23">
        <v>2.3891022518665765E-8</v>
      </c>
      <c r="AB43" s="23">
        <v>1.0185115010807294E-8</v>
      </c>
      <c r="AC43" s="23">
        <v>3.9160281454841514E-9</v>
      </c>
      <c r="AD43" s="23">
        <v>1.3232473015940498E-9</v>
      </c>
      <c r="AE43" s="23">
        <v>3.7820561251778581E-10</v>
      </c>
      <c r="AF43" s="23">
        <v>8.5968833059406968E-11</v>
      </c>
      <c r="AG43" s="23">
        <v>1.3864500801514807E-11</v>
      </c>
      <c r="AH43" s="23">
        <v>1.1977290004097064E-12</v>
      </c>
      <c r="AI43" s="23">
        <v>1.478485829182793E-15</v>
      </c>
      <c r="AJ43" s="23">
        <v>0</v>
      </c>
      <c r="AK43" s="23">
        <v>0</v>
      </c>
      <c r="AL43" s="23">
        <v>0</v>
      </c>
      <c r="AM43" s="23">
        <v>0</v>
      </c>
      <c r="AN43" s="23">
        <v>0</v>
      </c>
      <c r="AO43" s="23">
        <v>0</v>
      </c>
      <c r="AP43" s="23">
        <v>0</v>
      </c>
      <c r="AQ43" s="23">
        <v>0</v>
      </c>
      <c r="AR43" s="23">
        <v>0</v>
      </c>
      <c r="AS43" s="23">
        <v>0</v>
      </c>
      <c r="AT43" s="23">
        <v>0</v>
      </c>
      <c r="AU43" s="23">
        <v>0</v>
      </c>
      <c r="AV43" s="23">
        <v>0</v>
      </c>
      <c r="AW43" s="23">
        <v>0</v>
      </c>
      <c r="AX43" s="23">
        <v>0</v>
      </c>
    </row>
    <row r="44" spans="7:50" x14ac:dyDescent="0.25">
      <c r="Z44" s="23">
        <v>2.1936432175331296E-9</v>
      </c>
      <c r="AA44" s="23">
        <v>2.19583795793797E-9</v>
      </c>
      <c r="AB44" s="23">
        <v>8.1200062244012062E-10</v>
      </c>
      <c r="AC44" s="23">
        <v>2.6330731364075585E-10</v>
      </c>
      <c r="AD44" s="23">
        <v>7.1871440390764112E-11</v>
      </c>
      <c r="AE44" s="23">
        <v>1.5557752431913039E-11</v>
      </c>
      <c r="AF44" s="23">
        <v>2.3820459176903225E-12</v>
      </c>
      <c r="AG44" s="23">
        <v>1.9473700054325894E-13</v>
      </c>
      <c r="AH44" s="23">
        <v>2.4018739920210091E-16</v>
      </c>
      <c r="AI44" s="23">
        <v>0</v>
      </c>
      <c r="AJ44" s="23">
        <v>0</v>
      </c>
      <c r="AK44" s="23">
        <v>0</v>
      </c>
      <c r="AL44" s="23">
        <v>0</v>
      </c>
      <c r="AM44" s="23">
        <v>0</v>
      </c>
      <c r="AN44" s="23">
        <v>0</v>
      </c>
      <c r="AO44" s="23">
        <v>0</v>
      </c>
      <c r="AP44" s="23">
        <v>0</v>
      </c>
      <c r="AQ44" s="23">
        <v>0</v>
      </c>
      <c r="AR44" s="23">
        <v>0</v>
      </c>
      <c r="AS44" s="23">
        <v>0</v>
      </c>
      <c r="AT44" s="23">
        <v>0</v>
      </c>
      <c r="AU44" s="23">
        <v>0</v>
      </c>
      <c r="AV44" s="23">
        <v>0</v>
      </c>
      <c r="AW44" s="23">
        <v>0</v>
      </c>
      <c r="AX44" s="23">
        <v>0</v>
      </c>
    </row>
    <row r="45" spans="7:50" x14ac:dyDescent="0.25">
      <c r="AB45" s="23">
        <v>2.7935826735746424E-12</v>
      </c>
      <c r="AC45" s="23">
        <v>2.7963776535052672E-12</v>
      </c>
      <c r="AD45" s="23">
        <v>2.7991754298137788E-12</v>
      </c>
      <c r="AE45" s="23">
        <v>4.0806002469117092E-13</v>
      </c>
      <c r="AF45" s="23">
        <v>3.1661981787160964E-14</v>
      </c>
      <c r="AG45" s="23">
        <v>3.9019641309216923E-17</v>
      </c>
      <c r="AH45" s="23">
        <v>0</v>
      </c>
      <c r="AI45" s="23">
        <v>0</v>
      </c>
      <c r="AJ45" s="23">
        <v>0</v>
      </c>
      <c r="AK45" s="23">
        <v>0</v>
      </c>
      <c r="AL45" s="23">
        <v>0</v>
      </c>
      <c r="AM45" s="23">
        <v>0</v>
      </c>
      <c r="AN45" s="23">
        <v>0</v>
      </c>
      <c r="AO45" s="23">
        <v>0</v>
      </c>
      <c r="AP45" s="23">
        <v>0</v>
      </c>
      <c r="AQ45" s="23">
        <v>0</v>
      </c>
      <c r="AR45" s="23">
        <v>0</v>
      </c>
      <c r="AS45" s="23">
        <v>0</v>
      </c>
      <c r="AT45" s="23">
        <v>0</v>
      </c>
      <c r="AU45" s="23">
        <v>0</v>
      </c>
      <c r="AV45" s="23">
        <v>0</v>
      </c>
      <c r="AW45" s="23">
        <v>0</v>
      </c>
      <c r="AX45" s="23">
        <v>0</v>
      </c>
    </row>
    <row r="46" spans="7:50" x14ac:dyDescent="0.25">
      <c r="AE46" s="23">
        <v>0</v>
      </c>
      <c r="AF46" s="23">
        <v>0</v>
      </c>
      <c r="AG46" s="23">
        <v>0</v>
      </c>
      <c r="AH46" s="23">
        <v>0</v>
      </c>
      <c r="AI46" s="23">
        <v>0</v>
      </c>
      <c r="AJ46" s="23">
        <v>0</v>
      </c>
      <c r="AK46" s="23">
        <v>0</v>
      </c>
      <c r="AL46" s="23">
        <v>0</v>
      </c>
      <c r="AM46" s="23">
        <v>0</v>
      </c>
      <c r="AN46" s="23">
        <v>0</v>
      </c>
      <c r="AO46" s="23">
        <v>0</v>
      </c>
      <c r="AP46" s="23">
        <v>0</v>
      </c>
      <c r="AQ46" s="23">
        <v>0</v>
      </c>
      <c r="AR46" s="23">
        <v>0</v>
      </c>
      <c r="AS46" s="23">
        <v>0</v>
      </c>
      <c r="AT46" s="23">
        <v>0</v>
      </c>
      <c r="AU46" s="23">
        <v>0</v>
      </c>
      <c r="AV46" s="23">
        <v>0</v>
      </c>
      <c r="AW46" s="23">
        <v>0</v>
      </c>
      <c r="AX46" s="23">
        <v>0</v>
      </c>
    </row>
    <row r="47" spans="7:50" x14ac:dyDescent="0.25">
      <c r="AI47" s="23">
        <v>0</v>
      </c>
      <c r="AJ47" s="23">
        <v>0</v>
      </c>
      <c r="AK47" s="23">
        <v>0</v>
      </c>
      <c r="AL47" s="23">
        <v>0</v>
      </c>
      <c r="AM47" s="23">
        <v>0</v>
      </c>
      <c r="AN47" s="23">
        <v>0</v>
      </c>
      <c r="AO47" s="23">
        <v>0</v>
      </c>
      <c r="AP47" s="23">
        <v>0</v>
      </c>
      <c r="AQ47" s="23">
        <v>0</v>
      </c>
      <c r="AR47" s="23">
        <v>0</v>
      </c>
      <c r="AS47" s="23">
        <v>0</v>
      </c>
      <c r="AT47" s="23">
        <v>0</v>
      </c>
      <c r="AU47" s="23">
        <v>0</v>
      </c>
      <c r="AV47" s="23">
        <v>0</v>
      </c>
      <c r="AW47" s="23">
        <v>0</v>
      </c>
      <c r="AX47" s="23">
        <v>0</v>
      </c>
    </row>
    <row r="48" spans="7:50" x14ac:dyDescent="0.25">
      <c r="AL48" s="23">
        <v>0</v>
      </c>
      <c r="AM48" s="23">
        <v>0</v>
      </c>
      <c r="AN48" s="23">
        <v>0</v>
      </c>
      <c r="AO48" s="23">
        <v>0</v>
      </c>
      <c r="AP48" s="23">
        <v>0</v>
      </c>
      <c r="AQ48" s="23">
        <v>0</v>
      </c>
      <c r="AR48" s="23">
        <v>0</v>
      </c>
      <c r="AS48" s="23">
        <v>0</v>
      </c>
      <c r="AT48" s="23">
        <v>0</v>
      </c>
      <c r="AU48" s="23">
        <v>0</v>
      </c>
      <c r="AV48" s="23">
        <v>0</v>
      </c>
      <c r="AW48" s="23">
        <v>0</v>
      </c>
      <c r="AX48" s="23">
        <v>0</v>
      </c>
    </row>
    <row r="49" spans="42:50" x14ac:dyDescent="0.25">
      <c r="AP49" s="23">
        <v>0</v>
      </c>
      <c r="AQ49" s="23">
        <v>0</v>
      </c>
      <c r="AR49" s="23">
        <v>0</v>
      </c>
      <c r="AS49" s="23">
        <v>0</v>
      </c>
      <c r="AT49" s="23">
        <v>0</v>
      </c>
      <c r="AU49" s="23">
        <v>0</v>
      </c>
      <c r="AV49" s="23">
        <v>0</v>
      </c>
      <c r="AW49" s="23">
        <v>0</v>
      </c>
      <c r="AX49" s="23">
        <v>0</v>
      </c>
    </row>
    <row r="50" spans="42:50" x14ac:dyDescent="0.25">
      <c r="AT50" s="23">
        <v>0</v>
      </c>
      <c r="AU50" s="23">
        <v>0</v>
      </c>
      <c r="AV50" s="23">
        <v>0</v>
      </c>
      <c r="AW50" s="23">
        <v>0</v>
      </c>
      <c r="AX50" s="23">
        <v>0</v>
      </c>
    </row>
    <row r="51" spans="42:50" x14ac:dyDescent="0.25">
      <c r="AX51" s="23">
        <v>0</v>
      </c>
    </row>
  </sheetData>
  <mergeCells count="1">
    <mergeCell ref="A1:C3"/>
  </mergeCells>
  <conditionalFormatting sqref="A4:XFD1048576 A1 D1:XFD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AX52"/>
  <sheetViews>
    <sheetView zoomScale="70" zoomScaleNormal="70" workbookViewId="0">
      <selection activeCell="E36" sqref="E36"/>
    </sheetView>
  </sheetViews>
  <sheetFormatPr baseColWidth="10" defaultColWidth="11.42578125" defaultRowHeight="15" x14ac:dyDescent="0.25"/>
  <cols>
    <col min="1" max="1" width="13.85546875" style="23" customWidth="1"/>
    <col min="2" max="16384" width="11.42578125" style="23"/>
  </cols>
  <sheetData>
    <row r="1" spans="1:50" x14ac:dyDescent="0.25">
      <c r="A1" s="47" t="s">
        <v>27</v>
      </c>
      <c r="B1" s="47"/>
      <c r="C1" s="47"/>
    </row>
    <row r="2" spans="1:50" x14ac:dyDescent="0.25">
      <c r="A2" s="47"/>
      <c r="B2" s="47"/>
      <c r="C2" s="47"/>
    </row>
    <row r="3" spans="1:50" x14ac:dyDescent="0.25">
      <c r="A3" s="47"/>
      <c r="B3" s="47"/>
      <c r="C3" s="47"/>
    </row>
    <row r="5" spans="1:50" x14ac:dyDescent="0.25">
      <c r="AV5" s="23">
        <v>1.7775645746847518E-9</v>
      </c>
      <c r="AW5" s="23">
        <v>3.8046042153122236E-9</v>
      </c>
      <c r="AX5" s="23">
        <v>6.3266910501223087E-9</v>
      </c>
    </row>
    <row r="6" spans="1:50" x14ac:dyDescent="0.25">
      <c r="AR6" s="23">
        <v>1.8983144287064057E-9</v>
      </c>
      <c r="AS6" s="23">
        <v>4.1515976500682388E-9</v>
      </c>
      <c r="AT6" s="23">
        <v>7.0605179572384364E-9</v>
      </c>
      <c r="AU6" s="23">
        <v>1.0930953299088659E-8</v>
      </c>
      <c r="AV6" s="23">
        <v>1.2465074947297493E-8</v>
      </c>
      <c r="AW6" s="23">
        <v>1.5509317523640508E-8</v>
      </c>
      <c r="AX6" s="23">
        <v>1.9992443325946825E-8</v>
      </c>
    </row>
    <row r="7" spans="1:50" x14ac:dyDescent="0.25">
      <c r="AN7" s="23">
        <v>1.805244807372816E-9</v>
      </c>
      <c r="AO7" s="23">
        <v>4.1222049417192574E-9</v>
      </c>
      <c r="AP7" s="23">
        <v>7.2848743276406075E-9</v>
      </c>
      <c r="AQ7" s="23">
        <v>1.1673492295415477E-8</v>
      </c>
      <c r="AR7" s="23">
        <v>1.3856336930372565E-8</v>
      </c>
      <c r="AS7" s="23">
        <v>1.7888110778815445E-8</v>
      </c>
      <c r="AT7" s="23">
        <v>2.380085009086687E-8</v>
      </c>
      <c r="AU7" s="23">
        <v>3.18446714347714E-8</v>
      </c>
      <c r="AV7" s="23">
        <v>4.4276278100859616E-8</v>
      </c>
      <c r="AW7" s="23">
        <v>5.9365880207310657E-8</v>
      </c>
      <c r="AX7" s="23">
        <v>7.8135836089063284E-8</v>
      </c>
    </row>
    <row r="8" spans="1:50" x14ac:dyDescent="0.25">
      <c r="AK8" s="23">
        <v>2.7451859933951978E-9</v>
      </c>
      <c r="AL8" s="23">
        <v>6.2519660342698622E-9</v>
      </c>
      <c r="AM8" s="23">
        <v>1.1101170086222479E-8</v>
      </c>
      <c r="AN8" s="23">
        <v>1.4247911656814974E-8</v>
      </c>
      <c r="AO8" s="23">
        <v>1.9448515035861236E-8</v>
      </c>
      <c r="AP8" s="23">
        <v>2.698736166128225E-8</v>
      </c>
      <c r="AQ8" s="23">
        <v>3.7356288334626665E-8</v>
      </c>
      <c r="AR8" s="23">
        <v>5.3201380349629766E-8</v>
      </c>
      <c r="AS8" s="23">
        <v>7.3034168524203271E-8</v>
      </c>
      <c r="AT8" s="23">
        <v>9.8261396713523286E-8</v>
      </c>
      <c r="AU8" s="23">
        <v>1.3025536565750988E-7</v>
      </c>
      <c r="AV8" s="23">
        <v>1.704766897934469E-7</v>
      </c>
      <c r="AW8" s="23">
        <v>2.2084840726424518E-7</v>
      </c>
      <c r="AX8" s="23">
        <v>2.8297693410624382E-7</v>
      </c>
    </row>
    <row r="9" spans="1:50" x14ac:dyDescent="0.25">
      <c r="AG9" s="23">
        <v>2.1796654510273624E-9</v>
      </c>
      <c r="AH9" s="23">
        <v>5.2776223046152391E-9</v>
      </c>
      <c r="AI9" s="23">
        <v>9.9161033228009415E-9</v>
      </c>
      <c r="AJ9" s="23">
        <v>1.6881243201216573E-8</v>
      </c>
      <c r="AK9" s="23">
        <v>2.1564588652863359E-8</v>
      </c>
      <c r="AL9" s="23">
        <v>2.9819689132282388E-8</v>
      </c>
      <c r="AM9" s="23">
        <v>4.2110294398803089E-8</v>
      </c>
      <c r="AN9" s="23">
        <v>6.1191789431323416E-8</v>
      </c>
      <c r="AO9" s="23">
        <v>8.623290657563236E-8</v>
      </c>
      <c r="AP9" s="23">
        <v>1.1909241314032639E-7</v>
      </c>
      <c r="AQ9" s="23">
        <v>1.6176639650756287E-7</v>
      </c>
      <c r="AR9" s="23">
        <v>2.1648164594330375E-7</v>
      </c>
      <c r="AS9" s="23">
        <v>2.860813740341334E-7</v>
      </c>
      <c r="AT9" s="23">
        <v>3.7320425135630324E-7</v>
      </c>
      <c r="AU9" s="23">
        <v>4.8094418341334519E-7</v>
      </c>
      <c r="AV9" s="23">
        <v>6.1276935219834047E-7</v>
      </c>
      <c r="AW9" s="23">
        <v>7.7249199546073922E-7</v>
      </c>
      <c r="AX9" s="23">
        <v>9.6430911943420705E-7</v>
      </c>
    </row>
    <row r="10" spans="1:50" x14ac:dyDescent="0.25">
      <c r="AD10" s="23">
        <v>2.7721301674168322E-9</v>
      </c>
      <c r="AE10" s="23">
        <v>6.9154255130001163E-9</v>
      </c>
      <c r="AF10" s="23">
        <v>1.3403631908591057E-8</v>
      </c>
      <c r="AG10" s="23">
        <v>1.905057187313513E-8</v>
      </c>
      <c r="AH10" s="23">
        <v>2.8523869180675224E-8</v>
      </c>
      <c r="AI10" s="23">
        <v>4.2831422169911795E-8</v>
      </c>
      <c r="AJ10" s="23">
        <v>6.3409845900441105E-8</v>
      </c>
      <c r="AK10" s="23">
        <v>9.4975831614099203E-8</v>
      </c>
      <c r="AL10" s="23">
        <v>1.3671644606380648E-7</v>
      </c>
      <c r="AM10" s="23">
        <v>1.9201609636842359E-7</v>
      </c>
      <c r="AN10" s="23">
        <v>2.6448051550340302E-7</v>
      </c>
      <c r="AO10" s="23">
        <v>3.5843672513143728E-7</v>
      </c>
      <c r="AP10" s="23">
        <v>4.7824136365188253E-7</v>
      </c>
      <c r="AQ10" s="23">
        <v>6.288889747635866E-7</v>
      </c>
      <c r="AR10" s="23">
        <v>8.1595663177659932E-7</v>
      </c>
      <c r="AS10" s="23">
        <v>1.0455789108240633E-6</v>
      </c>
      <c r="AT10" s="23">
        <v>1.3244876848659705E-6</v>
      </c>
      <c r="AU10" s="23">
        <v>1.6598864806753996E-6</v>
      </c>
      <c r="AV10" s="23">
        <v>2.0594675830535928E-6</v>
      </c>
      <c r="AW10" s="23">
        <v>2.5313933801964542E-6</v>
      </c>
      <c r="AX10" s="23">
        <v>3.0842637621793676E-6</v>
      </c>
    </row>
    <row r="11" spans="1:50" x14ac:dyDescent="0.25">
      <c r="AA11" s="23">
        <v>3.2369170680107886E-9</v>
      </c>
      <c r="AB11" s="23">
        <v>8.4241070310753203E-9</v>
      </c>
      <c r="AC11" s="23">
        <v>1.7046933670133017E-8</v>
      </c>
      <c r="AD11" s="23">
        <v>2.5478775045310357E-8</v>
      </c>
      <c r="AE11" s="23">
        <v>3.9898568026798753E-8</v>
      </c>
      <c r="AF11" s="23">
        <v>6.2205540580683259E-8</v>
      </c>
      <c r="AG11" s="23">
        <v>9.7312748195447577E-8</v>
      </c>
      <c r="AH11" s="23">
        <v>1.4646275923657128E-7</v>
      </c>
      <c r="AI11" s="23">
        <v>2.1435832663677421E-7</v>
      </c>
      <c r="AJ11" s="23">
        <v>3.0638646443877007E-7</v>
      </c>
      <c r="AK11" s="23">
        <v>4.2875270672440195E-7</v>
      </c>
      <c r="AL11" s="23">
        <v>5.8904004808551073E-7</v>
      </c>
      <c r="AM11" s="23">
        <v>7.9506121907122737E-7</v>
      </c>
      <c r="AN11" s="23">
        <v>1.0557504880363204E-6</v>
      </c>
      <c r="AO11" s="23">
        <v>1.3810342868967166E-6</v>
      </c>
      <c r="AP11" s="23">
        <v>1.7818152763584402E-6</v>
      </c>
      <c r="AQ11" s="23">
        <v>2.2698192146657055E-6</v>
      </c>
      <c r="AR11" s="23">
        <v>2.8575699828480982E-6</v>
      </c>
      <c r="AS11" s="23">
        <v>3.5583317950750223E-6</v>
      </c>
      <c r="AT11" s="23">
        <v>4.3860356322294795E-6</v>
      </c>
      <c r="AU11" s="23">
        <v>5.3552065529171055E-6</v>
      </c>
      <c r="AV11" s="23">
        <v>6.4808638886099293E-6</v>
      </c>
      <c r="AW11" s="23">
        <v>7.7784289708973753E-6</v>
      </c>
      <c r="AX11" s="23">
        <v>9.2636326976394218E-6</v>
      </c>
    </row>
    <row r="12" spans="1:50" x14ac:dyDescent="0.25">
      <c r="X12" s="23">
        <v>3.3334011195340815E-9</v>
      </c>
      <c r="Y12" s="23">
        <v>9.2418865526512929E-9</v>
      </c>
      <c r="Z12" s="23">
        <v>1.9905093636182497E-8</v>
      </c>
      <c r="AA12" s="23">
        <v>3.1898099257429804E-8</v>
      </c>
      <c r="AB12" s="23">
        <v>5.3025198994211927E-8</v>
      </c>
      <c r="AC12" s="23">
        <v>8.680054208532551E-8</v>
      </c>
      <c r="AD12" s="23">
        <v>1.4090988636969348E-7</v>
      </c>
      <c r="AE12" s="23">
        <v>2.1897489672113908E-7</v>
      </c>
      <c r="AF12" s="23">
        <v>3.2934599233438313E-7</v>
      </c>
      <c r="AG12" s="23">
        <v>4.8174745407826083E-7</v>
      </c>
      <c r="AH12" s="23">
        <v>6.8784023215059827E-7</v>
      </c>
      <c r="AI12" s="23">
        <v>9.604152457577619E-7</v>
      </c>
      <c r="AJ12" s="23">
        <v>1.3140416620795302E-6</v>
      </c>
      <c r="AK12" s="23">
        <v>1.7649591661736616E-6</v>
      </c>
      <c r="AL12" s="23">
        <v>2.3309809749239999E-6</v>
      </c>
      <c r="AM12" s="23">
        <v>3.031467269938019E-6</v>
      </c>
      <c r="AN12" s="23">
        <v>3.8870496080785095E-6</v>
      </c>
      <c r="AO12" s="23">
        <v>4.9195381959100757E-6</v>
      </c>
      <c r="AP12" s="23">
        <v>6.1517719447595277E-6</v>
      </c>
      <c r="AQ12" s="23">
        <v>7.6074537744620427E-6</v>
      </c>
      <c r="AR12" s="23">
        <v>9.3109557740763729E-6</v>
      </c>
      <c r="AS12" s="23">
        <v>1.1287129986694011E-5</v>
      </c>
      <c r="AT12" s="23">
        <v>1.356112118647106E-5</v>
      </c>
      <c r="AU12" s="23">
        <v>1.6158183056186058E-5</v>
      </c>
      <c r="AV12" s="23">
        <v>1.9103501921313255E-5</v>
      </c>
      <c r="AW12" s="23">
        <v>2.2422026172161684E-5</v>
      </c>
      <c r="AX12" s="23">
        <v>2.613830609576568E-5</v>
      </c>
    </row>
    <row r="13" spans="1:50" x14ac:dyDescent="0.25">
      <c r="U13" s="23">
        <v>2.8154964133134485E-9</v>
      </c>
      <c r="V13" s="23">
        <v>8.6473949706314369E-9</v>
      </c>
      <c r="W13" s="23">
        <v>2.0498412537969268E-8</v>
      </c>
      <c r="X13" s="23">
        <v>3.6333632689104992E-8</v>
      </c>
      <c r="Y13" s="23">
        <v>6.5572311863415348E-8</v>
      </c>
      <c r="Z13" s="23">
        <v>1.1455938799484216E-7</v>
      </c>
      <c r="AA13" s="23">
        <v>1.9531675020335717E-7</v>
      </c>
      <c r="AB13" s="23">
        <v>3.1641082494664999E-7</v>
      </c>
      <c r="AC13" s="23">
        <v>4.9279638542659404E-7</v>
      </c>
      <c r="AD13" s="23">
        <v>7.4218962524834055E-7</v>
      </c>
      <c r="AE13" s="23">
        <v>1.0857584549573599E-6</v>
      </c>
      <c r="AF13" s="23">
        <v>1.5470768201253818E-6</v>
      </c>
      <c r="AG13" s="23">
        <v>2.1528311487334059E-6</v>
      </c>
      <c r="AH13" s="23">
        <v>2.9325725059027954E-6</v>
      </c>
      <c r="AI13" s="23">
        <v>3.9185212367630829E-6</v>
      </c>
      <c r="AJ13" s="23">
        <v>5.145162374657497E-6</v>
      </c>
      <c r="AK13" s="23">
        <v>6.6489498412298566E-6</v>
      </c>
      <c r="AL13" s="23">
        <v>8.4679536342417273E-6</v>
      </c>
      <c r="AM13" s="23">
        <v>1.0641479372994706E-5</v>
      </c>
      <c r="AN13" s="23">
        <v>1.3209691206376955E-5</v>
      </c>
      <c r="AO13" s="23">
        <v>1.621320571130128E-5</v>
      </c>
      <c r="AP13" s="23">
        <v>1.9692710497288021E-5</v>
      </c>
      <c r="AQ13" s="23">
        <v>2.3688602002997308E-5</v>
      </c>
      <c r="AR13" s="23">
        <v>2.8240646848432003E-5</v>
      </c>
      <c r="AS13" s="23">
        <v>3.3387666846256732E-5</v>
      </c>
      <c r="AT13" s="23">
        <v>3.9167253326873679E-5</v>
      </c>
      <c r="AU13" s="23">
        <v>4.5615513070647453E-5</v>
      </c>
      <c r="AV13" s="23">
        <v>5.2766846719848365E-5</v>
      </c>
      <c r="AW13" s="23">
        <v>6.0653759977905853E-5</v>
      </c>
      <c r="AX13" s="23">
        <v>6.9306706443332791E-5</v>
      </c>
    </row>
    <row r="14" spans="1:50" x14ac:dyDescent="0.25">
      <c r="R14" s="23">
        <v>1.6602353367405365E-9</v>
      </c>
      <c r="S14" s="23">
        <v>6.2016491678943946E-9</v>
      </c>
      <c r="T14" s="23">
        <v>1.7313610006627365E-8</v>
      </c>
      <c r="U14" s="23">
        <v>3.5862669454007931E-8</v>
      </c>
      <c r="V14" s="23">
        <v>7.2876632117991769E-8</v>
      </c>
      <c r="W14" s="23">
        <v>1.3940312518902281E-7</v>
      </c>
      <c r="X14" s="23">
        <v>2.5429185968676108E-7</v>
      </c>
      <c r="Y14" s="23">
        <v>4.356780481251703E-7</v>
      </c>
      <c r="Z14" s="23">
        <v>7.105754585815843E-7</v>
      </c>
      <c r="AA14" s="23">
        <v>1.1115963384444599E-6</v>
      </c>
      <c r="AB14" s="23">
        <v>1.6776860842930723E-6</v>
      </c>
      <c r="AC14" s="23">
        <v>2.4527955978836875E-6</v>
      </c>
      <c r="AD14" s="23">
        <v>3.4864011167823213E-6</v>
      </c>
      <c r="AE14" s="23">
        <v>4.8328934564440781E-6</v>
      </c>
      <c r="AF14" s="23">
        <v>6.5509743518039082E-6</v>
      </c>
      <c r="AG14" s="23">
        <v>8.7027598370623143E-6</v>
      </c>
      <c r="AH14" s="23">
        <v>1.135300381540823E-5</v>
      </c>
      <c r="AI14" s="23">
        <v>1.4568258073025254E-5</v>
      </c>
      <c r="AJ14" s="23">
        <v>1.8416030956907042E-5</v>
      </c>
      <c r="AK14" s="23">
        <v>2.2963943471101233E-5</v>
      </c>
      <c r="AL14" s="23">
        <v>2.8278937809260728E-5</v>
      </c>
      <c r="AM14" s="23">
        <v>3.4426545922251217E-5</v>
      </c>
      <c r="AN14" s="23">
        <v>4.1470227435541342E-5</v>
      </c>
      <c r="AO14" s="23">
        <v>4.94707863651992E-5</v>
      </c>
      <c r="AP14" s="23">
        <v>5.8485864669799248E-5</v>
      </c>
      <c r="AQ14" s="23">
        <v>6.8569517476281105E-5</v>
      </c>
      <c r="AR14" s="23">
        <v>7.9771868892237178E-5</v>
      </c>
      <c r="AS14" s="23">
        <v>9.2138845190952562E-5</v>
      </c>
      <c r="AT14" s="23">
        <v>1.0571198010602105E-4</v>
      </c>
      <c r="AU14" s="23">
        <v>1.2052828672196726E-4</v>
      </c>
      <c r="AV14" s="23">
        <v>1.3662018991095906E-4</v>
      </c>
      <c r="AW14" s="23">
        <v>1.5401551292800814E-4</v>
      </c>
      <c r="AX14" s="23">
        <v>1.7273751173102941E-4</v>
      </c>
    </row>
    <row r="15" spans="1:50" x14ac:dyDescent="0.25">
      <c r="P15" s="23">
        <v>2.4202772154344042E-9</v>
      </c>
      <c r="Q15" s="23">
        <v>1.0209449034856544E-8</v>
      </c>
      <c r="R15" s="23">
        <v>2.7926964346146794E-8</v>
      </c>
      <c r="S15" s="23">
        <v>6.8331877625902182E-8</v>
      </c>
      <c r="T15" s="23">
        <v>1.4956209222186545E-7</v>
      </c>
      <c r="U15" s="23">
        <v>3.0113960457162532E-7</v>
      </c>
      <c r="V15" s="23">
        <v>5.5851030374336991E-7</v>
      </c>
      <c r="W15" s="23">
        <v>9.7077463533422637E-7</v>
      </c>
      <c r="X15" s="23">
        <v>1.5986096821490647E-6</v>
      </c>
      <c r="Y15" s="23">
        <v>2.5148204383436187E-6</v>
      </c>
      <c r="Z15" s="23">
        <v>3.8025545579614968E-6</v>
      </c>
      <c r="AA15" s="23">
        <v>5.5549935404460044E-6</v>
      </c>
      <c r="AB15" s="23">
        <v>7.8737679165113809E-6</v>
      </c>
      <c r="AC15" s="23">
        <v>1.0867258094339379E-5</v>
      </c>
      <c r="AD15" s="23">
        <v>1.4648516714525533E-5</v>
      </c>
      <c r="AE15" s="23">
        <v>1.9333335169999725E-5</v>
      </c>
      <c r="AF15" s="23">
        <v>2.5038302625940136E-5</v>
      </c>
      <c r="AG15" s="23">
        <v>3.1878964938481788E-5</v>
      </c>
      <c r="AH15" s="23">
        <v>3.9968102269812865E-5</v>
      </c>
      <c r="AI15" s="23">
        <v>4.9414203890039819E-5</v>
      </c>
      <c r="AJ15" s="23">
        <v>6.0320152321424454E-5</v>
      </c>
      <c r="AK15" s="23">
        <v>7.2782126262406071E-5</v>
      </c>
      <c r="AL15" s="23">
        <v>8.6888717619724331E-5</v>
      </c>
      <c r="AM15" s="23">
        <v>1.0272025793518939E-4</v>
      </c>
      <c r="AN15" s="23">
        <v>1.2034834156718051E-4</v>
      </c>
      <c r="AO15" s="23">
        <v>1.3983552882252683E-4</v>
      </c>
      <c r="AP15" s="23">
        <v>1.6123521042273116E-4</v>
      </c>
      <c r="AQ15" s="23">
        <v>1.8459161257535419E-4</v>
      </c>
      <c r="AR15" s="23">
        <v>2.0993992276446729E-4</v>
      </c>
      <c r="AS15" s="23">
        <v>2.3730651695842524E-4</v>
      </c>
      <c r="AT15" s="23">
        <v>2.6670926996700845E-4</v>
      </c>
      <c r="AU15" s="23">
        <v>2.9815793193707819E-4</v>
      </c>
      <c r="AV15" s="23">
        <v>3.3165455558929264E-4</v>
      </c>
      <c r="AW15" s="23">
        <v>3.671939604955096E-4</v>
      </c>
      <c r="AX15" s="23">
        <v>4.047642223848981E-4</v>
      </c>
    </row>
    <row r="16" spans="1:50" x14ac:dyDescent="0.25">
      <c r="N16" s="23">
        <v>2.8496314640093838E-9</v>
      </c>
      <c r="O16" s="23">
        <v>1.4883249581783015E-8</v>
      </c>
      <c r="P16" s="23">
        <v>4.7898723123346604E-8</v>
      </c>
      <c r="Q16" s="23">
        <v>1.2988357652598972E-7</v>
      </c>
      <c r="R16" s="23">
        <v>3.057220528494374E-7</v>
      </c>
      <c r="S16" s="23">
        <v>6.3961165045295267E-7</v>
      </c>
      <c r="T16" s="23">
        <v>1.2205612808302472E-6</v>
      </c>
      <c r="U16" s="23">
        <v>2.1624110422666611E-6</v>
      </c>
      <c r="V16" s="23">
        <v>3.6037052119346689E-6</v>
      </c>
      <c r="W16" s="23">
        <v>5.7046970297810092E-6</v>
      </c>
      <c r="X16" s="23">
        <v>8.6445704497756654E-6</v>
      </c>
      <c r="Y16" s="23">
        <v>1.2617146336753604E-5</v>
      </c>
      <c r="Z16" s="23">
        <v>1.7826226808489716E-5</v>
      </c>
      <c r="AA16" s="23">
        <v>2.448056023838189E-5</v>
      </c>
      <c r="AB16" s="23">
        <v>3.278911737663194E-5</v>
      </c>
      <c r="AC16" s="23">
        <v>4.2956674539740172E-5</v>
      </c>
      <c r="AD16" s="23">
        <v>5.5179894599230972E-5</v>
      </c>
      <c r="AE16" s="23">
        <v>6.9643958245600338E-5</v>
      </c>
      <c r="AF16" s="23">
        <v>8.651983285768736E-5</v>
      </c>
      <c r="AG16" s="23">
        <v>1.0596216945048207E-4</v>
      </c>
      <c r="AH16" s="23">
        <v>1.2810779941981851E-4</v>
      </c>
      <c r="AI16" s="23">
        <v>1.5307477705739638E-4</v>
      </c>
      <c r="AJ16" s="23">
        <v>1.8096191069959938E-4</v>
      </c>
      <c r="AK16" s="23">
        <v>2.1184871640365598E-4</v>
      </c>
      <c r="AL16" s="23">
        <v>2.4579572653598544E-4</v>
      </c>
      <c r="AM16" s="23">
        <v>2.8284508688686727E-4</v>
      </c>
      <c r="AN16" s="23">
        <v>3.2302138100453364E-4</v>
      </c>
      <c r="AO16" s="23">
        <v>3.663326262332987E-4</v>
      </c>
      <c r="AP16" s="23">
        <v>4.1277139235441391E-4</v>
      </c>
      <c r="AQ16" s="23">
        <v>4.6231600043494472E-4</v>
      </c>
      <c r="AR16" s="23">
        <v>5.1493176584964709E-4</v>
      </c>
      <c r="AS16" s="23">
        <v>5.7057225563471737E-4</v>
      </c>
      <c r="AT16" s="23">
        <v>6.2918053597871466E-4</v>
      </c>
      <c r="AU16" s="23">
        <v>6.9069039068600003E-4</v>
      </c>
      <c r="AV16" s="23">
        <v>7.5502749583485616E-4</v>
      </c>
      <c r="AW16" s="23">
        <v>8.2211053963419847E-4</v>
      </c>
      <c r="AX16" s="23">
        <v>8.9185227970229024E-4</v>
      </c>
    </row>
    <row r="17" spans="1:50" x14ac:dyDescent="0.25">
      <c r="L17" s="23">
        <v>2.1030075167442306E-9</v>
      </c>
      <c r="M17" s="23">
        <v>1.7523520043276757E-8</v>
      </c>
      <c r="N17" s="23">
        <v>7.3999515706930311E-8</v>
      </c>
      <c r="O17" s="23">
        <v>2.3353909200813692E-7</v>
      </c>
      <c r="P17" s="23">
        <v>6.0235997515895655E-7</v>
      </c>
      <c r="Q17" s="23">
        <v>1.3368673971887811E-6</v>
      </c>
      <c r="R17" s="23">
        <v>2.6506853909796699E-6</v>
      </c>
      <c r="S17" s="23">
        <v>4.8120660775962601E-6</v>
      </c>
      <c r="T17" s="23">
        <v>8.1371446519755497E-6</v>
      </c>
      <c r="U17" s="23">
        <v>1.2980228740946007E-5</v>
      </c>
      <c r="V17" s="23">
        <v>1.9721634609665317E-5</v>
      </c>
      <c r="W17" s="23">
        <v>2.8754761741814668E-5</v>
      </c>
      <c r="X17" s="23">
        <v>4.0473259349811392E-5</v>
      </c>
      <c r="Y17" s="23">
        <v>5.5259419035593931E-5</v>
      </c>
      <c r="Z17" s="23">
        <v>7.3474171894952694E-5</v>
      </c>
      <c r="AA17" s="23">
        <v>9.5449003229183143E-5</v>
      </c>
      <c r="AB17" s="23">
        <v>1.2147982027592507E-4</v>
      </c>
      <c r="AC17" s="23">
        <v>1.5182274245500272E-4</v>
      </c>
      <c r="AD17" s="23">
        <v>1.8669163239887784E-4</v>
      </c>
      <c r="AE17" s="23">
        <v>2.26257140786351E-4</v>
      </c>
      <c r="AF17" s="23">
        <v>2.7064700769326963E-4</v>
      </c>
      <c r="AG17" s="23">
        <v>3.1994737280620361E-4</v>
      </c>
      <c r="AH17" s="23">
        <v>3.7420485845826947E-4</v>
      </c>
      <c r="AI17" s="23">
        <v>4.3342921316634584E-4</v>
      </c>
      <c r="AJ17" s="23">
        <v>4.9759633060103504E-4</v>
      </c>
      <c r="AK17" s="23">
        <v>5.6665148926932497E-4</v>
      </c>
      <c r="AL17" s="23">
        <v>6.4051268675087045E-4</v>
      </c>
      <c r="AM17" s="23">
        <v>7.1907396856290607E-4</v>
      </c>
      <c r="AN17" s="23">
        <v>8.022086748553167E-4</v>
      </c>
      <c r="AO17" s="23">
        <v>8.8977254820349339E-4</v>
      </c>
      <c r="AP17" s="23">
        <v>9.8160666262616671E-4</v>
      </c>
      <c r="AQ17" s="23">
        <v>1.0775401477895556E-3</v>
      </c>
      <c r="AR17" s="23">
        <v>1.1773926934890713E-3</v>
      </c>
      <c r="AS17" s="23">
        <v>1.2809768282192706E-3</v>
      </c>
      <c r="AT17" s="23">
        <v>1.3880999723532993E-3</v>
      </c>
      <c r="AU17" s="23">
        <v>1.4985662714695836E-3</v>
      </c>
      <c r="AV17" s="23">
        <v>1.6121782189672598E-3</v>
      </c>
      <c r="AW17" s="23">
        <v>1.7287380795967776E-3</v>
      </c>
      <c r="AX17" s="23">
        <v>1.8480491270908266E-3</v>
      </c>
    </row>
    <row r="18" spans="1:50" x14ac:dyDescent="0.25">
      <c r="K18" s="23">
        <v>1.2932231706543152E-8</v>
      </c>
      <c r="L18" s="23">
        <v>9.4826879808551966E-8</v>
      </c>
      <c r="M18" s="23">
        <v>3.8322030437086936E-7</v>
      </c>
      <c r="N18" s="23">
        <v>1.132786984344325E-6</v>
      </c>
      <c r="O18" s="23">
        <v>2.7312002264272222E-6</v>
      </c>
      <c r="P18" s="23">
        <v>5.7014395153565564E-6</v>
      </c>
      <c r="Q18" s="23">
        <v>1.0683644106365215E-5</v>
      </c>
      <c r="R18" s="23">
        <v>1.8404580079996595E-5</v>
      </c>
      <c r="S18" s="23">
        <v>2.9641251800382709E-5</v>
      </c>
      <c r="T18" s="23">
        <v>4.518306217663071E-5</v>
      </c>
      <c r="U18" s="23">
        <v>6.5796797637433105E-5</v>
      </c>
      <c r="V18" s="23">
        <v>9.2197139645820988E-5</v>
      </c>
      <c r="W18" s="23">
        <v>1.2502387579820589E-4</v>
      </c>
      <c r="X18" s="23">
        <v>1.6482604631220174E-4</v>
      </c>
      <c r="Y18" s="23">
        <v>2.1205252230435833E-4</v>
      </c>
      <c r="Z18" s="23">
        <v>2.6704817930640694E-4</v>
      </c>
      <c r="AA18" s="23">
        <v>3.3005461842482641E-4</v>
      </c>
      <c r="AB18" s="23">
        <v>4.0121437727852211E-4</v>
      </c>
      <c r="AC18" s="23">
        <v>4.8057764247525761E-4</v>
      </c>
      <c r="AD18" s="23">
        <v>5.6811061247012229E-4</v>
      </c>
      <c r="AE18" s="23">
        <v>6.6370480397728393E-4</v>
      </c>
      <c r="AF18" s="23">
        <v>7.6718674196242422E-4</v>
      </c>
      <c r="AG18" s="23">
        <v>8.7832760689298122E-4</v>
      </c>
      <c r="AH18" s="23">
        <v>9.9685253087768069E-4</v>
      </c>
      <c r="AI18" s="23">
        <v>1.1224493317169891E-3</v>
      </c>
      <c r="AJ18" s="23">
        <v>1.2547765520677717E-3</v>
      </c>
      <c r="AK18" s="23">
        <v>1.393470731569157E-3</v>
      </c>
      <c r="AL18" s="23">
        <v>1.5381528856139265E-3</v>
      </c>
      <c r="AM18" s="23">
        <v>1.6884341978262375E-3</v>
      </c>
      <c r="AN18" s="23">
        <v>1.8439209565797028E-3</v>
      </c>
      <c r="AO18" s="23">
        <v>2.0042187812165011E-3</v>
      </c>
      <c r="AP18" s="23">
        <v>2.1689361928626887E-3</v>
      </c>
      <c r="AQ18" s="23">
        <v>2.3376875894078292E-3</v>
      </c>
      <c r="AR18" s="23">
        <v>2.5100956855649351E-3</v>
      </c>
      <c r="AS18" s="23">
        <v>2.6857934779213628E-3</v>
      </c>
      <c r="AT18" s="23">
        <v>2.8644257922861801E-3</v>
      </c>
      <c r="AU18" s="23">
        <v>3.0456504670183871E-3</v>
      </c>
      <c r="AV18" s="23">
        <v>3.2291392218265331E-3</v>
      </c>
      <c r="AW18" s="23">
        <v>3.414578257058713E-3</v>
      </c>
      <c r="AX18" s="23">
        <v>3.6016686240062778E-3</v>
      </c>
    </row>
    <row r="19" spans="1:50" x14ac:dyDescent="0.25">
      <c r="J19" s="23">
        <v>7.9525448948779395E-8</v>
      </c>
      <c r="K19" s="23">
        <v>5.3011662925980871E-7</v>
      </c>
      <c r="L19" s="23">
        <v>1.9678611348861596E-6</v>
      </c>
      <c r="M19" s="23">
        <v>5.3766629635271502E-6</v>
      </c>
      <c r="N19" s="23">
        <v>1.2074016109196786E-5</v>
      </c>
      <c r="O19" s="23">
        <v>2.3619453656149029E-5</v>
      </c>
      <c r="P19" s="23">
        <v>4.1694104443970539E-5</v>
      </c>
      <c r="Q19" s="23">
        <v>6.7978832746595116E-5</v>
      </c>
      <c r="R19" s="23">
        <v>1.0404824660237085E-4</v>
      </c>
      <c r="S19" s="23">
        <v>1.5128989047848021E-4</v>
      </c>
      <c r="T19" s="23">
        <v>2.1085111984098251E-4</v>
      </c>
      <c r="U19" s="23">
        <v>2.8361149612132503E-4</v>
      </c>
      <c r="V19" s="23">
        <v>3.7017630208772083E-4</v>
      </c>
      <c r="W19" s="23">
        <v>4.7088604269198201E-4</v>
      </c>
      <c r="X19" s="23">
        <v>5.8583697154152188E-4</v>
      </c>
      <c r="Y19" s="23">
        <v>7.1490837188621257E-4</v>
      </c>
      <c r="Z19" s="23">
        <v>8.5779318193165369E-4</v>
      </c>
      <c r="AA19" s="23">
        <v>1.0140294246552015E-3</v>
      </c>
      <c r="AB19" s="23">
        <v>1.1830306642355204E-3</v>
      </c>
      <c r="AC19" s="23">
        <v>1.3641143380203726E-3</v>
      </c>
      <c r="AD19" s="23">
        <v>1.5565272973590886E-3</v>
      </c>
      <c r="AE19" s="23">
        <v>1.7594682496118615E-3</v>
      </c>
      <c r="AF19" s="23">
        <v>1.9721070453491475E-3</v>
      </c>
      <c r="AG19" s="23">
        <v>2.1936009221157284E-3</v>
      </c>
      <c r="AH19" s="23">
        <v>2.4231079193270362E-3</v>
      </c>
      <c r="AI19" s="23">
        <v>2.6597977355174805E-3</v>
      </c>
      <c r="AJ19" s="23">
        <v>2.9028603229220027E-3</v>
      </c>
      <c r="AK19" s="23">
        <v>3.151512515867462E-3</v>
      </c>
      <c r="AL19" s="23">
        <v>3.4050029767245253E-3</v>
      </c>
      <c r="AM19" s="23">
        <v>3.6626157219860388E-3</v>
      </c>
      <c r="AN19" s="23">
        <v>3.9236724655395301E-3</v>
      </c>
      <c r="AO19" s="23">
        <v>4.187533989123947E-3</v>
      </c>
      <c r="AP19" s="23">
        <v>4.453600723135857E-3</v>
      </c>
      <c r="AQ19" s="23">
        <v>4.7213126955484783E-3</v>
      </c>
      <c r="AR19" s="23">
        <v>4.9901489832920821E-3</v>
      </c>
      <c r="AS19" s="23">
        <v>5.25962677941565E-3</v>
      </c>
      <c r="AT19" s="23">
        <v>5.5293001707099471E-3</v>
      </c>
      <c r="AU19" s="23">
        <v>5.7987587042326845E-3</v>
      </c>
      <c r="AV19" s="23">
        <v>6.0676258071331807E-3</v>
      </c>
      <c r="AW19" s="23">
        <v>6.3355571121730576E-3</v>
      </c>
      <c r="AX19" s="23">
        <v>6.6022387311495739E-3</v>
      </c>
    </row>
    <row r="20" spans="1:50" x14ac:dyDescent="0.25">
      <c r="I20" s="23">
        <v>4.8903369302491244E-7</v>
      </c>
      <c r="J20" s="23">
        <v>2.933908663590812E-6</v>
      </c>
      <c r="K20" s="23">
        <v>9.9145328711243555E-6</v>
      </c>
      <c r="L20" s="23">
        <v>2.4897021313913442E-5</v>
      </c>
      <c r="M20" s="23">
        <v>5.1805519328253574E-5</v>
      </c>
      <c r="N20" s="23">
        <v>9.4562099069995948E-5</v>
      </c>
      <c r="O20" s="23">
        <v>1.5670473283120883E-4</v>
      </c>
      <c r="P20" s="23">
        <v>2.4112922214087701E-4</v>
      </c>
      <c r="Q20" s="23">
        <v>3.499559987552218E-4</v>
      </c>
      <c r="R20" s="23">
        <v>4.8449975402126437E-4</v>
      </c>
      <c r="S20" s="23">
        <v>6.4531220957041158E-4</v>
      </c>
      <c r="T20" s="23">
        <v>8.3226987380184659E-4</v>
      </c>
      <c r="U20" s="23">
        <v>1.0446840966844351E-3</v>
      </c>
      <c r="V20" s="23">
        <v>1.2814170450603578E-3</v>
      </c>
      <c r="W20" s="23">
        <v>1.5409929154638314E-3</v>
      </c>
      <c r="X20" s="23">
        <v>1.8216982034061312E-3</v>
      </c>
      <c r="Y20" s="23">
        <v>2.1216680954971286E-3</v>
      </c>
      <c r="Z20" s="23">
        <v>2.4389582235794984E-3</v>
      </c>
      <c r="AA20" s="23">
        <v>2.7716023593250512E-3</v>
      </c>
      <c r="AB20" s="23">
        <v>3.1176573697741044E-3</v>
      </c>
      <c r="AC20" s="23">
        <v>3.4752370904932947E-3</v>
      </c>
      <c r="AD20" s="23">
        <v>3.8425368509893724E-3</v>
      </c>
      <c r="AE20" s="23">
        <v>4.2178503116593038E-3</v>
      </c>
      <c r="AF20" s="23">
        <v>4.599580114774693E-3</v>
      </c>
      <c r="AG20" s="23">
        <v>4.9862436601258268E-3</v>
      </c>
      <c r="AH20" s="23">
        <v>5.3764751174977393E-3</v>
      </c>
      <c r="AI20" s="23">
        <v>5.7690245996546135E-3</v>
      </c>
      <c r="AJ20" s="23">
        <v>6.1627552493613482E-3</v>
      </c>
      <c r="AK20" s="23">
        <v>6.5566388457108434E-3</v>
      </c>
      <c r="AL20" s="23">
        <v>6.9497504089395387E-3</v>
      </c>
      <c r="AM20" s="23">
        <v>7.3412621777806776E-3</v>
      </c>
      <c r="AN20" s="23">
        <v>7.7304372470387104E-3</v>
      </c>
      <c r="AO20" s="23">
        <v>8.1166230830538866E-3</v>
      </c>
      <c r="AP20" s="23">
        <v>8.4992450786206038E-3</v>
      </c>
      <c r="AQ20" s="23">
        <v>8.8778002643568957E-3</v>
      </c>
      <c r="AR20" s="23">
        <v>9.2518512586143558E-3</v>
      </c>
      <c r="AS20" s="23">
        <v>9.6210205107787224E-3</v>
      </c>
      <c r="AT20" s="23">
        <v>9.9849848719737316E-3</v>
      </c>
      <c r="AU20" s="23">
        <v>1.0343470511265971E-2</v>
      </c>
      <c r="AV20" s="23">
        <v>1.0696248183636091E-2</v>
      </c>
      <c r="AW20" s="23">
        <v>1.1043128847226698E-2</v>
      </c>
      <c r="AX20" s="23">
        <v>1.138395962113934E-2</v>
      </c>
    </row>
    <row r="21" spans="1:50" x14ac:dyDescent="0.25">
      <c r="H21" s="23">
        <v>3.0072631600939429E-6</v>
      </c>
      <c r="I21" s="23">
        <v>1.6037132573783659E-5</v>
      </c>
      <c r="J21" s="23">
        <v>4.8858250895673485E-5</v>
      </c>
      <c r="K21" s="23">
        <v>1.1190343228366995E-4</v>
      </c>
      <c r="L21" s="23">
        <v>2.1444852913951986E-4</v>
      </c>
      <c r="M21" s="23">
        <v>3.634928077640929E-4</v>
      </c>
      <c r="N21" s="23">
        <v>5.6333171018285548E-4</v>
      </c>
      <c r="O21" s="23">
        <v>8.156320205414397E-4</v>
      </c>
      <c r="P21" s="23">
        <v>1.1197971434500167E-3</v>
      </c>
      <c r="Q21" s="23">
        <v>1.4734543296372176E-3</v>
      </c>
      <c r="R21" s="23">
        <v>1.8729534984536886E-3</v>
      </c>
      <c r="S21" s="23">
        <v>2.3138164269587585E-3</v>
      </c>
      <c r="T21" s="23">
        <v>2.7911095831995168E-3</v>
      </c>
      <c r="U21" s="23">
        <v>3.2997351602201976E-3</v>
      </c>
      <c r="V21" s="23">
        <v>3.8346463735512981E-3</v>
      </c>
      <c r="W21" s="23">
        <v>4.3909981967655675E-3</v>
      </c>
      <c r="X21" s="23">
        <v>4.9642460412277351E-3</v>
      </c>
      <c r="Y21" s="23">
        <v>5.5502042124682604E-3</v>
      </c>
      <c r="Z21" s="23">
        <v>6.1450744005116268E-3</v>
      </c>
      <c r="AA21" s="23">
        <v>6.7454526204498919E-3</v>
      </c>
      <c r="AB21" s="23">
        <v>7.3483212450939561E-3</v>
      </c>
      <c r="AC21" s="23">
        <v>7.9510312145633002E-3</v>
      </c>
      <c r="AD21" s="23">
        <v>8.5512782158377008E-3</v>
      </c>
      <c r="AE21" s="23">
        <v>9.147075593283505E-3</v>
      </c>
      <c r="AF21" s="23">
        <v>9.7367259493529659E-3</v>
      </c>
      <c r="AG21" s="23">
        <v>1.0318792785329175E-2</v>
      </c>
      <c r="AH21" s="23">
        <v>1.0892073077662214E-2</v>
      </c>
      <c r="AI21" s="23">
        <v>1.1455571352641341E-2</v>
      </c>
      <c r="AJ21" s="23">
        <v>1.2008475582670907E-2</v>
      </c>
      <c r="AK21" s="23">
        <v>1.2550135058435078E-2</v>
      </c>
      <c r="AL21" s="23">
        <v>1.3080040274825249E-2</v>
      </c>
      <c r="AM21" s="23">
        <v>1.3597804790695563E-2</v>
      </c>
      <c r="AN21" s="23">
        <v>1.4103148972754906E-2</v>
      </c>
      <c r="AO21" s="23">
        <v>1.4595885504200457E-2</v>
      </c>
      <c r="AP21" s="23">
        <v>1.5075906523133465E-2</v>
      </c>
      <c r="AQ21" s="23">
        <v>1.554317225000754E-2</v>
      </c>
      <c r="AR21" s="23">
        <v>1.5997700964077544E-2</v>
      </c>
      <c r="AS21" s="23">
        <v>1.643956019391514E-2</v>
      </c>
      <c r="AT21" s="23">
        <v>1.6868858994627395E-2</v>
      </c>
      <c r="AU21" s="23">
        <v>1.7285741193589648E-2</v>
      </c>
      <c r="AV21" s="23">
        <v>1.7690379496170135E-2</v>
      </c>
      <c r="AW21" s="23">
        <v>1.8082970352866688E-2</v>
      </c>
      <c r="AX21" s="23">
        <v>1.8463729498835717E-2</v>
      </c>
    </row>
    <row r="22" spans="1:50" x14ac:dyDescent="0.25">
      <c r="G22" s="23">
        <v>1.8492860191536095E-5</v>
      </c>
      <c r="H22" s="23">
        <v>8.6291382039171353E-5</v>
      </c>
      <c r="I22" s="23">
        <v>2.341960384017106E-4</v>
      </c>
      <c r="J22" s="23">
        <v>4.8477839448157132E-4</v>
      </c>
      <c r="K22" s="23">
        <v>8.4960384304547012E-4</v>
      </c>
      <c r="L22" s="23">
        <v>1.3300500430553463E-3</v>
      </c>
      <c r="M22" s="23">
        <v>1.9197188889654964E-3</v>
      </c>
      <c r="N22" s="23">
        <v>2.6071332740657911E-3</v>
      </c>
      <c r="O22" s="23">
        <v>3.3780764194933483E-3</v>
      </c>
      <c r="P22" s="23">
        <v>4.2173617025853937E-3</v>
      </c>
      <c r="Q22" s="23">
        <v>5.1100427721489693E-3</v>
      </c>
      <c r="R22" s="23">
        <v>6.0421629190192368E-3</v>
      </c>
      <c r="S22" s="23">
        <v>7.001161547364753E-3</v>
      </c>
      <c r="T22" s="23">
        <v>7.9760433820216213E-3</v>
      </c>
      <c r="U22" s="23">
        <v>8.9573938345723289E-3</v>
      </c>
      <c r="V22" s="23">
        <v>9.937301592870592E-3</v>
      </c>
      <c r="W22" s="23">
        <v>1.0909230751844639E-2</v>
      </c>
      <c r="X22" s="23">
        <v>1.1867870474337032E-2</v>
      </c>
      <c r="Y22" s="23">
        <v>1.2808979835925329E-2</v>
      </c>
      <c r="Z22" s="23">
        <v>1.3729238361124442E-2</v>
      </c>
      <c r="AA22" s="23">
        <v>1.4626107986879655E-2</v>
      </c>
      <c r="AB22" s="23">
        <v>1.5497709109152252E-2</v>
      </c>
      <c r="AC22" s="23">
        <v>1.6342711453800132E-2</v>
      </c>
      <c r="AD22" s="23">
        <v>1.7160239380329283E-2</v>
      </c>
      <c r="AE22" s="23">
        <v>1.7949790605817771E-2</v>
      </c>
      <c r="AF22" s="23">
        <v>1.8711167040866204E-2</v>
      </c>
      <c r="AG22" s="23">
        <v>1.9444416334873094E-2</v>
      </c>
      <c r="AH22" s="23">
        <v>2.0149782752141333E-2</v>
      </c>
      <c r="AI22" s="23">
        <v>2.0827666089789545E-2</v>
      </c>
      <c r="AJ22" s="23">
        <v>2.1478587469865165E-2</v>
      </c>
      <c r="AK22" s="23">
        <v>2.2103160970328359E-2</v>
      </c>
      <c r="AL22" s="23">
        <v>2.2702070190932799E-2</v>
      </c>
      <c r="AM22" s="23">
        <v>2.327604897325071E-2</v>
      </c>
      <c r="AN22" s="23">
        <v>2.3825865606245573E-2</v>
      </c>
      <c r="AO22" s="23">
        <v>2.4352309948243511E-2</v>
      </c>
      <c r="AP22" s="23">
        <v>2.485618298325994E-2</v>
      </c>
      <c r="AQ22" s="23">
        <v>2.5338288404915442E-2</v>
      </c>
      <c r="AR22" s="23">
        <v>2.5799425885604372E-2</v>
      </c>
      <c r="AS22" s="23">
        <v>2.6240385743601248E-2</v>
      </c>
      <c r="AT22" s="23">
        <v>2.6661944767310226E-2</v>
      </c>
      <c r="AU22" s="23">
        <v>2.7064862995185061E-2</v>
      </c>
      <c r="AV22" s="23">
        <v>2.7449881283041249E-2</v>
      </c>
      <c r="AW22" s="23">
        <v>2.7817719518223861E-2</v>
      </c>
      <c r="AX22" s="23">
        <v>2.8169075363473014E-2</v>
      </c>
    </row>
    <row r="23" spans="1:50" x14ac:dyDescent="0.25">
      <c r="F23" s="23">
        <v>1.1371997057049789E-4</v>
      </c>
      <c r="G23" s="23">
        <v>4.5483438276846069E-4</v>
      </c>
      <c r="H23" s="23">
        <v>1.0832818687284279E-3</v>
      </c>
      <c r="I23" s="23">
        <v>2.0042394396027081E-3</v>
      </c>
      <c r="J23" s="23">
        <v>3.1860430706297333E-3</v>
      </c>
      <c r="K23" s="23">
        <v>4.5787991624442531E-3</v>
      </c>
      <c r="L23" s="23">
        <v>6.1277743389540323E-3</v>
      </c>
      <c r="M23" s="23">
        <v>7.781267642443605E-3</v>
      </c>
      <c r="N23" s="23">
        <v>9.494390147183486E-3</v>
      </c>
      <c r="O23" s="23">
        <v>1.1230280047221083E-2</v>
      </c>
      <c r="P23" s="23">
        <v>1.2959905657778962E-2</v>
      </c>
      <c r="Q23" s="23">
        <v>1.4661201413195189E-2</v>
      </c>
      <c r="R23" s="23">
        <v>1.6317971741292996E-2</v>
      </c>
      <c r="S23" s="23">
        <v>1.7918793641252945E-2</v>
      </c>
      <c r="T23" s="23">
        <v>1.9456026009845109E-2</v>
      </c>
      <c r="U23" s="23">
        <v>2.0924964978336843E-2</v>
      </c>
      <c r="V23" s="23">
        <v>2.2323148806491909E-2</v>
      </c>
      <c r="W23" s="23">
        <v>2.3649799243272391E-2</v>
      </c>
      <c r="X23" s="23">
        <v>2.4905380049915299E-2</v>
      </c>
      <c r="Y23" s="23">
        <v>2.6091252506470087E-2</v>
      </c>
      <c r="Z23" s="23">
        <v>2.720940932984537E-2</v>
      </c>
      <c r="AA23" s="23">
        <v>2.8262270983457981E-2</v>
      </c>
      <c r="AB23" s="23">
        <v>2.9252531074710771E-2</v>
      </c>
      <c r="AC23" s="23">
        <v>3.018304005451888E-2</v>
      </c>
      <c r="AD23" s="23">
        <v>3.1056718612626152E-2</v>
      </c>
      <c r="AE23" s="23">
        <v>3.1876493975852092E-2</v>
      </c>
      <c r="AF23" s="23">
        <v>3.2645253788528408E-2</v>
      </c>
      <c r="AG23" s="23">
        <v>3.3365813430114487E-2</v>
      </c>
      <c r="AH23" s="23">
        <v>3.4040893553889083E-2</v>
      </c>
      <c r="AI23" s="23">
        <v>3.4673105359180119E-2</v>
      </c>
      <c r="AJ23" s="23">
        <v>3.5264941677604959E-2</v>
      </c>
      <c r="AK23" s="23">
        <v>3.5818772396109227E-2</v>
      </c>
      <c r="AL23" s="23">
        <v>3.6336843081676021E-2</v>
      </c>
      <c r="AM23" s="23">
        <v>3.6821275938316224E-2</v>
      </c>
      <c r="AN23" s="23">
        <v>3.7274072431624838E-2</v>
      </c>
      <c r="AO23" s="23">
        <v>3.7697117074988851E-2</v>
      </c>
      <c r="AP23" s="23">
        <v>3.809218199358292E-2</v>
      </c>
      <c r="AQ23" s="23">
        <v>3.8460931976568739E-2</v>
      </c>
      <c r="AR23" s="23">
        <v>3.8804929800720665E-2</v>
      </c>
      <c r="AS23" s="23">
        <v>3.9125641664422006E-2</v>
      </c>
      <c r="AT23" s="23">
        <v>3.9424442613935601E-2</v>
      </c>
      <c r="AU23" s="23">
        <v>3.9702621876846783E-2</v>
      </c>
      <c r="AV23" s="23">
        <v>3.9961388042524235E-2</v>
      </c>
      <c r="AW23" s="23">
        <v>4.0201874048757177E-2</v>
      </c>
      <c r="AX23" s="23">
        <v>4.0425141948178062E-2</v>
      </c>
    </row>
    <row r="24" spans="1:50" x14ac:dyDescent="0.25">
      <c r="E24" s="23">
        <v>6.9930944010857486E-4</v>
      </c>
      <c r="F24" s="23">
        <v>2.3307983048214522E-3</v>
      </c>
      <c r="G24" s="23">
        <v>4.7776586113754994E-3</v>
      </c>
      <c r="H24" s="23">
        <v>7.7936661785311693E-3</v>
      </c>
      <c r="I24" s="23">
        <v>1.1130537792467718E-2</v>
      </c>
      <c r="J24" s="23">
        <v>1.4587549766865729E-2</v>
      </c>
      <c r="K24" s="23">
        <v>1.8020501960030424E-2</v>
      </c>
      <c r="L24" s="23">
        <v>2.1334380195968138E-2</v>
      </c>
      <c r="M24" s="23">
        <v>2.4471795925916022E-2</v>
      </c>
      <c r="N24" s="23">
        <v>2.7402132769931701E-2</v>
      </c>
      <c r="O24" s="23">
        <v>3.0112897433502733E-2</v>
      </c>
      <c r="P24" s="23">
        <v>3.2603355458121923E-2</v>
      </c>
      <c r="Q24" s="23">
        <v>3.4880061540903493E-2</v>
      </c>
      <c r="R24" s="23">
        <v>3.6953817278271239E-2</v>
      </c>
      <c r="S24" s="23">
        <v>3.8837650778805334E-2</v>
      </c>
      <c r="T24" s="23">
        <v>4.0545505749000829E-2</v>
      </c>
      <c r="U24" s="23">
        <v>4.2091413305371687E-2</v>
      </c>
      <c r="V24" s="23">
        <v>4.3488987346910063E-2</v>
      </c>
      <c r="W24" s="23">
        <v>4.4751133994975191E-2</v>
      </c>
      <c r="X24" s="23">
        <v>4.5889900750667248E-2</v>
      </c>
      <c r="Y24" s="23">
        <v>4.6916415340201967E-2</v>
      </c>
      <c r="Z24" s="23">
        <v>4.7840880830145309E-2</v>
      </c>
      <c r="AA24" s="23">
        <v>4.8672604847420489E-2</v>
      </c>
      <c r="AB24" s="23">
        <v>4.9420048323437341E-2</v>
      </c>
      <c r="AC24" s="23">
        <v>5.009088427338973E-2</v>
      </c>
      <c r="AD24" s="23">
        <v>5.0692060528709393E-2</v>
      </c>
      <c r="AE24" s="23">
        <v>5.1229862611892232E-2</v>
      </c>
      <c r="AF24" s="23">
        <v>5.1709974449027023E-2</v>
      </c>
      <c r="AG24" s="23">
        <v>5.21375356073875E-2</v>
      </c>
      <c r="AH24" s="23">
        <v>5.2517194391646468E-2</v>
      </c>
      <c r="AI24" s="23">
        <v>5.2853156546939631E-2</v>
      </c>
      <c r="AJ24" s="23">
        <v>5.3149229577371213E-2</v>
      </c>
      <c r="AK24" s="23">
        <v>5.3408862844476497E-2</v>
      </c>
      <c r="AL24" s="23">
        <v>5.3635183700045191E-2</v>
      </c>
      <c r="AM24" s="23">
        <v>5.3831029951111463E-2</v>
      </c>
      <c r="AN24" s="23">
        <v>5.3998978971532288E-2</v>
      </c>
      <c r="AO24" s="23">
        <v>5.4141373771966934E-2</v>
      </c>
      <c r="AP24" s="23">
        <v>5.4260346327494297E-2</v>
      </c>
      <c r="AQ24" s="23">
        <v>5.4357838443260947E-2</v>
      </c>
      <c r="AR24" s="23">
        <v>5.4435620416556967E-2</v>
      </c>
      <c r="AS24" s="23">
        <v>5.4495307730914114E-2</v>
      </c>
      <c r="AT24" s="23">
        <v>5.4538375995422085E-2</v>
      </c>
      <c r="AU24" s="23">
        <v>5.4566174320640419E-2</v>
      </c>
      <c r="AV24" s="23">
        <v>5.4579937302529941E-2</v>
      </c>
      <c r="AW24" s="23">
        <v>5.4580795767337001E-2</v>
      </c>
      <c r="AX24" s="23">
        <v>5.4569786413273515E-2</v>
      </c>
    </row>
    <row r="25" spans="1:50" x14ac:dyDescent="0.25">
      <c r="D25" s="23">
        <v>4.300332567551567E-3</v>
      </c>
      <c r="E25" s="23">
        <v>1.1466406467565344E-2</v>
      </c>
      <c r="F25" s="23">
        <v>1.9705914936860355E-2</v>
      </c>
      <c r="G25" s="23">
        <v>2.7864163295664462E-2</v>
      </c>
      <c r="H25" s="23">
        <v>3.5360730414554363E-2</v>
      </c>
      <c r="I25" s="23">
        <v>4.1973609206765322E-2</v>
      </c>
      <c r="J25" s="23">
        <v>4.7672113713154121E-2</v>
      </c>
      <c r="K25" s="23">
        <v>5.2515466266705023E-2</v>
      </c>
      <c r="L25" s="23">
        <v>5.6597724390889309E-2</v>
      </c>
      <c r="M25" s="23">
        <v>6.0020159114316081E-2</v>
      </c>
      <c r="N25" s="23">
        <v>6.2878589300268656E-2</v>
      </c>
      <c r="O25" s="23">
        <v>6.5258423470676549E-2</v>
      </c>
      <c r="P25" s="23">
        <v>6.7233469110772784E-2</v>
      </c>
      <c r="Q25" s="23">
        <v>6.8866454070439787E-2</v>
      </c>
      <c r="R25" s="23">
        <v>7.0210224343691133E-2</v>
      </c>
      <c r="S25" s="23">
        <v>7.1309117206360267E-2</v>
      </c>
      <c r="T25" s="23">
        <v>7.2200282459053064E-2</v>
      </c>
      <c r="U25" s="23">
        <v>7.2914861243328688E-2</v>
      </c>
      <c r="V25" s="23">
        <v>7.3478997842644819E-2</v>
      </c>
      <c r="W25" s="23">
        <v>7.3914689839658099E-2</v>
      </c>
      <c r="X25" s="23">
        <v>7.4240494028256221E-2</v>
      </c>
      <c r="Y25" s="23">
        <v>7.4472108849519825E-2</v>
      </c>
      <c r="Z25" s="23">
        <v>7.4622853542964024E-2</v>
      </c>
      <c r="AA25" s="23">
        <v>7.4704062032796031E-2</v>
      </c>
      <c r="AB25" s="23">
        <v>7.4725406938619496E-2</v>
      </c>
      <c r="AC25" s="23">
        <v>7.4695166534996416E-2</v>
      </c>
      <c r="AD25" s="23">
        <v>7.4620445194575044E-2</v>
      </c>
      <c r="AE25" s="23">
        <v>7.4507355898264266E-2</v>
      </c>
      <c r="AF25" s="23">
        <v>7.4361171774794038E-2</v>
      </c>
      <c r="AG25" s="23">
        <v>7.4186452306055362E-2</v>
      </c>
      <c r="AH25" s="23">
        <v>7.3987148760078461E-2</v>
      </c>
      <c r="AI25" s="23">
        <v>7.3766692546174059E-2</v>
      </c>
      <c r="AJ25" s="23">
        <v>7.3528069488947093E-2</v>
      </c>
      <c r="AK25" s="23">
        <v>7.3273882458042588E-2</v>
      </c>
      <c r="AL25" s="23">
        <v>7.3006404338148589E-2</v>
      </c>
      <c r="AM25" s="23">
        <v>7.2727622961990882E-2</v>
      </c>
      <c r="AN25" s="23">
        <v>7.2439279335008558E-2</v>
      </c>
      <c r="AO25" s="23">
        <v>7.2142900244272307E-2</v>
      </c>
      <c r="AP25" s="23">
        <v>7.1839826151986003E-2</v>
      </c>
      <c r="AQ25" s="23">
        <v>7.1531235117867853E-2</v>
      </c>
      <c r="AR25" s="23">
        <v>7.1218163367820206E-2</v>
      </c>
      <c r="AS25" s="23">
        <v>7.0901523022297352E-2</v>
      </c>
      <c r="AT25" s="23">
        <v>7.0582117412524722E-2</v>
      </c>
      <c r="AU25" s="23">
        <v>7.0260654342912426E-2</v>
      </c>
      <c r="AV25" s="23">
        <v>6.9937757600331982E-2</v>
      </c>
      <c r="AW25" s="23">
        <v>6.9613976962785151E-2</v>
      </c>
      <c r="AX25" s="23">
        <v>6.9289796921207361E-2</v>
      </c>
    </row>
    <row r="26" spans="1:50" x14ac:dyDescent="0.25">
      <c r="C26" s="23">
        <v>2.6444459535205418E-2</v>
      </c>
      <c r="D26" s="23">
        <v>5.2883628838443039E-2</v>
      </c>
      <c r="E26" s="23">
        <v>7.3442138223070025E-2</v>
      </c>
      <c r="F26" s="23">
        <v>8.8121751718642838E-2</v>
      </c>
      <c r="G26" s="23">
        <v>9.820921306664783E-2</v>
      </c>
      <c r="H26" s="23">
        <v>0.10497715513422594</v>
      </c>
      <c r="I26" s="23">
        <v>0.10940767617137917</v>
      </c>
      <c r="J26" s="23">
        <v>0.11220154741349291</v>
      </c>
      <c r="K26" s="23">
        <v>0.11384584291146738</v>
      </c>
      <c r="L26" s="23">
        <v>0.11467754382801751</v>
      </c>
      <c r="M26" s="23">
        <v>0.11493101946993095</v>
      </c>
      <c r="N26" s="23">
        <v>0.11477085487121765</v>
      </c>
      <c r="O26" s="23">
        <v>0.11431393658443231</v>
      </c>
      <c r="P26" s="23">
        <v>0.11364422366695477</v>
      </c>
      <c r="Q26" s="23">
        <v>0.11282267008309878</v>
      </c>
      <c r="R26" s="23">
        <v>0.11189395375759048</v>
      </c>
      <c r="S26" s="23">
        <v>0.1108910945044809</v>
      </c>
      <c r="T26" s="23">
        <v>0.10983866374775587</v>
      </c>
      <c r="U26" s="23">
        <v>0.1087550440695603</v>
      </c>
      <c r="V26" s="23">
        <v>0.10765403956691717</v>
      </c>
      <c r="W26" s="23">
        <v>0.10654603698096617</v>
      </c>
      <c r="X26" s="23">
        <v>0.10543885207635813</v>
      </c>
      <c r="Y26" s="23">
        <v>0.10433835284412669</v>
      </c>
      <c r="Z26" s="23">
        <v>0.1032489226630926</v>
      </c>
      <c r="AA26" s="23">
        <v>0.10217380746999792</v>
      </c>
      <c r="AB26" s="23">
        <v>0.10111537802741832</v>
      </c>
      <c r="AC26" s="23">
        <v>0.10007532946841619</v>
      </c>
      <c r="AD26" s="23">
        <v>9.9054834103661185E-2</v>
      </c>
      <c r="AE26" s="23">
        <v>9.8054659123062576E-2</v>
      </c>
      <c r="AF26" s="23">
        <v>9.7075257733196585E-2</v>
      </c>
      <c r="AG26" s="23">
        <v>9.6116840055313971E-2</v>
      </c>
      <c r="AH26" s="23">
        <v>9.5179428503959079E-2</v>
      </c>
      <c r="AI26" s="23">
        <v>9.4262901195907273E-2</v>
      </c>
      <c r="AJ26" s="23">
        <v>9.3367026076915743E-2</v>
      </c>
      <c r="AK26" s="23">
        <v>9.2491487813911949E-2</v>
      </c>
      <c r="AL26" s="23">
        <v>9.1635909023668916E-2</v>
      </c>
      <c r="AM26" s="23">
        <v>9.0799867048342559E-2</v>
      </c>
      <c r="AN26" s="23">
        <v>8.9982907217128177E-2</v>
      </c>
      <c r="AO26" s="23">
        <v>8.918455332521194E-2</v>
      </c>
      <c r="AP26" s="23">
        <v>8.8404315902748415E-2</v>
      </c>
      <c r="AQ26" s="23">
        <v>8.7641698724061426E-2</v>
      </c>
      <c r="AR26" s="23">
        <v>8.6896203912213921E-2</v>
      </c>
      <c r="AS26" s="23">
        <v>8.6167335920608018E-2</v>
      </c>
      <c r="AT26" s="23">
        <v>8.5454604615499197E-2</v>
      </c>
      <c r="AU26" s="23">
        <v>8.4757527637782215E-2</v>
      </c>
      <c r="AV26" s="23">
        <v>8.4075632186998248E-2</v>
      </c>
      <c r="AW26" s="23">
        <v>8.3408456342155698E-2</v>
      </c>
      <c r="AX26" s="23">
        <v>8.2755550011135617E-2</v>
      </c>
    </row>
    <row r="27" spans="1:50" x14ac:dyDescent="0.25">
      <c r="B27" s="23">
        <v>0.16261752530157172</v>
      </c>
      <c r="C27" s="23">
        <v>0.21680167923837507</v>
      </c>
      <c r="D27" s="23">
        <v>0.23032874564182743</v>
      </c>
      <c r="E27" s="23">
        <v>0.2288004449985972</v>
      </c>
      <c r="F27" s="23">
        <v>0.22200454434769373</v>
      </c>
      <c r="G27" s="23">
        <v>0.21370503618689418</v>
      </c>
      <c r="H27" s="23">
        <v>0.20533403534188552</v>
      </c>
      <c r="I27" s="23">
        <v>0.19740821110652351</v>
      </c>
      <c r="J27" s="23">
        <v>0.19008240891786166</v>
      </c>
      <c r="K27" s="23">
        <v>0.18337005580990043</v>
      </c>
      <c r="L27" s="23">
        <v>0.17723225247709251</v>
      </c>
      <c r="M27" s="23">
        <v>0.17161401800318246</v>
      </c>
      <c r="N27" s="23">
        <v>0.1664588393370299</v>
      </c>
      <c r="O27" s="23">
        <v>0.16171417726578147</v>
      </c>
      <c r="P27" s="23">
        <v>0.15733318463618207</v>
      </c>
      <c r="Q27" s="23">
        <v>0.15327486460392029</v>
      </c>
      <c r="R27" s="23">
        <v>0.14950362653799162</v>
      </c>
      <c r="S27" s="23">
        <v>0.14598865202613728</v>
      </c>
      <c r="T27" s="23">
        <v>0.1427032449040721</v>
      </c>
      <c r="U27" s="23">
        <v>0.13962423366115093</v>
      </c>
      <c r="V27" s="23">
        <v>0.13673144792831701</v>
      </c>
      <c r="W27" s="23">
        <v>0.13400727066920951</v>
      </c>
      <c r="X27" s="23">
        <v>0.13143625967986963</v>
      </c>
      <c r="Y27" s="23">
        <v>0.1290048294452964</v>
      </c>
      <c r="Z27" s="23">
        <v>0.12670098423267506</v>
      </c>
      <c r="AA27" s="23">
        <v>0.12451409410137614</v>
      </c>
      <c r="AB27" s="23">
        <v>0.12243470661831056</v>
      </c>
      <c r="AC27" s="23">
        <v>0.1204543881943448</v>
      </c>
      <c r="AD27" s="23">
        <v>0.11856558998240885</v>
      </c>
      <c r="AE27" s="23">
        <v>0.1167615341628097</v>
      </c>
      <c r="AF27" s="23">
        <v>0.11503611718457954</v>
      </c>
      <c r="AG27" s="23">
        <v>0.11338382714525747</v>
      </c>
      <c r="AH27" s="23">
        <v>0.11179967299528837</v>
      </c>
      <c r="AI27" s="23">
        <v>0.11027912366343974</v>
      </c>
      <c r="AJ27" s="23">
        <v>0.10881805553376764</v>
      </c>
      <c r="AK27" s="23">
        <v>0.10741270697723065</v>
      </c>
      <c r="AL27" s="23">
        <v>0.10605963886219893</v>
      </c>
      <c r="AM27" s="23">
        <v>0.10475570014980205</v>
      </c>
      <c r="AN27" s="23">
        <v>0.10349799782769852</v>
      </c>
      <c r="AO27" s="23">
        <v>0.10228387055787452</v>
      </c>
      <c r="AP27" s="23">
        <v>0.10111086551378304</v>
      </c>
      <c r="AQ27" s="23">
        <v>9.9976717964849124E-2</v>
      </c>
      <c r="AR27" s="23">
        <v>9.8879333234857342E-2</v>
      </c>
      <c r="AS27" s="23">
        <v>9.781677071737134E-2</v>
      </c>
      <c r="AT27" s="23">
        <v>9.6787229678662851E-2</v>
      </c>
      <c r="AU27" s="23">
        <v>9.5789036618508266E-2</v>
      </c>
      <c r="AV27" s="23">
        <v>9.4820633991739608E-2</v>
      </c>
      <c r="AW27" s="23">
        <v>9.3880570122106391E-2</v>
      </c>
      <c r="AX27" s="23">
        <v>9.2967490162997324E-2</v>
      </c>
    </row>
    <row r="28" spans="1:50" x14ac:dyDescent="0.25">
      <c r="A28" s="23">
        <v>1</v>
      </c>
      <c r="B28" s="23">
        <v>0.66659998310860491</v>
      </c>
      <c r="C28" s="23">
        <v>0.49989998977475064</v>
      </c>
      <c r="D28" s="23">
        <v>0.40728518666226826</v>
      </c>
      <c r="E28" s="23">
        <v>0.35016853268042963</v>
      </c>
      <c r="F28" s="23">
        <v>0.31157255811737511</v>
      </c>
      <c r="G28" s="23">
        <v>0.28352324043409671</v>
      </c>
      <c r="H28" s="23">
        <v>0.26199074437485592</v>
      </c>
      <c r="I28" s="23">
        <v>0.2447779421026359</v>
      </c>
      <c r="J28" s="23">
        <v>0.23059670437708804</v>
      </c>
      <c r="K28" s="23">
        <v>0.21864125404743551</v>
      </c>
      <c r="L28" s="23">
        <v>0.20837904628323797</v>
      </c>
      <c r="M28" s="23">
        <v>0.19944180006880549</v>
      </c>
      <c r="N28" s="23">
        <v>0.19156523972966139</v>
      </c>
      <c r="O28" s="23">
        <v>0.18455389622623361</v>
      </c>
      <c r="P28" s="23">
        <v>0.17825952434473685</v>
      </c>
      <c r="Q28" s="23">
        <v>0.17256730248100532</v>
      </c>
      <c r="R28" s="23">
        <v>0.1673866874692394</v>
      </c>
      <c r="S28" s="23">
        <v>0.16264516672333187</v>
      </c>
      <c r="T28" s="23">
        <v>0.15828387686421588</v>
      </c>
      <c r="U28" s="23">
        <v>0.15425446108937199</v>
      </c>
      <c r="V28" s="23">
        <v>0.15051677017853979</v>
      </c>
      <c r="W28" s="23">
        <v>0.14703715117033189</v>
      </c>
      <c r="X28" s="23">
        <v>0.14378715363855801</v>
      </c>
      <c r="Y28" s="23">
        <v>0.140742538013443</v>
      </c>
      <c r="Z28" s="23">
        <v>0.13788250586198744</v>
      </c>
      <c r="AA28" s="23">
        <v>0.13518909562685213</v>
      </c>
      <c r="AB28" s="23">
        <v>0.13264670331869133</v>
      </c>
      <c r="AC28" s="23">
        <v>0.1302416986983467</v>
      </c>
      <c r="AD28" s="23">
        <v>0.12796211522986184</v>
      </c>
      <c r="AE28" s="23">
        <v>0.12579739759878519</v>
      </c>
      <c r="AF28" s="23">
        <v>0.1237381945668185</v>
      </c>
      <c r="AG28" s="23">
        <v>0.12177618783932571</v>
      </c>
      <c r="AH28" s="23">
        <v>0.11990394976844189</v>
      </c>
      <c r="AI28" s="23">
        <v>0.11811482431642967</v>
      </c>
      <c r="AJ28" s="23">
        <v>0.11640282691338591</v>
      </c>
      <c r="AK28" s="23">
        <v>0.11476255976228958</v>
      </c>
      <c r="AL28" s="23">
        <v>0.11318913985099371</v>
      </c>
      <c r="AM28" s="23">
        <v>0.11167813747675155</v>
      </c>
      <c r="AN28" s="23">
        <v>0.11022552351522973</v>
      </c>
      <c r="AO28" s="23">
        <v>0.10882762400052831</v>
      </c>
      <c r="AP28" s="23">
        <v>0.10748108084715442</v>
      </c>
      <c r="AQ28" s="23">
        <v>0.10618281775570035</v>
      </c>
      <c r="AR28" s="23">
        <v>0.10493001051239546</v>
      </c>
      <c r="AS28" s="23">
        <v>0.10372006102833815</v>
      </c>
      <c r="AT28" s="23">
        <v>0.10255057457429068</v>
      </c>
      <c r="AU28" s="23">
        <v>0.10141933975620075</v>
      </c>
      <c r="AV28" s="23">
        <v>0.10032431084977454</v>
      </c>
      <c r="AW28" s="23">
        <v>9.9263592172319504E-2</v>
      </c>
      <c r="AX28" s="23">
        <v>9.8235424220038725E-2</v>
      </c>
    </row>
    <row r="29" spans="1:50" x14ac:dyDescent="0.25">
      <c r="B29" s="23">
        <v>0.17078249158982339</v>
      </c>
      <c r="C29" s="23">
        <v>0.22768721201804984</v>
      </c>
      <c r="D29" s="23">
        <v>0.24189346746312612</v>
      </c>
      <c r="E29" s="23">
        <v>0.24028843140526274</v>
      </c>
      <c r="F29" s="23">
        <v>0.23315131107582596</v>
      </c>
      <c r="G29" s="23">
        <v>0.22443508765499681</v>
      </c>
      <c r="H29" s="23">
        <v>0.21564378192849415</v>
      </c>
      <c r="I29" s="23">
        <v>0.20732000496591177</v>
      </c>
      <c r="J29" s="23">
        <v>0.19962637693686247</v>
      </c>
      <c r="K29" s="23">
        <v>0.19257699904182121</v>
      </c>
      <c r="L29" s="23">
        <v>0.18613101885534389</v>
      </c>
      <c r="M29" s="23">
        <v>0.18023069488956386</v>
      </c>
      <c r="N29" s="23">
        <v>0.17481667659379424</v>
      </c>
      <c r="O29" s="23">
        <v>0.16983378678056521</v>
      </c>
      <c r="P29" s="23">
        <v>0.16523282611824339</v>
      </c>
      <c r="Q29" s="23">
        <v>0.16097073932596517</v>
      </c>
      <c r="R29" s="23">
        <v>0.15701014878022229</v>
      </c>
      <c r="S29" s="23">
        <v>0.15331868868763115</v>
      </c>
      <c r="T29" s="23">
        <v>0.14986832247922646</v>
      </c>
      <c r="U29" s="23">
        <v>0.14663471521134858</v>
      </c>
      <c r="V29" s="23">
        <v>0.14359668376811027</v>
      </c>
      <c r="W29" s="23">
        <v>0.14073572656820191</v>
      </c>
      <c r="X29" s="23">
        <v>0.13803562606027739</v>
      </c>
      <c r="Y29" s="23">
        <v>0.13548211460560911</v>
      </c>
      <c r="Z29" s="23">
        <v>0.13306259417004807</v>
      </c>
      <c r="AA29" s="23">
        <v>0.13076590108751956</v>
      </c>
      <c r="AB29" s="23">
        <v>0.12858210832174885</v>
      </c>
      <c r="AC29" s="23">
        <v>0.12650235883619168</v>
      </c>
      <c r="AD29" s="23">
        <v>0.1245187247589418</v>
      </c>
      <c r="AE29" s="23">
        <v>0.12262408795849294</v>
      </c>
      <c r="AF29" s="23">
        <v>0.1208120384267657</v>
      </c>
      <c r="AG29" s="23">
        <v>0.11907678751073812</v>
      </c>
      <c r="AH29" s="23">
        <v>0.11741309356205575</v>
      </c>
      <c r="AI29" s="23">
        <v>0.11581619800607196</v>
      </c>
      <c r="AJ29" s="23">
        <v>0.11428177018160399</v>
      </c>
      <c r="AK29" s="23">
        <v>0.11280585958959732</v>
      </c>
      <c r="AL29" s="23">
        <v>0.11138485442090711</v>
      </c>
      <c r="AM29" s="23">
        <v>0.11001544542410051</v>
      </c>
      <c r="AN29" s="23">
        <v>0.10869459432979921</v>
      </c>
      <c r="AO29" s="23">
        <v>0.10741950617518016</v>
      </c>
      <c r="AP29" s="23">
        <v>0.10618760497816015</v>
      </c>
      <c r="AQ29" s="23">
        <v>0.10499651229687935</v>
      </c>
      <c r="AR29" s="23">
        <v>0.10384402828218758</v>
      </c>
      <c r="AS29" s="23">
        <v>0.10272811489048925</v>
      </c>
      <c r="AT29" s="23">
        <v>0.10164688097394373</v>
      </c>
      <c r="AU29" s="23">
        <v>0.10059856900644236</v>
      </c>
      <c r="AV29" s="23">
        <v>9.9581543239040352E-2</v>
      </c>
      <c r="AW29" s="23">
        <v>9.8594279107387273E-2</v>
      </c>
      <c r="AX29" s="23">
        <v>9.7635353738514577E-2</v>
      </c>
    </row>
    <row r="30" spans="1:50" x14ac:dyDescent="0.25">
      <c r="C30" s="23">
        <v>2.9166659433619024E-2</v>
      </c>
      <c r="D30" s="23">
        <v>5.8327484057359949E-2</v>
      </c>
      <c r="E30" s="23">
        <v>8.1002292021812694E-2</v>
      </c>
      <c r="F30" s="23">
        <v>9.7193028946200868E-2</v>
      </c>
      <c r="G30" s="23">
        <v>0.1083188963247857</v>
      </c>
      <c r="H30" s="23">
        <v>0.11578353220018084</v>
      </c>
      <c r="I30" s="23">
        <v>0.1206701322848578</v>
      </c>
      <c r="J30" s="23">
        <v>0.12375160539690221</v>
      </c>
      <c r="K30" s="23">
        <v>0.12556516512322802</v>
      </c>
      <c r="L30" s="23">
        <v>0.12648248155964534</v>
      </c>
      <c r="M30" s="23">
        <v>0.12676205005346786</v>
      </c>
      <c r="N30" s="23">
        <v>0.12658539806715241</v>
      </c>
      <c r="O30" s="23">
        <v>0.12608144448693573</v>
      </c>
      <c r="P30" s="23">
        <v>0.12534279113853242</v>
      </c>
      <c r="Q30" s="23">
        <v>0.12443666660402318</v>
      </c>
      <c r="R30" s="23">
        <v>0.12341234796592675</v>
      </c>
      <c r="S30" s="23">
        <v>0.12230625410695317</v>
      </c>
      <c r="T30" s="23">
        <v>0.1211454858402498</v>
      </c>
      <c r="U30" s="23">
        <v>0.11995031805598032</v>
      </c>
      <c r="V30" s="23">
        <v>0.11873597584864148</v>
      </c>
      <c r="W30" s="23">
        <v>0.11751391517340799</v>
      </c>
      <c r="X30" s="23">
        <v>0.11629275635183495</v>
      </c>
      <c r="Y30" s="23">
        <v>0.11507897142759552</v>
      </c>
      <c r="Z30" s="23">
        <v>0.11387739500571038</v>
      </c>
      <c r="AA30" s="23">
        <v>0.11269160716054091</v>
      </c>
      <c r="AB30" s="23">
        <v>0.11152422270161123</v>
      </c>
      <c r="AC30" s="23">
        <v>0.11037711125947294</v>
      </c>
      <c r="AD30" s="23">
        <v>0.10925156582272427</v>
      </c>
      <c r="AE30" s="23">
        <v>0.1081484325559937</v>
      </c>
      <c r="AF30" s="23">
        <v>0.10706821131914661</v>
      </c>
      <c r="AG30" s="23">
        <v>0.10601113386330521</v>
      </c>
      <c r="AH30" s="23">
        <v>0.10497722491041511</v>
      </c>
      <c r="AI30" s="23">
        <v>0.10396635003057575</v>
      </c>
      <c r="AJ30" s="23">
        <v>0.10297825328176596</v>
      </c>
      <c r="AK30" s="23">
        <v>0.1020125868704818</v>
      </c>
      <c r="AL30" s="23">
        <v>0.10106893456551125</v>
      </c>
      <c r="AM30" s="23">
        <v>0.10014683020057076</v>
      </c>
      <c r="AN30" s="23">
        <v>9.9245772300862331E-2</v>
      </c>
      <c r="AO30" s="23">
        <v>9.836523564092256E-2</v>
      </c>
      <c r="AP30" s="23">
        <v>9.7504680364764437E-2</v>
      </c>
      <c r="AQ30" s="23">
        <v>9.6663559165101651E-2</v>
      </c>
      <c r="AR30" s="23">
        <v>9.5841322913412005E-2</v>
      </c>
      <c r="AS30" s="23">
        <v>9.5037425051397229E-2</v>
      </c>
      <c r="AT30" s="23">
        <v>9.4251324990798316E-2</v>
      </c>
      <c r="AU30" s="23">
        <v>9.3482490718327135E-2</v>
      </c>
      <c r="AV30" s="23">
        <v>9.2730400763367415E-2</v>
      </c>
      <c r="AW30" s="23">
        <v>9.1994545654571325E-2</v>
      </c>
      <c r="AX30" s="23">
        <v>9.1274428967270574E-2</v>
      </c>
    </row>
    <row r="31" spans="1:50" x14ac:dyDescent="0.25">
      <c r="D31" s="23">
        <v>4.9811547694235889E-3</v>
      </c>
      <c r="E31" s="23">
        <v>1.3281750740637361E-2</v>
      </c>
      <c r="F31" s="23">
        <v>2.2825725832062896E-2</v>
      </c>
      <c r="G31" s="23">
        <v>3.2275575834185936E-2</v>
      </c>
      <c r="H31" s="23">
        <v>4.0958988214969766E-2</v>
      </c>
      <c r="I31" s="23">
        <v>4.8618808058678166E-2</v>
      </c>
      <c r="J31" s="23">
        <v>5.5219491251129821E-2</v>
      </c>
      <c r="K31" s="23">
        <v>6.0829636116243577E-2</v>
      </c>
      <c r="L31" s="23">
        <v>6.5558191223529974E-2</v>
      </c>
      <c r="M31" s="23">
        <v>6.9522460678946449E-2</v>
      </c>
      <c r="N31" s="23">
        <v>7.2833433244470211E-2</v>
      </c>
      <c r="O31" s="23">
        <v>7.5590039191137368E-2</v>
      </c>
      <c r="P31" s="23">
        <v>7.7877771094520487E-2</v>
      </c>
      <c r="Q31" s="23">
        <v>7.9769287783626741E-2</v>
      </c>
      <c r="R31" s="23">
        <v>8.132580175097881E-2</v>
      </c>
      <c r="S31" s="23">
        <v>8.259866968340826E-2</v>
      </c>
      <c r="T31" s="23">
        <v>8.3630922882212716E-2</v>
      </c>
      <c r="U31" s="23">
        <v>8.4458632707766199E-2</v>
      </c>
      <c r="V31" s="23">
        <v>8.5112082567339015E-2</v>
      </c>
      <c r="W31" s="23">
        <v>8.5616752667804136E-2</v>
      </c>
      <c r="X31" s="23">
        <v>8.5994137686868852E-2</v>
      </c>
      <c r="Y31" s="23">
        <v>8.6262421419225688E-2</v>
      </c>
      <c r="Z31" s="23">
        <v>8.6437031786428906E-2</v>
      </c>
      <c r="AA31" s="23">
        <v>8.6531097082578848E-2</v>
      </c>
      <c r="AB31" s="23">
        <v>8.6555821281879913E-2</v>
      </c>
      <c r="AC31" s="23">
        <v>8.6520793262887724E-2</v>
      </c>
      <c r="AD31" s="23">
        <v>8.6434242151918528E-2</v>
      </c>
      <c r="AE31" s="23">
        <v>8.6303248727866183E-2</v>
      </c>
      <c r="AF31" s="23">
        <v>8.6133920953226972E-2</v>
      </c>
      <c r="AG31" s="23">
        <v>8.5931540160266273E-2</v>
      </c>
      <c r="AH31" s="23">
        <v>8.5700683175845838E-2</v>
      </c>
      <c r="AI31" s="23">
        <v>8.5445324664808767E-2</v>
      </c>
      <c r="AJ31" s="23">
        <v>8.5168923163104024E-2</v>
      </c>
      <c r="AK31" s="23">
        <v>8.4874493622736219E-2</v>
      </c>
      <c r="AL31" s="23">
        <v>8.4564668768127238E-2</v>
      </c>
      <c r="AM31" s="23">
        <v>8.4241751142659638E-2</v>
      </c>
      <c r="AN31" s="23">
        <v>8.3907757385168674E-2</v>
      </c>
      <c r="AO31" s="23">
        <v>8.3564456001365237E-2</v>
      </c>
      <c r="AP31" s="23">
        <v>8.3213399673419133E-2</v>
      </c>
      <c r="AQ31" s="23">
        <v>8.28559529696897E-2</v>
      </c>
      <c r="AR31" s="23">
        <v>8.2493316169807998E-2</v>
      </c>
      <c r="AS31" s="23">
        <v>8.2126545799786246E-2</v>
      </c>
      <c r="AT31" s="23">
        <v>8.1756572373012135E-2</v>
      </c>
      <c r="AU31" s="23">
        <v>8.1384215752480477E-2</v>
      </c>
      <c r="AV31" s="23">
        <v>8.101019848199742E-2</v>
      </c>
      <c r="AW31" s="23">
        <v>8.0635157379669281E-2</v>
      </c>
      <c r="AX31" s="23">
        <v>8.0259653640245648E-2</v>
      </c>
    </row>
    <row r="32" spans="1:50" x14ac:dyDescent="0.25">
      <c r="E32" s="23">
        <v>8.5069402251639829E-4</v>
      </c>
      <c r="F32" s="23">
        <v>2.835363105200342E-3</v>
      </c>
      <c r="G32" s="23">
        <v>5.8119129947544514E-3</v>
      </c>
      <c r="H32" s="23">
        <v>9.4808175770294857E-3</v>
      </c>
      <c r="I32" s="23">
        <v>1.3540045971598941E-2</v>
      </c>
      <c r="J32" s="23">
        <v>1.7745422381118911E-2</v>
      </c>
      <c r="K32" s="23">
        <v>2.1921530614203426E-2</v>
      </c>
      <c r="L32" s="23">
        <v>2.5952788087605306E-2</v>
      </c>
      <c r="M32" s="23">
        <v>2.9769382937524423E-2</v>
      </c>
      <c r="N32" s="23">
        <v>3.3334071034369764E-2</v>
      </c>
      <c r="O32" s="23">
        <v>3.6631654569618234E-2</v>
      </c>
      <c r="P32" s="23">
        <v>3.9661240091224181E-2</v>
      </c>
      <c r="Q32" s="23">
        <v>4.2430801239079351E-2</v>
      </c>
      <c r="R32" s="23">
        <v>4.4953477909450985E-2</v>
      </c>
      <c r="S32" s="23">
        <v>4.724511850001429E-2</v>
      </c>
      <c r="T32" s="23">
        <v>4.9322685212466515E-2</v>
      </c>
      <c r="U32" s="23">
        <v>5.1203246580793976E-2</v>
      </c>
      <c r="V32" s="23">
        <v>5.2903363603334974E-2</v>
      </c>
      <c r="W32" s="23">
        <v>5.4438736283101974E-2</v>
      </c>
      <c r="X32" s="23">
        <v>5.5824020131057528E-2</v>
      </c>
      <c r="Y32" s="23">
        <v>5.7072751772965231E-2</v>
      </c>
      <c r="Z32" s="23">
        <v>5.8197343007135839E-2</v>
      </c>
      <c r="AA32" s="23">
        <v>5.9209116349937911E-2</v>
      </c>
      <c r="AB32" s="23">
        <v>6.011836433194527E-2</v>
      </c>
      <c r="AC32" s="23">
        <v>6.0934421001547445E-2</v>
      </c>
      <c r="AD32" s="23">
        <v>6.166573823759771E-2</v>
      </c>
      <c r="AE32" s="23">
        <v>6.2319962235182207E-2</v>
      </c>
      <c r="AF32" s="23">
        <v>6.2904007361092501E-2</v>
      </c>
      <c r="AG32" s="23">
        <v>6.3424125781973012E-2</v>
      </c>
      <c r="AH32" s="23">
        <v>6.3885972054661885E-2</v>
      </c>
      <c r="AI32" s="23">
        <v>6.4294662372468669E-2</v>
      </c>
      <c r="AJ32" s="23">
        <v>6.4654828477465912E-2</v>
      </c>
      <c r="AK32" s="23">
        <v>6.4970666439508731E-2</v>
      </c>
      <c r="AL32" s="23">
        <v>6.5245980610885226E-2</v>
      </c>
      <c r="AM32" s="23">
        <v>6.5484223119294221E-2</v>
      </c>
      <c r="AN32" s="23">
        <v>6.5688529281385147E-2</v>
      </c>
      <c r="AO32" s="23">
        <v>6.586174931630577E-2</v>
      </c>
      <c r="AP32" s="23">
        <v>6.6006476723221616E-2</v>
      </c>
      <c r="AQ32" s="23">
        <v>6.6125073663927919E-2</v>
      </c>
      <c r="AR32" s="23">
        <v>6.6219693664799961E-2</v>
      </c>
      <c r="AS32" s="23">
        <v>6.629230192479274E-2</v>
      </c>
      <c r="AT32" s="23">
        <v>6.6344693488791448E-2</v>
      </c>
      <c r="AU32" s="23">
        <v>6.6378509519074522E-2</v>
      </c>
      <c r="AV32" s="23">
        <v>6.6395251873567346E-2</v>
      </c>
      <c r="AW32" s="23">
        <v>6.6396296176635936E-2</v>
      </c>
      <c r="AX32" s="23">
        <v>6.6382903548097852E-2</v>
      </c>
    </row>
    <row r="33" spans="6:50" x14ac:dyDescent="0.25">
      <c r="F33" s="23">
        <v>1.4528364474585676E-4</v>
      </c>
      <c r="G33" s="23">
        <v>5.8107645080140817E-4</v>
      </c>
      <c r="H33" s="23">
        <v>1.3839533846734852E-3</v>
      </c>
      <c r="I33" s="23">
        <v>2.5605283686606227E-3</v>
      </c>
      <c r="J33" s="23">
        <v>4.070348834039228E-3</v>
      </c>
      <c r="K33" s="23">
        <v>5.8496729074253738E-3</v>
      </c>
      <c r="L33" s="23">
        <v>7.8285756290433234E-3</v>
      </c>
      <c r="M33" s="23">
        <v>9.941006123781666E-3</v>
      </c>
      <c r="N33" s="23">
        <v>1.2129616269707129E-2</v>
      </c>
      <c r="O33" s="23">
        <v>1.4347313040909498E-2</v>
      </c>
      <c r="P33" s="23">
        <v>1.6557006830726403E-2</v>
      </c>
      <c r="Q33" s="23">
        <v>1.8730507640631739E-2</v>
      </c>
      <c r="R33" s="23">
        <v>2.0847124718227944E-2</v>
      </c>
      <c r="S33" s="23">
        <v>2.2892264538865795E-2</v>
      </c>
      <c r="T33" s="23">
        <v>2.4856165164321813E-2</v>
      </c>
      <c r="U33" s="23">
        <v>2.6732817138299114E-2</v>
      </c>
      <c r="V33" s="23">
        <v>2.8519075449484288E-2</v>
      </c>
      <c r="W33" s="23">
        <v>3.0213945838500976E-2</v>
      </c>
      <c r="X33" s="23">
        <v>3.181802078634819E-2</v>
      </c>
      <c r="Y33" s="23">
        <v>3.3333039404686897E-2</v>
      </c>
      <c r="Z33" s="23">
        <v>3.4761547501218334E-2</v>
      </c>
      <c r="AA33" s="23">
        <v>3.6106637353800514E-2</v>
      </c>
      <c r="AB33" s="23">
        <v>3.7371750197060252E-2</v>
      </c>
      <c r="AC33" s="23">
        <v>3.8560527642024521E-2</v>
      </c>
      <c r="AD33" s="23">
        <v>3.9676701033760184E-2</v>
      </c>
      <c r="AE33" s="23">
        <v>4.0724010068816943E-2</v>
      </c>
      <c r="AF33" s="23">
        <v>4.1706143874901361E-2</v>
      </c>
      <c r="AG33" s="23">
        <v>4.2626699257277786E-2</v>
      </c>
      <c r="AH33" s="23">
        <v>4.3489152003226915E-2</v>
      </c>
      <c r="AI33" s="23">
        <v>4.4296838066415004E-2</v>
      </c>
      <c r="AJ33" s="23">
        <v>4.505294217915129E-2</v>
      </c>
      <c r="AK33" s="23">
        <v>4.5760492005013038E-2</v>
      </c>
      <c r="AL33" s="23">
        <v>4.6422356381850674E-2</v>
      </c>
      <c r="AM33" s="23">
        <v>4.7041246544383408E-2</v>
      </c>
      <c r="AN33" s="23">
        <v>4.7619719477242445E-2</v>
      </c>
      <c r="AO33" s="23">
        <v>4.8160182752045637E-2</v>
      </c>
      <c r="AP33" s="23">
        <v>4.8664900358159374E-2</v>
      </c>
      <c r="AQ33" s="23">
        <v>4.9135999157165024E-2</v>
      </c>
      <c r="AR33" s="23">
        <v>4.9575475684093359E-2</v>
      </c>
      <c r="AS33" s="23">
        <v>4.9985203089662436E-2</v>
      </c>
      <c r="AT33" s="23">
        <v>5.036693807265883E-2</v>
      </c>
      <c r="AU33" s="23">
        <v>5.0722327693672194E-2</v>
      </c>
      <c r="AV33" s="23">
        <v>5.1052915993435588E-2</v>
      </c>
      <c r="AW33" s="23">
        <v>5.1360150363575365E-2</v>
      </c>
      <c r="AX33" s="23">
        <v>5.1645387635923773E-2</v>
      </c>
    </row>
    <row r="34" spans="6:50" x14ac:dyDescent="0.25">
      <c r="G34" s="23">
        <v>2.4811902836938118E-5</v>
      </c>
      <c r="H34" s="23">
        <v>1.1577729808401664E-4</v>
      </c>
      <c r="I34" s="23">
        <v>3.1422123400260039E-4</v>
      </c>
      <c r="J34" s="23">
        <v>6.5042801907061931E-4</v>
      </c>
      <c r="K34" s="23">
        <v>1.1399149609747114E-3</v>
      </c>
      <c r="L34" s="23">
        <v>1.7845304671519585E-3</v>
      </c>
      <c r="M34" s="23">
        <v>2.5756901882098724E-3</v>
      </c>
      <c r="N34" s="23">
        <v>3.4979952700185451E-3</v>
      </c>
      <c r="O34" s="23">
        <v>4.5323710355323578E-3</v>
      </c>
      <c r="P34" s="23">
        <v>5.6584415665846856E-3</v>
      </c>
      <c r="Q34" s="23">
        <v>6.8561533176613662E-3</v>
      </c>
      <c r="R34" s="23">
        <v>8.1067805476824802E-3</v>
      </c>
      <c r="S34" s="23">
        <v>9.3934706832723182E-3</v>
      </c>
      <c r="T34" s="23">
        <v>1.0701471344526394E-2</v>
      </c>
      <c r="U34" s="23">
        <v>1.2018150961713329E-2</v>
      </c>
      <c r="V34" s="23">
        <v>1.3332894913501311E-2</v>
      </c>
      <c r="W34" s="23">
        <v>1.4636933964630096E-2</v>
      </c>
      <c r="X34" s="23">
        <v>1.5923142555610191E-2</v>
      </c>
      <c r="Y34" s="23">
        <v>1.7185830630731862E-2</v>
      </c>
      <c r="Z34" s="23">
        <v>1.842054310222559E-2</v>
      </c>
      <c r="AA34" s="23">
        <v>1.96238746464702E-2</v>
      </c>
      <c r="AB34" s="23">
        <v>2.0793303395448364E-2</v>
      </c>
      <c r="AC34" s="23">
        <v>2.1927044518037706E-2</v>
      </c>
      <c r="AD34" s="23">
        <v>2.3023923165860855E-2</v>
      </c>
      <c r="AE34" s="23">
        <v>2.4083265425062457E-2</v>
      </c>
      <c r="AF34" s="23">
        <v>2.5104805518735625E-2</v>
      </c>
      <c r="AG34" s="23">
        <v>2.6088607378172039E-2</v>
      </c>
      <c r="AH34" s="23">
        <v>2.7034998733205747E-2</v>
      </c>
      <c r="AI34" s="23">
        <v>2.7944515992332882E-2</v>
      </c>
      <c r="AJ34" s="23">
        <v>2.8817858345905275E-2</v>
      </c>
      <c r="AK34" s="23">
        <v>2.965584970338677E-2</v>
      </c>
      <c r="AL34" s="23">
        <v>3.0459407251754524E-2</v>
      </c>
      <c r="AM34" s="23">
        <v>3.1229515587527838E-2</v>
      </c>
      <c r="AN34" s="23">
        <v>3.196720552533952E-2</v>
      </c>
      <c r="AO34" s="23">
        <v>3.2673536819486988E-2</v>
      </c>
      <c r="AP34" s="23">
        <v>3.3349584151618233E-2</v>
      </c>
      <c r="AQ34" s="23">
        <v>3.3996425838862088E-2</v>
      </c>
      <c r="AR34" s="23">
        <v>3.4615134803065967E-2</v>
      </c>
      <c r="AS34" s="23">
        <v>3.5206771415642955E-2</v>
      </c>
      <c r="AT34" s="23">
        <v>3.5772377894935294E-2</v>
      </c>
      <c r="AU34" s="23">
        <v>3.6312973985869849E-2</v>
      </c>
      <c r="AV34" s="23">
        <v>3.6829553695996449E-2</v>
      </c>
      <c r="AW34" s="23">
        <v>3.7323082899411074E-2</v>
      </c>
      <c r="AX34" s="23">
        <v>3.7794497651430503E-2</v>
      </c>
    </row>
    <row r="35" spans="6:50" x14ac:dyDescent="0.25">
      <c r="H35" s="23">
        <v>4.2374385875756713E-6</v>
      </c>
      <c r="I35" s="23">
        <v>2.2597411927223523E-5</v>
      </c>
      <c r="J35" s="23">
        <v>6.884460276509796E-5</v>
      </c>
      <c r="K35" s="23">
        <v>1.5767955672570862E-4</v>
      </c>
      <c r="L35" s="23">
        <v>3.0217258152972961E-4</v>
      </c>
      <c r="M35" s="23">
        <v>5.1218612004611788E-4</v>
      </c>
      <c r="N35" s="23">
        <v>7.9377274260879487E-4</v>
      </c>
      <c r="O35" s="23">
        <v>1.1492810615873626E-3</v>
      </c>
      <c r="P35" s="23">
        <v>1.5778704334494188E-3</v>
      </c>
      <c r="Q35" s="23">
        <v>2.0761974928865407E-3</v>
      </c>
      <c r="R35" s="23">
        <v>2.6391190276933343E-3</v>
      </c>
      <c r="S35" s="23">
        <v>3.260324916778347E-3</v>
      </c>
      <c r="T35" s="23">
        <v>3.932863477646693E-3</v>
      </c>
      <c r="U35" s="23">
        <v>4.649551553135566E-3</v>
      </c>
      <c r="V35" s="23">
        <v>5.4032778802412858E-3</v>
      </c>
      <c r="W35" s="23">
        <v>6.1872154867804209E-3</v>
      </c>
      <c r="X35" s="23">
        <v>6.994960737879437E-3</v>
      </c>
      <c r="Y35" s="23">
        <v>7.8206157049823758E-3</v>
      </c>
      <c r="Z35" s="23">
        <v>8.6588283107106138E-3</v>
      </c>
      <c r="AA35" s="23">
        <v>9.504802108559406E-3</v>
      </c>
      <c r="AB35" s="23">
        <v>1.0354285056356178E-2</v>
      </c>
      <c r="AC35" s="23">
        <v>1.1203544448331272E-2</v>
      </c>
      <c r="AD35" s="23">
        <v>1.2049333350507962E-2</v>
      </c>
      <c r="AE35" s="23">
        <v>1.2888852429789684E-2</v>
      </c>
      <c r="AF35" s="23">
        <v>1.3719709937428175E-2</v>
      </c>
      <c r="AG35" s="23">
        <v>1.4539881748884922E-2</v>
      </c>
      <c r="AH35" s="23">
        <v>1.5347672722031188E-2</v>
      </c>
      <c r="AI35" s="23">
        <v>1.6141680166598681E-2</v>
      </c>
      <c r="AJ35" s="23">
        <v>1.6920759880394952E-2</v>
      </c>
      <c r="AK35" s="23">
        <v>1.7683994969665457E-2</v>
      </c>
      <c r="AL35" s="23">
        <v>1.8430667507004558E-2</v>
      </c>
      <c r="AM35" s="23">
        <v>1.9160232970511622E-2</v>
      </c>
      <c r="AN35" s="23">
        <v>1.9872297337832481E-2</v>
      </c>
      <c r="AO35" s="23">
        <v>2.0566596666824817E-2</v>
      </c>
      <c r="AP35" s="23">
        <v>2.1242978972730565E-2</v>
      </c>
      <c r="AQ35" s="23">
        <v>2.1901388203454466E-2</v>
      </c>
      <c r="AR35" s="23">
        <v>2.2541850115715224E-2</v>
      </c>
      <c r="AS35" s="23">
        <v>2.3164459861860474E-2</v>
      </c>
      <c r="AT35" s="23">
        <v>2.3769371107973846E-2</v>
      </c>
      <c r="AU35" s="23">
        <v>2.4356786516614586E-2</v>
      </c>
      <c r="AV35" s="23">
        <v>2.4926949441409031E-2</v>
      </c>
      <c r="AW35" s="23">
        <v>2.5480136694488897E-2</v>
      </c>
      <c r="AX35" s="23">
        <v>2.6016652261382112E-2</v>
      </c>
    </row>
    <row r="36" spans="6:50" x14ac:dyDescent="0.25">
      <c r="I36" s="23">
        <v>7.2368031994475114E-7</v>
      </c>
      <c r="J36" s="23">
        <v>4.3416476014629182E-6</v>
      </c>
      <c r="K36" s="23">
        <v>1.4671693224035947E-5</v>
      </c>
      <c r="L36" s="23">
        <v>3.6843032713528405E-5</v>
      </c>
      <c r="M36" s="23">
        <v>7.6662682627220733E-5</v>
      </c>
      <c r="N36" s="23">
        <v>1.3993459159502335E-4</v>
      </c>
      <c r="O36" s="23">
        <v>2.3189431077998593E-4</v>
      </c>
      <c r="P36" s="23">
        <v>3.5682709620188662E-4</v>
      </c>
      <c r="Q36" s="23">
        <v>5.1787079859326229E-4</v>
      </c>
      <c r="R36" s="23">
        <v>7.1697092041784821E-4</v>
      </c>
      <c r="S36" s="23">
        <v>9.5494390866555673E-4</v>
      </c>
      <c r="T36" s="23">
        <v>1.2316070183794716E-3</v>
      </c>
      <c r="U36" s="23">
        <v>1.5459411736104783E-3</v>
      </c>
      <c r="V36" s="23">
        <v>1.8962625896309859E-3</v>
      </c>
      <c r="W36" s="23">
        <v>2.2803873475423495E-3</v>
      </c>
      <c r="X36" s="23">
        <v>2.6957797744561317E-3</v>
      </c>
      <c r="Y36" s="23">
        <v>3.1396802882452507E-3</v>
      </c>
      <c r="Z36" s="23">
        <v>3.6092115802150511E-3</v>
      </c>
      <c r="AA36" s="23">
        <v>4.1014639924660508E-3</v>
      </c>
      <c r="AB36" s="23">
        <v>4.6135620439056967E-3</v>
      </c>
      <c r="AC36" s="23">
        <v>5.1427145564502692E-3</v>
      </c>
      <c r="AD36" s="23">
        <v>5.6862509481611445E-3</v>
      </c>
      <c r="AE36" s="23">
        <v>6.2416461488215029E-3</v>
      </c>
      <c r="AF36" s="23">
        <v>6.8065363614343609E-3</v>
      </c>
      <c r="AG36" s="23">
        <v>7.3787276091209844E-3</v>
      </c>
      <c r="AH36" s="23">
        <v>7.9561987132309095E-3</v>
      </c>
      <c r="AI36" s="23">
        <v>8.537100069498876E-3</v>
      </c>
      <c r="AJ36" s="23">
        <v>9.1197493373711483E-3</v>
      </c>
      <c r="AK36" s="23">
        <v>9.7026249381750636E-3</v>
      </c>
      <c r="AL36" s="23">
        <v>1.0284358071230001E-2</v>
      </c>
      <c r="AM36" s="23">
        <v>1.0863723801432273E-2</v>
      </c>
      <c r="AN36" s="23">
        <v>1.1439631644028506E-2</v>
      </c>
      <c r="AO36" s="23">
        <v>1.2011115968696452E-2</v>
      </c>
      <c r="AP36" s="23">
        <v>1.2577326461988543E-2</v>
      </c>
      <c r="AQ36" s="23">
        <v>1.3137518821322764E-2</v>
      </c>
      <c r="AR36" s="23">
        <v>1.3691045801949429E-2</v>
      </c>
      <c r="AS36" s="23">
        <v>1.4237348698099277E-2</v>
      </c>
      <c r="AT36" s="23">
        <v>1.4775949308607121E-2</v>
      </c>
      <c r="AU36" s="23">
        <v>1.5306442413838278E-2</v>
      </c>
      <c r="AV36" s="23">
        <v>1.5828488773140068E-2</v>
      </c>
      <c r="AW36" s="23">
        <v>1.6341808639185204E-2</v>
      </c>
      <c r="AX36" s="23">
        <v>1.6846175776238977E-2</v>
      </c>
    </row>
    <row r="37" spans="6:50" x14ac:dyDescent="0.25">
      <c r="J37" s="23">
        <v>1.235919281546578E-7</v>
      </c>
      <c r="K37" s="23">
        <v>8.2386377220288805E-7</v>
      </c>
      <c r="L37" s="23">
        <v>3.0582883242540951E-6</v>
      </c>
      <c r="M37" s="23">
        <v>8.3559684539248786E-6</v>
      </c>
      <c r="N37" s="23">
        <v>1.8764445233974314E-5</v>
      </c>
      <c r="O37" s="23">
        <v>3.6707417033314694E-5</v>
      </c>
      <c r="P37" s="23">
        <v>6.4797556367576992E-5</v>
      </c>
      <c r="Q37" s="23">
        <v>1.0564712458611745E-4</v>
      </c>
      <c r="R37" s="23">
        <v>1.6170324831468895E-4</v>
      </c>
      <c r="S37" s="23">
        <v>2.3512233532428119E-4</v>
      </c>
      <c r="T37" s="23">
        <v>3.2768751134630564E-4</v>
      </c>
      <c r="U37" s="23">
        <v>4.4076571859466747E-4</v>
      </c>
      <c r="V37" s="23">
        <v>5.7529763788774372E-4</v>
      </c>
      <c r="W37" s="23">
        <v>7.3181245408527891E-4</v>
      </c>
      <c r="X37" s="23">
        <v>9.1045975804702789E-4</v>
      </c>
      <c r="Y37" s="23">
        <v>1.1110519417034787E-3</v>
      </c>
      <c r="Z37" s="23">
        <v>1.3331117941057815E-3</v>
      </c>
      <c r="AA37" s="23">
        <v>1.5759213477420928E-3</v>
      </c>
      <c r="AB37" s="23">
        <v>1.8385692120347942E-3</v>
      </c>
      <c r="AC37" s="23">
        <v>2.1199946041253323E-3</v>
      </c>
      <c r="AD37" s="23">
        <v>2.4190270421369838E-3</v>
      </c>
      <c r="AE37" s="23">
        <v>2.7344212226965469E-3</v>
      </c>
      <c r="AF37" s="23">
        <v>3.0648869956287719E-3</v>
      </c>
      <c r="AG37" s="23">
        <v>3.4091146086788274E-3</v>
      </c>
      <c r="AH37" s="23">
        <v>3.7657955558080733E-3</v>
      </c>
      <c r="AI37" s="23">
        <v>4.133639450625037E-3</v>
      </c>
      <c r="AJ37" s="23">
        <v>4.5113873833790867E-3</v>
      </c>
      <c r="AK37" s="23">
        <v>4.8978222222669093E-3</v>
      </c>
      <c r="AL37" s="23">
        <v>5.2917763000183277E-3</v>
      </c>
      <c r="AM37" s="23">
        <v>5.6921368938360984E-3</v>
      </c>
      <c r="AN37" s="23">
        <v>6.0978498671147565E-3</v>
      </c>
      <c r="AO37" s="23">
        <v>6.5079217992901582E-3</v>
      </c>
      <c r="AP37" s="23">
        <v>6.9214208884892051E-3</v>
      </c>
      <c r="AQ37" s="23">
        <v>7.3374768721419315E-3</v>
      </c>
      <c r="AR37" s="23">
        <v>7.7552801743598016E-3</v>
      </c>
      <c r="AS37" s="23">
        <v>8.1740804561968028E-3</v>
      </c>
      <c r="AT37" s="23">
        <v>8.5931847159319841E-3</v>
      </c>
      <c r="AU37" s="23">
        <v>9.0119550612826303E-3</v>
      </c>
      <c r="AV37" s="23">
        <v>9.4298062536289518E-3</v>
      </c>
      <c r="AW37" s="23">
        <v>9.8462031056644785E-3</v>
      </c>
      <c r="AX37" s="23">
        <v>1.0260657798106769E-2</v>
      </c>
    </row>
    <row r="38" spans="6:50" x14ac:dyDescent="0.25">
      <c r="K38" s="23">
        <v>2.1107337430638257E-8</v>
      </c>
      <c r="L38" s="23">
        <v>1.5477165852208324E-7</v>
      </c>
      <c r="M38" s="23">
        <v>6.2547288497264495E-7</v>
      </c>
      <c r="N38" s="23">
        <v>1.8488778780149578E-6</v>
      </c>
      <c r="O38" s="23">
        <v>4.4577274888039074E-6</v>
      </c>
      <c r="P38" s="23">
        <v>9.3056024993865242E-6</v>
      </c>
      <c r="Q38" s="23">
        <v>1.7437305970004781E-5</v>
      </c>
      <c r="R38" s="23">
        <v>3.0039028903366345E-5</v>
      </c>
      <c r="S38" s="23">
        <v>4.837895869904342E-5</v>
      </c>
      <c r="T38" s="23">
        <v>7.3745519037469776E-5</v>
      </c>
      <c r="U38" s="23">
        <v>1.073902201184927E-4</v>
      </c>
      <c r="V38" s="23">
        <v>1.5047952904060196E-4</v>
      </c>
      <c r="W38" s="23">
        <v>2.0405768351493796E-4</v>
      </c>
      <c r="X38" s="23">
        <v>2.6902079359621801E-4</v>
      </c>
      <c r="Y38" s="23">
        <v>3.4610147957454281E-4</v>
      </c>
      <c r="Z38" s="23">
        <v>4.3586262817507692E-4</v>
      </c>
      <c r="AA38" s="23">
        <v>5.3869857069664283E-4</v>
      </c>
      <c r="AB38" s="23">
        <v>6.5484195063938218E-4</v>
      </c>
      <c r="AC38" s="23">
        <v>7.8437467987854236E-4</v>
      </c>
      <c r="AD38" s="23">
        <v>9.2724158886038838E-4</v>
      </c>
      <c r="AE38" s="23">
        <v>1.0832656168089441E-3</v>
      </c>
      <c r="AF38" s="23">
        <v>1.2521636267849785E-3</v>
      </c>
      <c r="AG38" s="23">
        <v>1.4335621512299149E-3</v>
      </c>
      <c r="AH38" s="23">
        <v>1.6270125646837955E-3</v>
      </c>
      <c r="AI38" s="23">
        <v>1.8320053391676658E-3</v>
      </c>
      <c r="AJ38" s="23">
        <v>2.0479831652935238E-3</v>
      </c>
      <c r="AK38" s="23">
        <v>2.2743528214296737E-3</v>
      </c>
      <c r="AL38" s="23">
        <v>2.5104957480170842E-3</v>
      </c>
      <c r="AM38" s="23">
        <v>2.7557773385615725E-3</v>
      </c>
      <c r="AN38" s="23">
        <v>3.0095549967804427E-3</v>
      </c>
      <c r="AO38" s="23">
        <v>3.271185034429783E-3</v>
      </c>
      <c r="AP38" s="23">
        <v>3.5400284994066651E-3</v>
      </c>
      <c r="AQ38" s="23">
        <v>3.8154560313609074E-3</v>
      </c>
      <c r="AR38" s="23">
        <v>4.0968518442453606E-3</v>
      </c>
      <c r="AS38" s="23">
        <v>4.3836169335731553E-3</v>
      </c>
      <c r="AT38" s="23">
        <v>4.6751716019227205E-3</v>
      </c>
      <c r="AU38" s="23">
        <v>4.9709573903025644E-3</v>
      </c>
      <c r="AV38" s="23">
        <v>5.2704384961601118E-3</v>
      </c>
      <c r="AW38" s="23">
        <v>5.573102751515009E-3</v>
      </c>
      <c r="AX38" s="23">
        <v>5.8784622273445938E-3</v>
      </c>
    </row>
    <row r="39" spans="6:50" x14ac:dyDescent="0.25">
      <c r="L39" s="23">
        <v>3.6047636772311822E-9</v>
      </c>
      <c r="M39" s="23">
        <v>3.0037053147114026E-8</v>
      </c>
      <c r="N39" s="23">
        <v>1.2684251683798617E-7</v>
      </c>
      <c r="O39" s="23">
        <v>4.0030919023428978E-7</v>
      </c>
      <c r="P39" s="23">
        <v>1.0325048017099081E-6</v>
      </c>
      <c r="Q39" s="23">
        <v>2.2915234473921068E-6</v>
      </c>
      <c r="R39" s="23">
        <v>4.5435379289395681E-6</v>
      </c>
      <c r="S39" s="23">
        <v>8.2483590148139947E-6</v>
      </c>
      <c r="T39" s="23">
        <v>1.3947873816086709E-5</v>
      </c>
      <c r="U39" s="23">
        <v>2.2249400781963769E-5</v>
      </c>
      <c r="V39" s="23">
        <v>3.3804892700867814E-5</v>
      </c>
      <c r="W39" s="23">
        <v>4.9288604730538553E-5</v>
      </c>
      <c r="X39" s="23">
        <v>6.9375284828643641E-5</v>
      </c>
      <c r="Y39" s="23">
        <v>9.4720226607753383E-5</v>
      </c>
      <c r="Z39" s="23">
        <v>1.2594212287013392E-4</v>
      </c>
      <c r="AA39" s="23">
        <v>1.6360916909835907E-4</v>
      </c>
      <c r="AB39" s="23">
        <v>2.0822857554317922E-4</v>
      </c>
      <c r="AC39" s="23">
        <v>2.6023935473453417E-4</v>
      </c>
      <c r="AD39" s="23">
        <v>3.2000809113989553E-4</v>
      </c>
      <c r="AE39" s="23">
        <v>3.8782729802938805E-4</v>
      </c>
      <c r="AF39" s="23">
        <v>4.6391593446784638E-4</v>
      </c>
      <c r="AG39" s="23">
        <v>5.4842165220662443E-4</v>
      </c>
      <c r="AH39" s="23">
        <v>6.4142436677566824E-4</v>
      </c>
      <c r="AI39" s="23">
        <v>7.4294078829324024E-4</v>
      </c>
      <c r="AJ39" s="23">
        <v>8.5292959612214556E-4</v>
      </c>
      <c r="AK39" s="23">
        <v>9.7129699209078004E-4</v>
      </c>
      <c r="AL39" s="23">
        <v>1.0979024158385984E-3</v>
      </c>
      <c r="AM39" s="23">
        <v>1.2325642508288766E-3</v>
      </c>
      <c r="AN39" s="23">
        <v>1.3750653894819547E-3</v>
      </c>
      <c r="AO39" s="23">
        <v>1.5251585602233863E-3</v>
      </c>
      <c r="AP39" s="23">
        <v>1.6825713481178884E-3</v>
      </c>
      <c r="AQ39" s="23">
        <v>1.8470108644445132E-3</v>
      </c>
      <c r="AR39" s="23">
        <v>2.0181680396262731E-3</v>
      </c>
      <c r="AS39" s="23">
        <v>2.1957215289156507E-3</v>
      </c>
      <c r="AT39" s="23">
        <v>2.3793412317359803E-3</v>
      </c>
      <c r="AU39" s="23">
        <v>2.5686914341807843E-3</v>
      </c>
      <c r="AV39" s="23">
        <v>2.7634335903371741E-3</v>
      </c>
      <c r="AW39" s="23">
        <v>2.9632287623587738E-3</v>
      </c>
      <c r="AX39" s="23">
        <v>3.1677397418905418E-3</v>
      </c>
    </row>
    <row r="40" spans="6:50" x14ac:dyDescent="0.25">
      <c r="N40" s="23">
        <v>5.1298027764799931E-9</v>
      </c>
      <c r="O40" s="23">
        <v>2.6792283841593983E-8</v>
      </c>
      <c r="P40" s="23">
        <v>8.6225536870773261E-8</v>
      </c>
      <c r="Q40" s="23">
        <v>2.3381168403606732E-7</v>
      </c>
      <c r="R40" s="23">
        <v>5.5034970498651877E-7</v>
      </c>
      <c r="S40" s="23">
        <v>1.1514055981631045E-6</v>
      </c>
      <c r="T40" s="23">
        <v>2.197209964286492E-6</v>
      </c>
      <c r="U40" s="23">
        <v>3.8930192182655489E-6</v>
      </c>
      <c r="V40" s="23">
        <v>6.4875844246938468E-6</v>
      </c>
      <c r="W40" s="23">
        <v>1.0269631923123908E-5</v>
      </c>
      <c r="X40" s="23">
        <v>1.5561800539624881E-5</v>
      </c>
      <c r="Y40" s="23">
        <v>2.2713101689835468E-5</v>
      </c>
      <c r="Z40" s="23">
        <v>3.2090308102754572E-5</v>
      </c>
      <c r="AA40" s="23">
        <v>4.4069186596529441E-5</v>
      </c>
      <c r="AB40" s="23">
        <v>5.9025925091599832E-5</v>
      </c>
      <c r="AC40" s="23">
        <v>7.732917763184923E-5</v>
      </c>
      <c r="AD40" s="23">
        <v>9.933296549522735E-5</v>
      </c>
      <c r="AE40" s="23">
        <v>1.2537063900340767E-4</v>
      </c>
      <c r="AF40" s="23">
        <v>1.5574996618071337E-4</v>
      </c>
      <c r="AG40" s="23">
        <v>1.9074934626399283E-4</v>
      </c>
      <c r="AH40" s="23">
        <v>2.3061509834812959E-4</v>
      </c>
      <c r="AI40" s="23">
        <v>2.7555973861467613E-4</v>
      </c>
      <c r="AJ40" s="23">
        <v>3.2576113750321009E-4</v>
      </c>
      <c r="AK40" s="23">
        <v>3.8136243682331504E-4</v>
      </c>
      <c r="AL40" s="23">
        <v>4.4247260478484169E-4</v>
      </c>
      <c r="AM40" s="23">
        <v>5.0916751069185224E-4</v>
      </c>
      <c r="AN40" s="23">
        <v>5.8149140887044852E-4</v>
      </c>
      <c r="AO40" s="23">
        <v>6.5945873179958515E-4</v>
      </c>
      <c r="AP40" s="23">
        <v>7.4305610393703505E-4</v>
      </c>
      <c r="AQ40" s="23">
        <v>8.3224449977470447E-4</v>
      </c>
      <c r="AR40" s="23">
        <v>9.2696148140401725E-4</v>
      </c>
      <c r="AS40" s="23">
        <v>1.0271234619326161E-3</v>
      </c>
      <c r="AT40" s="23">
        <v>1.1326279511867509E-3</v>
      </c>
      <c r="AU40" s="23">
        <v>1.2433557491622904E-3</v>
      </c>
      <c r="AV40" s="23">
        <v>1.3591730606117732E-3</v>
      </c>
      <c r="AW40" s="23">
        <v>1.479933510975538E-3</v>
      </c>
      <c r="AX40" s="23">
        <v>1.6054800496590282E-3</v>
      </c>
    </row>
    <row r="41" spans="6:50" x14ac:dyDescent="0.25">
      <c r="P41" s="23">
        <v>4.5756529898481448E-9</v>
      </c>
      <c r="Q41" s="23">
        <v>1.9301465015303236E-8</v>
      </c>
      <c r="R41" s="23">
        <v>5.2797298215655305E-8</v>
      </c>
      <c r="S41" s="23">
        <v>1.2918477196202761E-7</v>
      </c>
      <c r="T41" s="23">
        <v>2.8475682684988966E-7</v>
      </c>
      <c r="U41" s="23">
        <v>5.6998639883163828E-7</v>
      </c>
      <c r="V41" s="23">
        <v>1.0560021222216005E-6</v>
      </c>
      <c r="W41" s="23">
        <v>1.8351856586099746E-6</v>
      </c>
      <c r="X41" s="23">
        <v>3.0225630003878531E-6</v>
      </c>
      <c r="Y41" s="23">
        <v>4.7547064470061797E-6</v>
      </c>
      <c r="Z41" s="23">
        <v>7.1891280798092377E-6</v>
      </c>
      <c r="AA41" s="23">
        <v>1.0502093805869922E-5</v>
      </c>
      <c r="AB41" s="23">
        <v>1.4885861821259003E-5</v>
      </c>
      <c r="AC41" s="23">
        <v>2.0545212298270442E-5</v>
      </c>
      <c r="AD41" s="23">
        <v>2.7693858580358557E-5</v>
      </c>
      <c r="AE41" s="23">
        <v>3.6550722707716379E-5</v>
      </c>
      <c r="AF41" s="23">
        <v>4.7336240345869938E-5</v>
      </c>
      <c r="AG41" s="23">
        <v>6.0268849417006655E-5</v>
      </c>
      <c r="AH41" s="23">
        <v>7.5561760050490688E-5</v>
      </c>
      <c r="AI41" s="23">
        <v>9.3420075361991424E-5</v>
      </c>
      <c r="AJ41" s="23">
        <v>1.1403830217784478E-4</v>
      </c>
      <c r="AK41" s="23">
        <v>1.3759827186995055E-4</v>
      </c>
      <c r="AL41" s="23">
        <v>1.6426747158610529E-4</v>
      </c>
      <c r="AM41" s="23">
        <v>1.941977716376435E-4</v>
      </c>
      <c r="AN41" s="23">
        <v>2.2752452471184228E-4</v>
      </c>
      <c r="AO41" s="23">
        <v>2.6436600479833071E-4</v>
      </c>
      <c r="AP41" s="23">
        <v>3.0482315015208723E-4</v>
      </c>
      <c r="AQ41" s="23">
        <v>3.4897957267172457E-4</v>
      </c>
      <c r="AR41" s="23">
        <v>3.9690179586980058E-4</v>
      </c>
      <c r="AS41" s="23">
        <v>4.4863968462875524E-4</v>
      </c>
      <c r="AT41" s="23">
        <v>5.0422703200427813E-4</v>
      </c>
      <c r="AU41" s="23">
        <v>5.6368227100663448E-4</v>
      </c>
      <c r="AV41" s="23">
        <v>6.2700928230268057E-4</v>
      </c>
      <c r="AW41" s="23">
        <v>6.9419827195913841E-4</v>
      </c>
      <c r="AX41" s="23">
        <v>7.6522669651210692E-4</v>
      </c>
    </row>
    <row r="42" spans="6:50" x14ac:dyDescent="0.25">
      <c r="R42" s="23">
        <v>3.2963522866469942E-9</v>
      </c>
      <c r="S42" s="23">
        <v>1.2313206425127307E-8</v>
      </c>
      <c r="T42" s="23">
        <v>3.0270480426139926E-8</v>
      </c>
      <c r="U42" s="23">
        <v>6.8809782127367387E-8</v>
      </c>
      <c r="V42" s="23">
        <v>1.4321229696857872E-7</v>
      </c>
      <c r="W42" s="23">
        <v>2.7890563290910652E-7</v>
      </c>
      <c r="X42" s="23">
        <v>5.0537561723783555E-7</v>
      </c>
      <c r="Y42" s="23">
        <v>8.6485601084278164E-7</v>
      </c>
      <c r="Z42" s="23">
        <v>1.4104160987864574E-6</v>
      </c>
      <c r="AA42" s="23">
        <v>2.2071469707912545E-6</v>
      </c>
      <c r="AB42" s="23">
        <v>3.331144679042367E-6</v>
      </c>
      <c r="AC42" s="23">
        <v>4.8700211083943801E-6</v>
      </c>
      <c r="AD42" s="23">
        <v>6.9221672108876336E-6</v>
      </c>
      <c r="AE42" s="23">
        <v>9.5956392289677424E-6</v>
      </c>
      <c r="AF42" s="23">
        <v>1.3006870623198926E-5</v>
      </c>
      <c r="AG42" s="23">
        <v>1.7279179583086661E-5</v>
      </c>
      <c r="AH42" s="23">
        <v>2.2541151624075325E-5</v>
      </c>
      <c r="AI42" s="23">
        <v>2.8924943780580765E-5</v>
      </c>
      <c r="AJ42" s="23">
        <v>3.6564588149528555E-5</v>
      </c>
      <c r="AK42" s="23">
        <v>4.559433990041408E-5</v>
      </c>
      <c r="AL42" s="23">
        <v>5.6147109180033039E-5</v>
      </c>
      <c r="AM42" s="23">
        <v>6.8353009832732001E-5</v>
      </c>
      <c r="AN42" s="23">
        <v>8.2338043202055591E-5</v>
      </c>
      <c r="AO42" s="23">
        <v>9.8222934287105183E-5</v>
      </c>
      <c r="AP42" s="23">
        <v>1.1612212812152043E-4</v>
      </c>
      <c r="AQ42" s="23">
        <v>1.3614294828973871E-4</v>
      </c>
      <c r="AR42" s="23">
        <v>1.5838491427307144E-4</v>
      </c>
      <c r="AS42" s="23">
        <v>1.8293921122323063E-4</v>
      </c>
      <c r="AT42" s="23">
        <v>2.0988830311160521E-4</v>
      </c>
      <c r="AU42" s="23">
        <v>2.3930567830538437E-4</v>
      </c>
      <c r="AV42" s="23">
        <v>2.7125571547377466E-4</v>
      </c>
      <c r="AW42" s="23">
        <v>3.057936570260674E-4</v>
      </c>
      <c r="AX42" s="23">
        <v>3.429656771823371E-4</v>
      </c>
    </row>
    <row r="43" spans="6:50" x14ac:dyDescent="0.25">
      <c r="T43" s="23">
        <v>2.1028800727424178E-9</v>
      </c>
      <c r="U43" s="23">
        <v>7.2725481415369852E-9</v>
      </c>
      <c r="V43" s="23">
        <v>1.9024054178998334E-8</v>
      </c>
      <c r="W43" s="23">
        <v>3.7139587096971744E-8</v>
      </c>
      <c r="X43" s="23">
        <v>7.2389447038136766E-8</v>
      </c>
      <c r="Y43" s="23">
        <v>1.3456411127349036E-7</v>
      </c>
      <c r="Z43" s="23">
        <v>2.4097290414066159E-7</v>
      </c>
      <c r="AA43" s="23">
        <v>4.0762395317486242E-7</v>
      </c>
      <c r="AB43" s="23">
        <v>6.5943415457121848E-7</v>
      </c>
      <c r="AC43" s="23">
        <v>1.0272489108677948E-6</v>
      </c>
      <c r="AD43" s="23">
        <v>1.5477822120353156E-6</v>
      </c>
      <c r="AE43" s="23">
        <v>2.26417282600022E-6</v>
      </c>
      <c r="AF43" s="23">
        <v>3.225967039108981E-6</v>
      </c>
      <c r="AG43" s="23">
        <v>4.4889782686023591E-6</v>
      </c>
      <c r="AH43" s="23">
        <v>6.1148811393312271E-6</v>
      </c>
      <c r="AI43" s="23">
        <v>8.1707545154251598E-6</v>
      </c>
      <c r="AJ43" s="23">
        <v>1.0728491112650409E-5</v>
      </c>
      <c r="AK43" s="23">
        <v>1.3864110033593207E-5</v>
      </c>
      <c r="AL43" s="23">
        <v>1.7657012746705439E-5</v>
      </c>
      <c r="AM43" s="23">
        <v>2.2189174838158983E-5</v>
      </c>
      <c r="AN43" s="23">
        <v>2.7544330434459806E-5</v>
      </c>
      <c r="AO43" s="23">
        <v>3.3807160597049734E-5</v>
      </c>
      <c r="AP43" s="23">
        <v>4.1062502677878131E-5</v>
      </c>
      <c r="AQ43" s="23">
        <v>4.9394591960779929E-5</v>
      </c>
      <c r="AR43" s="23">
        <v>5.8886349495717758E-5</v>
      </c>
      <c r="AS43" s="23">
        <v>6.9618725363799607E-5</v>
      </c>
      <c r="AT43" s="23">
        <v>8.1670103632641459E-5</v>
      </c>
      <c r="AU43" s="23">
        <v>9.5115773170010938E-5</v>
      </c>
      <c r="AV43" s="23">
        <v>1.1002746572584891E-4</v>
      </c>
      <c r="AW43" s="23">
        <v>1.2647296159113263E-4</v>
      </c>
      <c r="AX43" s="23">
        <v>1.4451576171192881E-4</v>
      </c>
    </row>
    <row r="44" spans="6:50" x14ac:dyDescent="0.25">
      <c r="W44" s="23">
        <v>3.2489753728282574E-9</v>
      </c>
      <c r="X44" s="23">
        <v>9.5917665938650686E-9</v>
      </c>
      <c r="Y44" s="23">
        <v>2.1954616723844079E-8</v>
      </c>
      <c r="Z44" s="23">
        <v>3.7616141339124847E-8</v>
      </c>
      <c r="AA44" s="23">
        <v>6.6228872156041908E-8</v>
      </c>
      <c r="AB44" s="23">
        <v>1.1541761198008363E-7</v>
      </c>
      <c r="AC44" s="23">
        <v>1.9249934075611116E-7</v>
      </c>
      <c r="AD44" s="23">
        <v>3.0892283000704529E-7</v>
      </c>
      <c r="AE44" s="23">
        <v>4.7905227605520854E-7</v>
      </c>
      <c r="AF44" s="23">
        <v>7.2072749717658387E-7</v>
      </c>
      <c r="AG44" s="23">
        <v>1.0549106509914579E-6</v>
      </c>
      <c r="AH44" s="23">
        <v>1.5062387225331208E-6</v>
      </c>
      <c r="AI44" s="23">
        <v>2.1030471476424961E-6</v>
      </c>
      <c r="AJ44" s="23">
        <v>2.8773440631323631E-6</v>
      </c>
      <c r="AK44" s="23">
        <v>3.8647880094343295E-6</v>
      </c>
      <c r="AL44" s="23">
        <v>5.1044144017475166E-6</v>
      </c>
      <c r="AM44" s="23">
        <v>6.6384575294198391E-6</v>
      </c>
      <c r="AN44" s="23">
        <v>8.5120851609385741E-6</v>
      </c>
      <c r="AO44" s="23">
        <v>1.0773085759811821E-5</v>
      </c>
      <c r="AP44" s="23">
        <v>1.3471500048630709E-5</v>
      </c>
      <c r="AQ44" s="23">
        <v>1.6659234007372935E-5</v>
      </c>
      <c r="AR44" s="23">
        <v>2.03896565802703E-5</v>
      </c>
      <c r="AS44" s="23">
        <v>2.471718943859217E-5</v>
      </c>
      <c r="AT44" s="23">
        <v>2.9696898277750714E-5</v>
      </c>
      <c r="AU44" s="23">
        <v>3.538408873283797E-5</v>
      </c>
      <c r="AV44" s="23">
        <v>4.1833915733250246E-5</v>
      </c>
      <c r="AW44" s="23">
        <v>4.9101011576145515E-5</v>
      </c>
      <c r="AX44" s="23">
        <v>5.7239136591350872E-5</v>
      </c>
    </row>
    <row r="45" spans="6:50" x14ac:dyDescent="0.25">
      <c r="Z45" s="23">
        <v>3.7494641459967139E-9</v>
      </c>
      <c r="AA45" s="23">
        <v>1.0173642487885373E-8</v>
      </c>
      <c r="AB45" s="23">
        <v>1.8092481712566386E-8</v>
      </c>
      <c r="AC45" s="23">
        <v>3.1771755351293653E-8</v>
      </c>
      <c r="AD45" s="23">
        <v>5.4054568624218533E-8</v>
      </c>
      <c r="AE45" s="23">
        <v>9.0458770717719077E-8</v>
      </c>
      <c r="AF45" s="23">
        <v>1.44726251234718E-7</v>
      </c>
      <c r="AG45" s="23">
        <v>2.2381601816426572E-7</v>
      </c>
      <c r="AH45" s="23">
        <v>3.3621101903177126E-7</v>
      </c>
      <c r="AI45" s="23">
        <v>4.921428706758263E-7</v>
      </c>
      <c r="AJ45" s="23">
        <v>7.0418032818743714E-7</v>
      </c>
      <c r="AK45" s="23">
        <v>9.8636063013924365E-7</v>
      </c>
      <c r="AL45" s="23">
        <v>1.3549975263214431E-6</v>
      </c>
      <c r="AM45" s="23">
        <v>1.8286277461505116E-6</v>
      </c>
      <c r="AN45" s="23">
        <v>2.4280319959854013E-6</v>
      </c>
      <c r="AO45" s="23">
        <v>3.1761038166893241E-6</v>
      </c>
      <c r="AP45" s="23">
        <v>4.0978103868749716E-6</v>
      </c>
      <c r="AQ45" s="23">
        <v>5.2201014906418328E-6</v>
      </c>
      <c r="AR45" s="23">
        <v>6.5717838043749769E-6</v>
      </c>
      <c r="AS45" s="23">
        <v>8.1833789690968325E-6</v>
      </c>
      <c r="AT45" s="23">
        <v>1.0086938985768213E-5</v>
      </c>
      <c r="AU45" s="23">
        <v>1.2315856156635043E-5</v>
      </c>
      <c r="AV45" s="23">
        <v>1.490466240047502E-5</v>
      </c>
      <c r="AW45" s="23">
        <v>1.7888819789889603E-5</v>
      </c>
      <c r="AX45" s="23">
        <v>2.1304507594326602E-5</v>
      </c>
    </row>
    <row r="46" spans="6:50" x14ac:dyDescent="0.25">
      <c r="AB46" s="23">
        <v>1.7374800126243282E-9</v>
      </c>
      <c r="AC46" s="23">
        <v>4.8273591185392222E-9</v>
      </c>
      <c r="AD46" s="23">
        <v>1.0253418659614527E-8</v>
      </c>
      <c r="AE46" s="23">
        <v>1.6066502616761473E-8</v>
      </c>
      <c r="AF46" s="23">
        <v>2.6158704622268355E-8</v>
      </c>
      <c r="AG46" s="23">
        <v>4.2154101843668622E-8</v>
      </c>
      <c r="AH46" s="23">
        <v>6.6323780816752434E-8</v>
      </c>
      <c r="AI46" s="23">
        <v>1.0425854821811107E-7</v>
      </c>
      <c r="AJ46" s="23">
        <v>1.5714202361509047E-7</v>
      </c>
      <c r="AK46" s="23">
        <v>2.303037212304685E-7</v>
      </c>
      <c r="AL46" s="23">
        <v>3.2986486699676877E-7</v>
      </c>
      <c r="AM46" s="23">
        <v>4.6327389352559192E-7</v>
      </c>
      <c r="AN46" s="23">
        <v>6.3869264137583308E-7</v>
      </c>
      <c r="AO46" s="23">
        <v>8.6562138912211399E-7</v>
      </c>
      <c r="AP46" s="23">
        <v>1.1548866695810472E-6</v>
      </c>
      <c r="AQ46" s="23">
        <v>1.5186478005556813E-6</v>
      </c>
      <c r="AR46" s="23">
        <v>1.9704619294498731E-6</v>
      </c>
      <c r="AS46" s="23">
        <v>2.5251614487157957E-6</v>
      </c>
      <c r="AT46" s="23">
        <v>3.1988712026894555E-6</v>
      </c>
      <c r="AU46" s="23">
        <v>4.0089778568125301E-6</v>
      </c>
      <c r="AV46" s="23">
        <v>4.974074732174508E-6</v>
      </c>
      <c r="AW46" s="23">
        <v>6.1139014762243882E-6</v>
      </c>
      <c r="AX46" s="23">
        <v>7.4492478696105046E-6</v>
      </c>
    </row>
    <row r="47" spans="6:50" x14ac:dyDescent="0.25">
      <c r="AE47" s="23">
        <v>1.7511043860020473E-9</v>
      </c>
      <c r="AF47" s="23">
        <v>4.4949817340261099E-9</v>
      </c>
      <c r="AG47" s="23">
        <v>8.9624304861770222E-9</v>
      </c>
      <c r="AH47" s="23">
        <v>1.6161613029767138E-8</v>
      </c>
      <c r="AI47" s="23">
        <v>2.2100271512189054E-8</v>
      </c>
      <c r="AJ47" s="23">
        <v>3.2537575250945664E-8</v>
      </c>
      <c r="AK47" s="23">
        <v>4.8526653439118113E-8</v>
      </c>
      <c r="AL47" s="23">
        <v>7.3645968305448379E-8</v>
      </c>
      <c r="AM47" s="23">
        <v>1.0808594625074209E-7</v>
      </c>
      <c r="AN47" s="23">
        <v>1.5498656241723825E-7</v>
      </c>
      <c r="AO47" s="23">
        <v>2.179380284264993E-7</v>
      </c>
      <c r="AP47" s="23">
        <v>3.0111206093378239E-7</v>
      </c>
      <c r="AQ47" s="23">
        <v>4.097306991024966E-7</v>
      </c>
      <c r="AR47" s="23">
        <v>5.4917787835179923E-7</v>
      </c>
      <c r="AS47" s="23">
        <v>7.2575679309125348E-7</v>
      </c>
      <c r="AT47" s="23">
        <v>9.4662487541919173E-7</v>
      </c>
      <c r="AU47" s="23">
        <v>1.2197797235034336E-6</v>
      </c>
      <c r="AV47" s="23">
        <v>1.5541250074314121E-6</v>
      </c>
      <c r="AW47" s="23">
        <v>1.9593462200440033E-6</v>
      </c>
      <c r="AX47" s="23">
        <v>2.4459509279786089E-6</v>
      </c>
    </row>
    <row r="48" spans="6:50" x14ac:dyDescent="0.25">
      <c r="AI48" s="23">
        <v>2.7601205413337271E-9</v>
      </c>
      <c r="AJ48" s="23">
        <v>6.5344599749958614E-9</v>
      </c>
      <c r="AK48" s="23">
        <v>1.2091308146642944E-8</v>
      </c>
      <c r="AL48" s="23">
        <v>1.6347568589160824E-8</v>
      </c>
      <c r="AM48" s="23">
        <v>2.3474730908150639E-8</v>
      </c>
      <c r="AN48" s="23">
        <v>3.4107442433393517E-8</v>
      </c>
      <c r="AO48" s="23">
        <v>4.9205011842533822E-8</v>
      </c>
      <c r="AP48" s="23">
        <v>7.2409055626097027E-8</v>
      </c>
      <c r="AQ48" s="23">
        <v>1.026515807184129E-7</v>
      </c>
      <c r="AR48" s="23">
        <v>1.4238582662675869E-7</v>
      </c>
      <c r="AS48" s="23">
        <v>1.9421058995181572E-7</v>
      </c>
      <c r="AT48" s="23">
        <v>2.610321562201087E-7</v>
      </c>
      <c r="AU48" s="23">
        <v>3.46559432192691E-7</v>
      </c>
      <c r="AV48" s="23">
        <v>4.5432766296192313E-7</v>
      </c>
      <c r="AW48" s="23">
        <v>5.885186308907447E-7</v>
      </c>
      <c r="AX48" s="23">
        <v>7.5387668484966289E-7</v>
      </c>
    </row>
    <row r="49" spans="38:50" x14ac:dyDescent="0.25">
      <c r="AL49" s="23">
        <v>2.0649837318634687E-9</v>
      </c>
      <c r="AM49" s="23">
        <v>4.8568622269552544E-9</v>
      </c>
      <c r="AN49" s="23">
        <v>8.8659352608484074E-9</v>
      </c>
      <c r="AO49" s="23">
        <v>1.4690889261378118E-8</v>
      </c>
      <c r="AP49" s="23">
        <v>1.8196301054656938E-8</v>
      </c>
      <c r="AQ49" s="23">
        <v>2.4495852909164087E-8</v>
      </c>
      <c r="AR49" s="23">
        <v>3.386002785620174E-8</v>
      </c>
      <c r="AS49" s="23">
        <v>4.6888100235392555E-8</v>
      </c>
      <c r="AT49" s="23">
        <v>6.6957398474442764E-8</v>
      </c>
      <c r="AU49" s="23">
        <v>9.2204889465006786E-8</v>
      </c>
      <c r="AV49" s="23">
        <v>1.2450366211047965E-7</v>
      </c>
      <c r="AW49" s="23">
        <v>1.6571489476670239E-7</v>
      </c>
      <c r="AX49" s="23">
        <v>2.1785132293886766E-7</v>
      </c>
    </row>
    <row r="50" spans="38:50" x14ac:dyDescent="0.25">
      <c r="AP50" s="23">
        <v>2.5089466717277466E-9</v>
      </c>
      <c r="AQ50" s="23">
        <v>5.6165563035594814E-9</v>
      </c>
      <c r="AR50" s="23">
        <v>9.8000190970040572E-9</v>
      </c>
      <c r="AS50" s="23">
        <v>1.5582719019584938E-8</v>
      </c>
      <c r="AT50" s="23">
        <v>1.8395106819355372E-8</v>
      </c>
      <c r="AU50" s="23">
        <v>2.3697329236898316E-8</v>
      </c>
      <c r="AV50" s="23">
        <v>3.1543620028631638E-8</v>
      </c>
      <c r="AW50" s="23">
        <v>4.2290022205556146E-8</v>
      </c>
      <c r="AX50" s="23">
        <v>5.8969534708458299E-8</v>
      </c>
    </row>
    <row r="51" spans="38:50" x14ac:dyDescent="0.25">
      <c r="AT51" s="23">
        <v>2.6612555799077405E-9</v>
      </c>
      <c r="AU51" s="23">
        <v>5.8028177555776108E-9</v>
      </c>
      <c r="AV51" s="23">
        <v>9.849906686677691E-9</v>
      </c>
      <c r="AW51" s="23">
        <v>1.5237004708928163E-8</v>
      </c>
      <c r="AX51" s="23">
        <v>1.7379382443250663E-8</v>
      </c>
    </row>
    <row r="52" spans="38:50" x14ac:dyDescent="0.25">
      <c r="AX52" s="23">
        <v>2.6022136285553416E-9</v>
      </c>
    </row>
  </sheetData>
  <mergeCells count="1">
    <mergeCell ref="A1:C3"/>
  </mergeCells>
  <conditionalFormatting sqref="A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zoomScale="90" zoomScaleNormal="90" workbookViewId="0">
      <selection activeCell="A5" sqref="A5:F5"/>
    </sheetView>
  </sheetViews>
  <sheetFormatPr baseColWidth="10" defaultColWidth="9.140625" defaultRowHeight="15" x14ac:dyDescent="0.25"/>
  <cols>
    <col min="1" max="2" width="9.140625" style="7"/>
    <col min="3" max="4" width="13.28515625" style="7" customWidth="1"/>
    <col min="5" max="5" width="15.7109375" style="7" customWidth="1"/>
    <col min="6" max="6" width="17.140625" style="7" customWidth="1"/>
    <col min="7" max="9" width="9.140625" style="7"/>
    <col min="10" max="10" width="9" style="7" customWidth="1"/>
    <col min="11" max="16384" width="9.140625" style="7"/>
  </cols>
  <sheetData>
    <row r="1" spans="1:10" x14ac:dyDescent="0.25">
      <c r="A1" s="48" t="s">
        <v>42</v>
      </c>
      <c r="B1" s="48"/>
      <c r="C1" s="48"/>
      <c r="H1" s="48" t="s">
        <v>45</v>
      </c>
      <c r="I1" s="48"/>
      <c r="J1" s="48"/>
    </row>
    <row r="2" spans="1:10" x14ac:dyDescent="0.25">
      <c r="A2" s="48"/>
      <c r="B2" s="48"/>
      <c r="C2" s="48"/>
      <c r="H2" s="48"/>
      <c r="I2" s="48"/>
      <c r="J2" s="48"/>
    </row>
    <row r="3" spans="1:10" x14ac:dyDescent="0.25">
      <c r="A3" s="48"/>
      <c r="B3" s="48"/>
      <c r="C3" s="48"/>
      <c r="H3" s="48"/>
      <c r="I3" s="48"/>
      <c r="J3" s="48"/>
    </row>
    <row r="4" spans="1:10" ht="12.4" customHeight="1" x14ac:dyDescent="0.25">
      <c r="A4" s="18"/>
      <c r="B4" s="18"/>
      <c r="C4" s="18"/>
    </row>
    <row r="5" spans="1:10" ht="16.5" thickBot="1" x14ac:dyDescent="0.3">
      <c r="A5" s="49" t="s">
        <v>44</v>
      </c>
      <c r="B5" s="49"/>
      <c r="C5" s="49"/>
      <c r="D5" s="49"/>
      <c r="E5" s="49"/>
      <c r="F5" s="49"/>
    </row>
    <row r="6" spans="1:10" ht="14.45" customHeight="1" x14ac:dyDescent="0.25">
      <c r="A6" s="52" t="s">
        <v>7</v>
      </c>
      <c r="B6" s="52" t="s">
        <v>8</v>
      </c>
      <c r="C6" s="52" t="s">
        <v>2</v>
      </c>
      <c r="D6" s="52" t="s">
        <v>26</v>
      </c>
      <c r="E6" s="52" t="s">
        <v>9</v>
      </c>
      <c r="F6" s="52" t="s">
        <v>10</v>
      </c>
    </row>
    <row r="7" spans="1:10" ht="14.45" customHeight="1" thickBot="1" x14ac:dyDescent="0.3">
      <c r="A7" s="53"/>
      <c r="B7" s="53"/>
      <c r="C7" s="53"/>
      <c r="D7" s="53"/>
      <c r="E7" s="53"/>
      <c r="F7" s="53"/>
    </row>
    <row r="8" spans="1:10" x14ac:dyDescent="0.25">
      <c r="A8" s="8">
        <f>1</f>
        <v>1</v>
      </c>
      <c r="B8" s="8">
        <v>0</v>
      </c>
      <c r="C8" s="8">
        <v>0</v>
      </c>
      <c r="D8" s="8">
        <v>10.450583572185572</v>
      </c>
      <c r="E8" s="9">
        <f>IF(D8&lt;&gt;"" &amp; B8&lt;&gt;"",ABS(B8-D8),"")</f>
        <v>10.450583572185572</v>
      </c>
      <c r="F8" s="9">
        <f>IF($E8&lt;&gt;"", $E8*$A8, "")</f>
        <v>10.450583572185572</v>
      </c>
    </row>
    <row r="9" spans="1:10" x14ac:dyDescent="0.25">
      <c r="A9" s="6">
        <v>5</v>
      </c>
      <c r="B9" s="8">
        <v>9.1532218255407596</v>
      </c>
      <c r="C9" s="6">
        <v>0</v>
      </c>
      <c r="D9" s="8">
        <v>10.450583572185572</v>
      </c>
      <c r="E9" s="9">
        <f t="shared" ref="E9:E56" si="0">IF(D9&lt;&gt;"" &amp; B9&lt;&gt;"",ABS(B9-D9),"")</f>
        <v>1.2973617466448122</v>
      </c>
      <c r="F9" s="5">
        <f t="shared" ref="F9:F56" si="1">IF($E9&lt;&gt;"", $E9*$A9, "")</f>
        <v>6.4868087332240609</v>
      </c>
    </row>
    <row r="10" spans="1:10" x14ac:dyDescent="0.25">
      <c r="A10" s="6">
        <v>10</v>
      </c>
      <c r="B10" s="8">
        <v>9.885952034609474</v>
      </c>
      <c r="C10" s="6">
        <v>0</v>
      </c>
      <c r="D10" s="8">
        <v>10.450583572185572</v>
      </c>
      <c r="E10" s="9">
        <f t="shared" si="0"/>
        <v>0.56463153757609774</v>
      </c>
      <c r="F10" s="5">
        <f t="shared" si="1"/>
        <v>5.6463153757609774</v>
      </c>
    </row>
    <row r="11" spans="1:10" x14ac:dyDescent="0.25">
      <c r="A11" s="6">
        <v>20</v>
      </c>
      <c r="B11" s="8">
        <v>10.169111805734914</v>
      </c>
      <c r="C11" s="6">
        <v>7.8125E-3</v>
      </c>
      <c r="D11" s="8">
        <v>10.450583572185572</v>
      </c>
      <c r="E11" s="9">
        <f t="shared" si="0"/>
        <v>0.28147176645065741</v>
      </c>
      <c r="F11" s="5">
        <f t="shared" si="1"/>
        <v>5.6294353290131482</v>
      </c>
    </row>
    <row r="12" spans="1:10" x14ac:dyDescent="0.25">
      <c r="A12" s="6">
        <v>30</v>
      </c>
      <c r="B12" s="8">
        <v>10.241536846623694</v>
      </c>
      <c r="C12" s="6">
        <v>0</v>
      </c>
      <c r="D12" s="8">
        <v>10.450583572185572</v>
      </c>
      <c r="E12" s="9">
        <f t="shared" si="0"/>
        <v>0.20904672556187798</v>
      </c>
      <c r="F12" s="5">
        <f t="shared" si="1"/>
        <v>6.2714017668563393</v>
      </c>
    </row>
    <row r="13" spans="1:10" x14ac:dyDescent="0.25">
      <c r="A13" s="6">
        <v>50</v>
      </c>
      <c r="B13" s="8">
        <v>10.283793769983403</v>
      </c>
      <c r="C13" s="6">
        <v>1.5625E-2</v>
      </c>
      <c r="D13" s="8">
        <v>10.450583572185572</v>
      </c>
      <c r="E13" s="9">
        <f t="shared" si="0"/>
        <v>0.16678980220216921</v>
      </c>
      <c r="F13" s="5">
        <f t="shared" si="1"/>
        <v>8.3394901101084606</v>
      </c>
    </row>
    <row r="14" spans="1:10" x14ac:dyDescent="0.25">
      <c r="A14" s="6">
        <v>75</v>
      </c>
      <c r="B14" s="8">
        <v>10.366449770738569</v>
      </c>
      <c r="C14" s="6">
        <v>3.125E-2</v>
      </c>
      <c r="D14" s="8">
        <v>10.450583572185572</v>
      </c>
      <c r="E14" s="9">
        <f t="shared" si="0"/>
        <v>8.4133801447002554E-2</v>
      </c>
      <c r="F14" s="5">
        <f t="shared" si="1"/>
        <v>6.3100351085251916</v>
      </c>
    </row>
    <row r="15" spans="1:10" x14ac:dyDescent="0.25">
      <c r="A15" s="6">
        <v>100</v>
      </c>
      <c r="B15" s="8">
        <v>10.395147854133819</v>
      </c>
      <c r="C15" s="6">
        <v>7.8125E-2</v>
      </c>
      <c r="D15" s="8">
        <v>10.450583572185572</v>
      </c>
      <c r="E15" s="9">
        <f t="shared" si="0"/>
        <v>5.5435718051752403E-2</v>
      </c>
      <c r="F15" s="5">
        <f t="shared" si="1"/>
        <v>5.5435718051752403</v>
      </c>
    </row>
    <row r="16" spans="1:10" x14ac:dyDescent="0.25">
      <c r="A16" s="6">
        <v>125</v>
      </c>
      <c r="B16" s="8">
        <v>10.405881336518165</v>
      </c>
      <c r="C16" s="6">
        <v>8.59375E-2</v>
      </c>
      <c r="D16" s="8">
        <v>10.450583572185572</v>
      </c>
      <c r="E16" s="9">
        <f t="shared" si="0"/>
        <v>4.4702235667406498E-2</v>
      </c>
      <c r="F16" s="5">
        <f t="shared" si="1"/>
        <v>5.5877794584258123</v>
      </c>
    </row>
    <row r="17" spans="1:10" x14ac:dyDescent="0.25">
      <c r="A17" s="6">
        <f>A16+25</f>
        <v>150</v>
      </c>
      <c r="B17" s="8">
        <v>10.409194942821095</v>
      </c>
      <c r="C17" s="6">
        <v>0.125</v>
      </c>
      <c r="D17" s="8">
        <v>10.450583572185572</v>
      </c>
      <c r="E17" s="9">
        <f t="shared" si="0"/>
        <v>4.1388629364476515E-2</v>
      </c>
      <c r="F17" s="5">
        <f t="shared" si="1"/>
        <v>6.2082944046714772</v>
      </c>
    </row>
    <row r="18" spans="1:10" x14ac:dyDescent="0.25">
      <c r="A18" s="6">
        <f t="shared" ref="A18:A31" si="2">A17+25</f>
        <v>175</v>
      </c>
      <c r="B18" s="8">
        <v>10.409066876492723</v>
      </c>
      <c r="C18" s="6">
        <v>0.171875</v>
      </c>
      <c r="D18" s="8">
        <v>10.450583572185572</v>
      </c>
      <c r="E18" s="9">
        <f t="shared" si="0"/>
        <v>4.1516695692848771E-2</v>
      </c>
      <c r="F18" s="5">
        <f t="shared" si="1"/>
        <v>7.2654217462485349</v>
      </c>
    </row>
    <row r="19" spans="1:10" ht="14.45" customHeight="1" x14ac:dyDescent="0.25">
      <c r="A19" s="6">
        <f t="shared" si="2"/>
        <v>200</v>
      </c>
      <c r="B19" s="8">
        <v>10.410750220872679</v>
      </c>
      <c r="C19" s="6">
        <v>0.22265625</v>
      </c>
      <c r="D19" s="8">
        <v>10.450583572185572</v>
      </c>
      <c r="E19" s="9">
        <f t="shared" si="0"/>
        <v>3.9833351312893228E-2</v>
      </c>
      <c r="F19" s="5">
        <f t="shared" si="1"/>
        <v>7.9666702625786456</v>
      </c>
    </row>
    <row r="20" spans="1:10" ht="14.45" customHeight="1" x14ac:dyDescent="0.25">
      <c r="A20" s="6">
        <f t="shared" si="2"/>
        <v>225</v>
      </c>
      <c r="B20" s="8">
        <v>10.420231525731108</v>
      </c>
      <c r="C20" s="6">
        <v>0.296875</v>
      </c>
      <c r="D20" s="8">
        <v>10.450583572185572</v>
      </c>
      <c r="E20" s="9">
        <f t="shared" si="0"/>
        <v>3.0352046454463988E-2</v>
      </c>
      <c r="F20" s="5">
        <f t="shared" si="1"/>
        <v>6.8292104522543973</v>
      </c>
    </row>
    <row r="21" spans="1:10" ht="15" customHeight="1" x14ac:dyDescent="0.25">
      <c r="A21" s="6">
        <f>A20+25</f>
        <v>250</v>
      </c>
      <c r="B21" s="8">
        <v>10.426307917572029</v>
      </c>
      <c r="C21" s="6">
        <v>0.34375</v>
      </c>
      <c r="D21" s="8">
        <v>10.450583572185572</v>
      </c>
      <c r="E21" s="9">
        <f t="shared" si="0"/>
        <v>2.4275654613543196E-2</v>
      </c>
      <c r="F21" s="5">
        <f>IF($E21&lt;&gt;"", $E21*$A21, "")</f>
        <v>6.068913653385799</v>
      </c>
    </row>
    <row r="22" spans="1:10" x14ac:dyDescent="0.25">
      <c r="A22" s="6">
        <f>A21+25</f>
        <v>275</v>
      </c>
      <c r="B22" s="8">
        <v>10.430101140710535</v>
      </c>
      <c r="C22" s="6">
        <v>0.421875</v>
      </c>
      <c r="D22" s="8">
        <v>10.450583572185572</v>
      </c>
      <c r="E22" s="9">
        <f t="shared" si="0"/>
        <v>2.0482431475036478E-2</v>
      </c>
      <c r="F22" s="5">
        <f t="shared" si="1"/>
        <v>5.6326686556350314</v>
      </c>
    </row>
    <row r="23" spans="1:10" x14ac:dyDescent="0.25">
      <c r="A23" s="6">
        <f t="shared" si="2"/>
        <v>300</v>
      </c>
      <c r="B23" s="8">
        <v>10.432321494924157</v>
      </c>
      <c r="C23" s="6">
        <v>0.5</v>
      </c>
      <c r="D23" s="8">
        <v>10.450583572185572</v>
      </c>
      <c r="E23" s="9">
        <f t="shared" si="0"/>
        <v>1.8262077261415044E-2</v>
      </c>
      <c r="F23" s="5">
        <f t="shared" si="1"/>
        <v>5.4786231784245132</v>
      </c>
    </row>
    <row r="24" spans="1:10" x14ac:dyDescent="0.25">
      <c r="A24" s="6">
        <f t="shared" si="2"/>
        <v>325</v>
      </c>
      <c r="B24" s="8">
        <v>10.433435463102411</v>
      </c>
      <c r="C24" s="6">
        <v>0.59375</v>
      </c>
      <c r="D24" s="8">
        <v>10.450583572185572</v>
      </c>
      <c r="E24" s="9">
        <f t="shared" si="0"/>
        <v>1.714810908316089E-2</v>
      </c>
      <c r="F24" s="5">
        <f t="shared" si="1"/>
        <v>5.5731354520272891</v>
      </c>
    </row>
    <row r="25" spans="1:10" x14ac:dyDescent="0.25">
      <c r="A25" s="6">
        <f t="shared" si="2"/>
        <v>350</v>
      </c>
      <c r="B25" s="8">
        <v>10.433758711154615</v>
      </c>
      <c r="C25" s="6">
        <v>0.69140625</v>
      </c>
      <c r="D25" s="8">
        <v>10.450583572185572</v>
      </c>
      <c r="E25" s="9">
        <f t="shared" si="0"/>
        <v>1.6824861030956484E-2</v>
      </c>
      <c r="F25" s="5">
        <f t="shared" si="1"/>
        <v>5.8887013608347694</v>
      </c>
    </row>
    <row r="26" spans="1:10" x14ac:dyDescent="0.25">
      <c r="A26" s="6">
        <f t="shared" si="2"/>
        <v>375</v>
      </c>
      <c r="B26" s="8">
        <v>10.433510227616019</v>
      </c>
      <c r="C26" s="6">
        <v>0.8125</v>
      </c>
      <c r="D26" s="8">
        <v>10.450583572185572</v>
      </c>
      <c r="E26" s="9">
        <f t="shared" si="0"/>
        <v>1.7073344569553228E-2</v>
      </c>
      <c r="F26" s="5">
        <f t="shared" si="1"/>
        <v>6.4025042135824606</v>
      </c>
    </row>
    <row r="27" spans="1:10" x14ac:dyDescent="0.25">
      <c r="A27" s="6">
        <f t="shared" si="2"/>
        <v>400</v>
      </c>
      <c r="B27" s="8">
        <v>10.432845135970384</v>
      </c>
      <c r="C27" s="6">
        <v>0.9140625</v>
      </c>
      <c r="D27" s="8">
        <v>10.450583572185572</v>
      </c>
      <c r="E27" s="9">
        <f t="shared" si="0"/>
        <v>1.7738436215188003E-2</v>
      </c>
      <c r="F27" s="5">
        <f t="shared" si="1"/>
        <v>7.095374486075201</v>
      </c>
    </row>
    <row r="28" spans="1:10" x14ac:dyDescent="0.25">
      <c r="A28" s="6">
        <f t="shared" si="2"/>
        <v>425</v>
      </c>
      <c r="B28" s="8">
        <v>10.431875273226145</v>
      </c>
      <c r="C28" s="6">
        <v>1.03515625</v>
      </c>
      <c r="D28" s="8">
        <v>10.450583572185572</v>
      </c>
      <c r="E28" s="9">
        <f t="shared" si="0"/>
        <v>1.8708298959426273E-2</v>
      </c>
      <c r="F28" s="5">
        <f t="shared" si="1"/>
        <v>7.9510270577561659</v>
      </c>
    </row>
    <row r="29" spans="1:10" x14ac:dyDescent="0.25">
      <c r="A29" s="6">
        <f t="shared" si="2"/>
        <v>450</v>
      </c>
      <c r="B29" s="8">
        <v>10.433443663660622</v>
      </c>
      <c r="C29" s="6">
        <v>1.12890625</v>
      </c>
      <c r="D29" s="8">
        <v>10.450583572185572</v>
      </c>
      <c r="E29" s="9">
        <f t="shared" si="0"/>
        <v>1.7139908524949732E-2</v>
      </c>
      <c r="F29" s="5">
        <f t="shared" si="1"/>
        <v>7.7129588362273793</v>
      </c>
    </row>
    <row r="30" spans="1:10" x14ac:dyDescent="0.25">
      <c r="A30" s="6">
        <f t="shared" si="2"/>
        <v>475</v>
      </c>
      <c r="B30" s="8">
        <v>10.435948240441416</v>
      </c>
      <c r="C30" s="6">
        <v>1.26953125</v>
      </c>
      <c r="D30" s="8">
        <v>10.450583572185572</v>
      </c>
      <c r="E30" s="9">
        <f t="shared" si="0"/>
        <v>1.4635331744155877E-2</v>
      </c>
      <c r="F30" s="5">
        <f t="shared" si="1"/>
        <v>6.9517825784740417</v>
      </c>
    </row>
    <row r="31" spans="1:10" x14ac:dyDescent="0.25">
      <c r="A31" s="6">
        <f t="shared" si="2"/>
        <v>500</v>
      </c>
      <c r="B31" s="8">
        <v>10.437860740894754</v>
      </c>
      <c r="C31" s="6">
        <v>1.42578125</v>
      </c>
      <c r="D31" s="8">
        <v>10.450583572185572</v>
      </c>
      <c r="E31" s="9">
        <f t="shared" si="0"/>
        <v>1.2722831290817638E-2</v>
      </c>
      <c r="F31" s="5">
        <f t="shared" si="1"/>
        <v>6.3614156454088189</v>
      </c>
    </row>
    <row r="32" spans="1:10" x14ac:dyDescent="0.25">
      <c r="A32" s="6">
        <f>A31+50</f>
        <v>550</v>
      </c>
      <c r="B32" s="8">
        <v>10.440317791417934</v>
      </c>
      <c r="C32" s="6">
        <v>1.69140625</v>
      </c>
      <c r="D32" s="8">
        <v>10.450583572185572</v>
      </c>
      <c r="E32" s="9">
        <f t="shared" si="0"/>
        <v>1.0265780767637622E-2</v>
      </c>
      <c r="F32" s="5">
        <f t="shared" si="1"/>
        <v>5.6461794222006922</v>
      </c>
      <c r="H32" s="48" t="s">
        <v>46</v>
      </c>
      <c r="I32" s="48"/>
      <c r="J32" s="48"/>
    </row>
    <row r="33" spans="1:15" x14ac:dyDescent="0.25">
      <c r="A33" s="6">
        <f t="shared" ref="A33:A41" si="3">A32+50</f>
        <v>600</v>
      </c>
      <c r="B33" s="8">
        <v>10.441440887218961</v>
      </c>
      <c r="C33" s="6">
        <v>2.00390625</v>
      </c>
      <c r="D33" s="8">
        <v>10.450583572185572</v>
      </c>
      <c r="E33" s="9">
        <f t="shared" si="0"/>
        <v>9.1426849666103038E-3</v>
      </c>
      <c r="F33" s="5">
        <f t="shared" si="1"/>
        <v>5.4856109799661823</v>
      </c>
      <c r="H33" s="48"/>
      <c r="I33" s="48"/>
      <c r="J33" s="48"/>
      <c r="K33" s="50" t="s">
        <v>47</v>
      </c>
      <c r="L33" s="51"/>
      <c r="M33" s="51"/>
      <c r="N33" s="51"/>
      <c r="O33" s="51"/>
    </row>
    <row r="34" spans="1:15" x14ac:dyDescent="0.25">
      <c r="A34" s="6">
        <f t="shared" si="3"/>
        <v>650</v>
      </c>
      <c r="B34" s="8">
        <v>10.441639000647232</v>
      </c>
      <c r="C34" s="6">
        <v>2.3046875</v>
      </c>
      <c r="D34" s="8">
        <v>10.450583572185572</v>
      </c>
      <c r="E34" s="9">
        <f t="shared" si="0"/>
        <v>8.9445715383398294E-3</v>
      </c>
      <c r="F34" s="5">
        <f t="shared" si="1"/>
        <v>5.8139714999208891</v>
      </c>
      <c r="H34" s="48"/>
      <c r="I34" s="48"/>
      <c r="J34" s="48"/>
    </row>
    <row r="35" spans="1:15" x14ac:dyDescent="0.25">
      <c r="A35" s="6">
        <f t="shared" si="3"/>
        <v>700</v>
      </c>
      <c r="B35" s="8">
        <v>10.441187229958647</v>
      </c>
      <c r="C35" s="6">
        <v>2.61328125</v>
      </c>
      <c r="D35" s="8">
        <v>10.450583572185572</v>
      </c>
      <c r="E35" s="9">
        <f t="shared" si="0"/>
        <v>9.3963422269247587E-3</v>
      </c>
      <c r="F35" s="5">
        <f t="shared" si="1"/>
        <v>6.5774395588473311</v>
      </c>
    </row>
    <row r="36" spans="1:15" x14ac:dyDescent="0.25">
      <c r="A36" s="6">
        <f t="shared" si="3"/>
        <v>750</v>
      </c>
      <c r="B36" s="8">
        <v>10.440275152845722</v>
      </c>
      <c r="C36" s="6">
        <v>2.9921875</v>
      </c>
      <c r="D36" s="8">
        <v>10.450583572185572</v>
      </c>
      <c r="E36" s="9">
        <f t="shared" si="0"/>
        <v>1.0308419339850161E-2</v>
      </c>
      <c r="F36" s="5">
        <f t="shared" si="1"/>
        <v>7.7313145048876208</v>
      </c>
    </row>
    <row r="37" spans="1:15" x14ac:dyDescent="0.25">
      <c r="A37" s="6">
        <f t="shared" si="3"/>
        <v>800</v>
      </c>
      <c r="B37" s="8">
        <v>10.441217856394012</v>
      </c>
      <c r="C37" s="6">
        <v>3.32421875</v>
      </c>
      <c r="D37" s="8">
        <v>10.450583572185572</v>
      </c>
      <c r="E37" s="9">
        <f t="shared" si="0"/>
        <v>9.3657157915600919E-3</v>
      </c>
      <c r="F37" s="5">
        <f t="shared" si="1"/>
        <v>7.4925726332480735</v>
      </c>
    </row>
    <row r="38" spans="1:15" x14ac:dyDescent="0.25">
      <c r="A38" s="6">
        <f t="shared" si="3"/>
        <v>850</v>
      </c>
      <c r="B38" s="8">
        <v>10.442966363443686</v>
      </c>
      <c r="C38" s="6">
        <v>3.69140625</v>
      </c>
      <c r="D38" s="8">
        <v>10.450583572185572</v>
      </c>
      <c r="E38" s="9">
        <f t="shared" si="0"/>
        <v>7.6172087418857615E-3</v>
      </c>
      <c r="F38" s="5">
        <f t="shared" si="1"/>
        <v>6.4746274306028972</v>
      </c>
    </row>
    <row r="39" spans="1:15" x14ac:dyDescent="0.25">
      <c r="A39" s="6">
        <f t="shared" si="3"/>
        <v>900</v>
      </c>
      <c r="B39" s="8">
        <v>10.444111971478552</v>
      </c>
      <c r="C39" s="6">
        <v>4.0390625</v>
      </c>
      <c r="D39" s="8">
        <v>10.450583572185572</v>
      </c>
      <c r="E39" s="9">
        <f t="shared" si="0"/>
        <v>6.4716007070195758E-3</v>
      </c>
      <c r="F39" s="5">
        <f t="shared" si="1"/>
        <v>5.8244406363176182</v>
      </c>
    </row>
    <row r="40" spans="1:15" x14ac:dyDescent="0.25">
      <c r="A40" s="6">
        <f>A39+50</f>
        <v>950</v>
      </c>
      <c r="B40" s="8">
        <v>10.444780336317137</v>
      </c>
      <c r="C40" s="6">
        <v>4.4296875</v>
      </c>
      <c r="D40" s="8">
        <v>10.450583572185572</v>
      </c>
      <c r="E40" s="9">
        <f t="shared" si="0"/>
        <v>5.8032358684343421E-3</v>
      </c>
      <c r="F40" s="5">
        <f t="shared" si="1"/>
        <v>5.513074075012625</v>
      </c>
    </row>
    <row r="41" spans="1:15" x14ac:dyDescent="0.25">
      <c r="A41" s="6">
        <f t="shared" si="3"/>
        <v>1000</v>
      </c>
      <c r="B41" s="8">
        <v>10.445068425491515</v>
      </c>
      <c r="C41" s="6">
        <v>4.83984375</v>
      </c>
      <c r="D41" s="8">
        <v>10.450583572185572</v>
      </c>
      <c r="E41" s="9">
        <f t="shared" si="0"/>
        <v>5.5151466940568383E-3</v>
      </c>
      <c r="F41" s="5">
        <f t="shared" si="1"/>
        <v>5.5151466940568383</v>
      </c>
    </row>
    <row r="42" spans="1:15" x14ac:dyDescent="0.25">
      <c r="A42" s="6">
        <f>A41+100</f>
        <v>1100</v>
      </c>
      <c r="B42" s="8">
        <v>10.444790365781673</v>
      </c>
      <c r="C42" s="6">
        <v>6.09765625</v>
      </c>
      <c r="D42" s="8">
        <v>10.450583572185572</v>
      </c>
      <c r="E42" s="9">
        <f t="shared" si="0"/>
        <v>5.7932064038990205E-3</v>
      </c>
      <c r="F42" s="5">
        <f t="shared" si="1"/>
        <v>6.3725270442889226</v>
      </c>
    </row>
    <row r="43" spans="1:15" x14ac:dyDescent="0.25">
      <c r="A43" s="6">
        <f t="shared" ref="A43:A56" si="4">A42+100</f>
        <v>1200</v>
      </c>
      <c r="B43" s="8">
        <v>10.443712394489504</v>
      </c>
      <c r="C43" s="6">
        <v>7.109375</v>
      </c>
      <c r="D43" s="8">
        <v>10.450583572185572</v>
      </c>
      <c r="E43" s="9">
        <f t="shared" si="0"/>
        <v>6.8711776960679316E-3</v>
      </c>
      <c r="F43" s="5">
        <f t="shared" si="1"/>
        <v>8.2454132352815179</v>
      </c>
    </row>
    <row r="44" spans="1:15" x14ac:dyDescent="0.25">
      <c r="A44" s="6">
        <f t="shared" si="4"/>
        <v>1300</v>
      </c>
      <c r="B44" s="8">
        <v>10.445588706849128</v>
      </c>
      <c r="C44" s="6">
        <v>7.52734375</v>
      </c>
      <c r="D44" s="8">
        <v>10.450583572185572</v>
      </c>
      <c r="E44" s="9">
        <f t="shared" si="0"/>
        <v>4.9948653364442208E-3</v>
      </c>
      <c r="F44" s="5">
        <f t="shared" si="1"/>
        <v>6.4933249373774871</v>
      </c>
    </row>
    <row r="45" spans="1:15" x14ac:dyDescent="0.25">
      <c r="A45" s="6">
        <f t="shared" si="4"/>
        <v>1400</v>
      </c>
      <c r="B45" s="8">
        <v>10.446584669782963</v>
      </c>
      <c r="C45" s="6">
        <v>8.51953125</v>
      </c>
      <c r="D45" s="8">
        <v>10.450583572185572</v>
      </c>
      <c r="E45" s="9">
        <f t="shared" si="0"/>
        <v>3.998902402608806E-3</v>
      </c>
      <c r="F45" s="5">
        <f t="shared" si="1"/>
        <v>5.5984633636523284</v>
      </c>
    </row>
    <row r="46" spans="1:15" x14ac:dyDescent="0.25">
      <c r="A46" s="6">
        <f t="shared" si="4"/>
        <v>1500</v>
      </c>
      <c r="B46" s="8">
        <v>10.446877812325441</v>
      </c>
      <c r="C46" s="6">
        <v>9.44140625</v>
      </c>
      <c r="D46" s="8">
        <v>10.450583572185572</v>
      </c>
      <c r="E46" s="9">
        <f t="shared" si="0"/>
        <v>3.705759860130442E-3</v>
      </c>
      <c r="F46" s="5">
        <f t="shared" si="1"/>
        <v>5.558639790195663</v>
      </c>
    </row>
    <row r="47" spans="1:15" x14ac:dyDescent="0.25">
      <c r="A47" s="6">
        <f t="shared" si="4"/>
        <v>1600</v>
      </c>
      <c r="B47" s="8">
        <v>10.446650588408035</v>
      </c>
      <c r="C47" s="6">
        <v>10.51953125</v>
      </c>
      <c r="D47" s="8">
        <v>10.450583572185572</v>
      </c>
      <c r="E47" s="9">
        <f t="shared" si="0"/>
        <v>3.9329837775365917E-3</v>
      </c>
      <c r="F47" s="5">
        <f t="shared" si="1"/>
        <v>6.2927740440585467</v>
      </c>
    </row>
    <row r="48" spans="1:15" x14ac:dyDescent="0.25">
      <c r="A48" s="6">
        <f t="shared" si="4"/>
        <v>1700</v>
      </c>
      <c r="B48" s="8">
        <v>10.446035509334093</v>
      </c>
      <c r="C48" s="6">
        <v>11.6796875</v>
      </c>
      <c r="D48" s="8">
        <v>10.450583572185572</v>
      </c>
      <c r="E48" s="9">
        <f t="shared" si="0"/>
        <v>4.5480628514784627E-3</v>
      </c>
      <c r="F48" s="5">
        <f t="shared" si="1"/>
        <v>7.7317068475133865</v>
      </c>
    </row>
    <row r="49" spans="1:6" x14ac:dyDescent="0.25">
      <c r="A49" s="6">
        <f t="shared" si="4"/>
        <v>1800</v>
      </c>
      <c r="B49" s="8">
        <v>10.446637585478943</v>
      </c>
      <c r="C49" s="6">
        <v>13</v>
      </c>
      <c r="D49" s="8">
        <v>10.450583572185572</v>
      </c>
      <c r="E49" s="9">
        <f t="shared" si="0"/>
        <v>3.9459867066291565E-3</v>
      </c>
      <c r="F49" s="5">
        <f t="shared" si="1"/>
        <v>7.1027760719324817</v>
      </c>
    </row>
    <row r="50" spans="1:6" x14ac:dyDescent="0.25">
      <c r="A50" s="6">
        <f t="shared" si="4"/>
        <v>1900</v>
      </c>
      <c r="B50" s="6">
        <v>10.447433809742295</v>
      </c>
      <c r="C50" s="6">
        <v>14.22265625</v>
      </c>
      <c r="D50" s="8">
        <v>10.450583572185572</v>
      </c>
      <c r="E50" s="9">
        <f t="shared" si="0"/>
        <v>3.1497624432770266E-3</v>
      </c>
      <c r="F50" s="5">
        <f t="shared" si="1"/>
        <v>5.9845486422263505</v>
      </c>
    </row>
    <row r="51" spans="1:6" x14ac:dyDescent="0.25">
      <c r="A51" s="6">
        <f t="shared" si="4"/>
        <v>2000</v>
      </c>
      <c r="B51" s="6">
        <v>10.447831947832821</v>
      </c>
      <c r="C51" s="6">
        <v>15.31640625</v>
      </c>
      <c r="D51" s="8">
        <v>10.450583572185572</v>
      </c>
      <c r="E51" s="9">
        <f t="shared" si="0"/>
        <v>2.7516243527507811E-3</v>
      </c>
      <c r="F51" s="5">
        <f t="shared" si="1"/>
        <v>5.5032487055015622</v>
      </c>
    </row>
    <row r="52" spans="1:6" x14ac:dyDescent="0.25">
      <c r="A52" s="6">
        <f t="shared" si="4"/>
        <v>2100</v>
      </c>
      <c r="B52" s="6">
        <v>10.447910429170538</v>
      </c>
      <c r="C52" s="6">
        <v>16.625</v>
      </c>
      <c r="D52" s="8">
        <v>10.450583572185572</v>
      </c>
      <c r="E52" s="9">
        <f t="shared" si="0"/>
        <v>2.6731430150341851E-3</v>
      </c>
      <c r="F52" s="5">
        <f t="shared" si="1"/>
        <v>5.6136003315717886</v>
      </c>
    </row>
    <row r="53" spans="1:6" x14ac:dyDescent="0.25">
      <c r="A53" s="6">
        <f t="shared" si="4"/>
        <v>2200</v>
      </c>
      <c r="B53" s="6">
        <v>10.447731124887728</v>
      </c>
      <c r="C53" s="6">
        <v>18.375</v>
      </c>
      <c r="D53" s="8">
        <v>10.450583572185572</v>
      </c>
      <c r="E53" s="9">
        <f t="shared" si="0"/>
        <v>2.8524472978439519E-3</v>
      </c>
      <c r="F53" s="5">
        <f t="shared" si="1"/>
        <v>6.2753840552566942</v>
      </c>
    </row>
    <row r="54" spans="1:6" x14ac:dyDescent="0.25">
      <c r="A54" s="6">
        <f t="shared" si="4"/>
        <v>2300</v>
      </c>
      <c r="B54" s="6">
        <v>10.447343272762678</v>
      </c>
      <c r="C54" s="6">
        <v>19.7578125</v>
      </c>
      <c r="D54" s="8">
        <v>10.450583572185572</v>
      </c>
      <c r="E54" s="9">
        <f t="shared" si="0"/>
        <v>3.2402994228935E-3</v>
      </c>
      <c r="F54" s="5">
        <f t="shared" si="1"/>
        <v>7.4526886726550501</v>
      </c>
    </row>
    <row r="55" spans="1:6" x14ac:dyDescent="0.25">
      <c r="A55" s="6">
        <f t="shared" si="4"/>
        <v>2400</v>
      </c>
      <c r="B55" s="6">
        <v>10.447425945842401</v>
      </c>
      <c r="C55" s="6">
        <v>20.6796875</v>
      </c>
      <c r="D55" s="8">
        <v>10.450583572185572</v>
      </c>
      <c r="E55" s="9">
        <f t="shared" si="0"/>
        <v>3.1576263431709606E-3</v>
      </c>
      <c r="F55" s="5">
        <f t="shared" si="1"/>
        <v>7.5783032236103054</v>
      </c>
    </row>
    <row r="56" spans="1:6" x14ac:dyDescent="0.25">
      <c r="A56" s="6">
        <f t="shared" si="4"/>
        <v>2500</v>
      </c>
      <c r="B56" s="6">
        <v>10.448023411980241</v>
      </c>
      <c r="C56" s="6">
        <v>21.96484375</v>
      </c>
      <c r="D56" s="8">
        <v>10.450583572185572</v>
      </c>
      <c r="E56" s="9">
        <f t="shared" si="0"/>
        <v>2.5601602053306749E-3</v>
      </c>
      <c r="F56" s="5">
        <f t="shared" si="1"/>
        <v>6.4004005133266872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933450</xdr:colOff>
                    <xdr:row>0</xdr:row>
                    <xdr:rowOff>76200</xdr:rowOff>
                  </from>
                  <to>
                    <xdr:col>5</xdr:col>
                    <xdr:colOff>1209675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Normal="100" workbookViewId="0">
      <selection activeCell="H4" sqref="H4"/>
    </sheetView>
  </sheetViews>
  <sheetFormatPr baseColWidth="10" defaultColWidth="9" defaultRowHeight="15" x14ac:dyDescent="0.25"/>
  <cols>
    <col min="1" max="1" width="16" style="7" customWidth="1"/>
    <col min="2" max="2" width="14.7109375" style="7" customWidth="1"/>
    <col min="3" max="3" width="13" style="7" customWidth="1"/>
    <col min="4" max="4" width="15.140625" style="7" customWidth="1"/>
    <col min="5" max="5" width="15.42578125" style="7" customWidth="1"/>
    <col min="6" max="6" width="15.140625" style="7" customWidth="1"/>
    <col min="7" max="16384" width="9" style="7"/>
  </cols>
  <sheetData>
    <row r="1" spans="1:8" x14ac:dyDescent="0.25">
      <c r="A1" s="54" t="s">
        <v>49</v>
      </c>
      <c r="B1" s="54"/>
      <c r="C1" s="54"/>
    </row>
    <row r="2" spans="1:8" x14ac:dyDescent="0.25">
      <c r="A2" s="54"/>
      <c r="B2" s="54"/>
      <c r="C2" s="54"/>
    </row>
    <row r="3" spans="1:8" x14ac:dyDescent="0.25">
      <c r="A3" s="54"/>
      <c r="B3" s="54"/>
      <c r="C3" s="54"/>
    </row>
    <row r="4" spans="1:8" x14ac:dyDescent="0.25">
      <c r="H4" s="24"/>
    </row>
    <row r="5" spans="1:8" ht="16.5" thickBot="1" x14ac:dyDescent="0.3">
      <c r="A5" s="49" t="s">
        <v>44</v>
      </c>
      <c r="B5" s="49"/>
      <c r="C5" s="49"/>
      <c r="D5" s="49"/>
      <c r="E5" s="49"/>
      <c r="F5" s="49"/>
    </row>
    <row r="6" spans="1:8" ht="27.75" customHeight="1" x14ac:dyDescent="0.25">
      <c r="A6" s="19" t="s">
        <v>15</v>
      </c>
      <c r="B6" s="19" t="s">
        <v>36</v>
      </c>
      <c r="C6" s="19" t="s">
        <v>37</v>
      </c>
      <c r="D6" s="19" t="s">
        <v>50</v>
      </c>
      <c r="E6" s="19" t="s">
        <v>51</v>
      </c>
      <c r="F6" s="19" t="s">
        <v>52</v>
      </c>
    </row>
    <row r="7" spans="1:8" x14ac:dyDescent="0.25">
      <c r="A7" s="21">
        <v>85</v>
      </c>
      <c r="B7" s="22">
        <v>20.366520119990724</v>
      </c>
      <c r="C7" s="20">
        <v>20.469287921382392</v>
      </c>
      <c r="D7" s="20"/>
      <c r="E7" s="20"/>
      <c r="F7" s="20">
        <f t="shared" ref="F7:F37" si="0">B7-C7</f>
        <v>-0.10276780139166775</v>
      </c>
    </row>
    <row r="8" spans="1:8" x14ac:dyDescent="0.25">
      <c r="A8" s="21">
        <v>86</v>
      </c>
      <c r="B8" s="22">
        <v>19.561505487961583</v>
      </c>
      <c r="C8" s="20">
        <v>19.684873223299405</v>
      </c>
      <c r="D8" s="20">
        <f t="shared" ref="D8:D37" si="1">(B8-B7)/(A8-A7)</f>
        <v>-0.80501463202914181</v>
      </c>
      <c r="E8" s="20">
        <f t="shared" ref="E8:E37" si="2">(C8-C7)/(A8-A7)</f>
        <v>-0.78441469808298692</v>
      </c>
      <c r="F8" s="20">
        <f t="shared" si="0"/>
        <v>-0.12336773533782264</v>
      </c>
    </row>
    <row r="9" spans="1:8" x14ac:dyDescent="0.25">
      <c r="A9" s="21">
        <v>87</v>
      </c>
      <c r="B9" s="22">
        <v>18.798655898559591</v>
      </c>
      <c r="C9" s="20">
        <v>18.915116935418919</v>
      </c>
      <c r="D9" s="20">
        <f t="shared" si="1"/>
        <v>-0.76284958940199132</v>
      </c>
      <c r="E9" s="20">
        <f t="shared" si="2"/>
        <v>-0.76975628788048667</v>
      </c>
      <c r="F9" s="20">
        <f t="shared" si="0"/>
        <v>-0.11646103685932729</v>
      </c>
    </row>
    <row r="10" spans="1:8" x14ac:dyDescent="0.25">
      <c r="A10" s="21">
        <v>88</v>
      </c>
      <c r="B10" s="22">
        <v>18.056849814623561</v>
      </c>
      <c r="C10" s="20">
        <v>18.160602272205807</v>
      </c>
      <c r="D10" s="20">
        <f t="shared" si="1"/>
        <v>-0.74180608393603009</v>
      </c>
      <c r="E10" s="20">
        <f t="shared" si="2"/>
        <v>-0.75451466321311145</v>
      </c>
      <c r="F10" s="20">
        <f t="shared" si="0"/>
        <v>-0.10375245758224594</v>
      </c>
    </row>
    <row r="11" spans="1:8" x14ac:dyDescent="0.25">
      <c r="A11" s="21">
        <v>89</v>
      </c>
      <c r="B11" s="22">
        <v>17.315043730687513</v>
      </c>
      <c r="C11" s="20">
        <v>17.421876686290741</v>
      </c>
      <c r="D11" s="20">
        <f t="shared" si="1"/>
        <v>-0.74180608393604786</v>
      </c>
      <c r="E11" s="20">
        <f t="shared" si="2"/>
        <v>-0.73872558591506632</v>
      </c>
      <c r="F11" s="20">
        <f t="shared" si="0"/>
        <v>-0.10683295560322748</v>
      </c>
    </row>
    <row r="12" spans="1:8" x14ac:dyDescent="0.25">
      <c r="A12" s="21">
        <v>90</v>
      </c>
      <c r="B12" s="22">
        <v>16.573237646751469</v>
      </c>
      <c r="C12" s="20">
        <v>16.699448408416004</v>
      </c>
      <c r="D12" s="20">
        <f t="shared" si="1"/>
        <v>-0.7418060839360443</v>
      </c>
      <c r="E12" s="20">
        <f t="shared" si="2"/>
        <v>-0.72242827787473729</v>
      </c>
      <c r="F12" s="20">
        <f t="shared" si="0"/>
        <v>-0.12621076166453449</v>
      </c>
    </row>
    <row r="13" spans="1:8" x14ac:dyDescent="0.25">
      <c r="A13" s="21">
        <v>91</v>
      </c>
      <c r="B13" s="22">
        <v>15.856829088821248</v>
      </c>
      <c r="C13" s="20">
        <v>15.993783412869739</v>
      </c>
      <c r="D13" s="20">
        <f t="shared" si="1"/>
        <v>-0.71640855793022062</v>
      </c>
      <c r="E13" s="20">
        <f t="shared" si="2"/>
        <v>-0.70566499554626461</v>
      </c>
      <c r="F13" s="20">
        <f t="shared" si="0"/>
        <v>-0.13695432404849051</v>
      </c>
    </row>
    <row r="14" spans="1:8" x14ac:dyDescent="0.25">
      <c r="A14" s="21">
        <v>92</v>
      </c>
      <c r="B14" s="22">
        <v>15.191444732557589</v>
      </c>
      <c r="C14" s="20">
        <v>15.30530283124774</v>
      </c>
      <c r="D14" s="20">
        <f t="shared" si="1"/>
        <v>-0.66538435626365988</v>
      </c>
      <c r="E14" s="20">
        <f t="shared" si="2"/>
        <v>-0.68848058162199877</v>
      </c>
      <c r="F14" s="20">
        <f t="shared" si="0"/>
        <v>-0.11385809869015162</v>
      </c>
    </row>
    <row r="15" spans="1:8" x14ac:dyDescent="0.25">
      <c r="A15" s="21">
        <v>93</v>
      </c>
      <c r="B15" s="22">
        <v>14.52606037629392</v>
      </c>
      <c r="C15" s="20">
        <v>14.634380829224455</v>
      </c>
      <c r="D15" s="20">
        <f t="shared" si="1"/>
        <v>-0.66538435626366876</v>
      </c>
      <c r="E15" s="20">
        <f t="shared" si="2"/>
        <v>-0.67092200202328556</v>
      </c>
      <c r="F15" s="20">
        <f t="shared" si="0"/>
        <v>-0.10832045293053483</v>
      </c>
    </row>
    <row r="16" spans="1:8" x14ac:dyDescent="0.25">
      <c r="A16" s="21">
        <v>94</v>
      </c>
      <c r="B16" s="22">
        <v>13.860676020030258</v>
      </c>
      <c r="C16" s="20">
        <v>13.981342953152167</v>
      </c>
      <c r="D16" s="20">
        <f t="shared" si="1"/>
        <v>-0.66538435626366166</v>
      </c>
      <c r="E16" s="20">
        <f t="shared" si="2"/>
        <v>-0.65303787607228792</v>
      </c>
      <c r="F16" s="20">
        <f t="shared" si="0"/>
        <v>-0.12066693312190857</v>
      </c>
    </row>
    <row r="17" spans="1:6" x14ac:dyDescent="0.25">
      <c r="A17" s="21">
        <v>95</v>
      </c>
      <c r="B17" s="22">
        <v>13.1952916637666</v>
      </c>
      <c r="C17" s="20">
        <v>13.346464945879587</v>
      </c>
      <c r="D17" s="20">
        <f t="shared" si="1"/>
        <v>-0.66538435626365811</v>
      </c>
      <c r="E17" s="20">
        <f t="shared" si="2"/>
        <v>-0.63487800727257948</v>
      </c>
      <c r="F17" s="20">
        <f t="shared" si="0"/>
        <v>-0.1511732821129872</v>
      </c>
    </row>
    <row r="18" spans="1:6" x14ac:dyDescent="0.25">
      <c r="A18" s="21">
        <v>96</v>
      </c>
      <c r="B18" s="22">
        <v>12.59769203948361</v>
      </c>
      <c r="C18" s="20">
        <v>12.729972024313961</v>
      </c>
      <c r="D18" s="20">
        <f t="shared" si="1"/>
        <v>-0.5975996242829904</v>
      </c>
      <c r="E18" s="20">
        <f t="shared" si="2"/>
        <v>-0.61649292156562652</v>
      </c>
      <c r="F18" s="20">
        <f t="shared" si="0"/>
        <v>-0.13227998483035108</v>
      </c>
    </row>
    <row r="19" spans="1:6" x14ac:dyDescent="0.25">
      <c r="A19" s="21">
        <v>97</v>
      </c>
      <c r="B19" s="22">
        <v>12.019217472106591</v>
      </c>
      <c r="C19" s="20">
        <v>12.132038605032154</v>
      </c>
      <c r="D19" s="20">
        <f t="shared" si="1"/>
        <v>-0.57847456737701819</v>
      </c>
      <c r="E19" s="20">
        <f t="shared" si="2"/>
        <v>-0.59793341928180688</v>
      </c>
      <c r="F19" s="20">
        <f t="shared" si="0"/>
        <v>-0.1128211329255624</v>
      </c>
    </row>
    <row r="20" spans="1:6" x14ac:dyDescent="0.25">
      <c r="A20" s="21">
        <v>98</v>
      </c>
      <c r="B20" s="22">
        <v>11.440742904729568</v>
      </c>
      <c r="C20" s="20">
        <v>11.552788458748998</v>
      </c>
      <c r="D20" s="20">
        <f t="shared" si="1"/>
        <v>-0.57847456737702352</v>
      </c>
      <c r="E20" s="20">
        <f t="shared" si="2"/>
        <v>-0.5792501462831563</v>
      </c>
      <c r="F20" s="20">
        <f t="shared" si="0"/>
        <v>-0.11204555401942962</v>
      </c>
    </row>
    <row r="21" spans="1:6" x14ac:dyDescent="0.25">
      <c r="A21" s="21">
        <v>99</v>
      </c>
      <c r="B21" s="22">
        <v>10.862268337352548</v>
      </c>
      <c r="C21" s="20">
        <v>10.992295269717351</v>
      </c>
      <c r="D21" s="20">
        <f t="shared" si="1"/>
        <v>-0.57847456737701997</v>
      </c>
      <c r="E21" s="20">
        <f t="shared" si="2"/>
        <v>-0.56049318903164647</v>
      </c>
      <c r="F21" s="20">
        <f t="shared" si="0"/>
        <v>-0.13002693236480312</v>
      </c>
    </row>
    <row r="22" spans="1:6" x14ac:dyDescent="0.25">
      <c r="A22" s="21">
        <v>100</v>
      </c>
      <c r="B22" s="22">
        <v>10.283793769975523</v>
      </c>
      <c r="C22" s="20">
        <v>10.45058357218557</v>
      </c>
      <c r="D22" s="20">
        <f t="shared" si="1"/>
        <v>-0.57847456737702529</v>
      </c>
      <c r="E22" s="20">
        <f t="shared" si="2"/>
        <v>-0.54171169753178106</v>
      </c>
      <c r="F22" s="20">
        <f t="shared" si="0"/>
        <v>-0.16678980221004736</v>
      </c>
    </row>
    <row r="23" spans="1:6" x14ac:dyDescent="0.25">
      <c r="A23" s="21">
        <v>101</v>
      </c>
      <c r="B23" s="22">
        <v>9.7981908698382618</v>
      </c>
      <c r="C23" s="20">
        <v>9.9276300328769427</v>
      </c>
      <c r="D23" s="20">
        <f t="shared" si="1"/>
        <v>-0.48560290013726082</v>
      </c>
      <c r="E23" s="20">
        <f t="shared" si="2"/>
        <v>-0.52295353930862731</v>
      </c>
      <c r="F23" s="20">
        <f t="shared" si="0"/>
        <v>-0.12943916303868086</v>
      </c>
    </row>
    <row r="24" spans="1:6" x14ac:dyDescent="0.25">
      <c r="A24" s="21">
        <v>102</v>
      </c>
      <c r="B24" s="22">
        <v>9.3126828438824951</v>
      </c>
      <c r="C24" s="20">
        <v>9.4233650460651326</v>
      </c>
      <c r="D24" s="20">
        <f t="shared" si="1"/>
        <v>-0.4855080259557667</v>
      </c>
      <c r="E24" s="20">
        <f t="shared" si="2"/>
        <v>-0.50426498681181009</v>
      </c>
      <c r="F24" s="20">
        <f t="shared" si="0"/>
        <v>-0.11068220218263747</v>
      </c>
    </row>
    <row r="25" spans="1:6" x14ac:dyDescent="0.25">
      <c r="A25" s="21">
        <v>103</v>
      </c>
      <c r="B25" s="22">
        <v>8.8271748179267284</v>
      </c>
      <c r="C25" s="20">
        <v>8.9376746061685832</v>
      </c>
      <c r="D25" s="20">
        <f t="shared" si="1"/>
        <v>-0.4855080259557667</v>
      </c>
      <c r="E25" s="20">
        <f t="shared" si="2"/>
        <v>-0.48569043989654936</v>
      </c>
      <c r="F25" s="20">
        <f t="shared" si="0"/>
        <v>-0.1104997882418548</v>
      </c>
    </row>
    <row r="26" spans="1:6" x14ac:dyDescent="0.25">
      <c r="A26" s="21">
        <v>104</v>
      </c>
      <c r="B26" s="22">
        <v>8.3416667919709528</v>
      </c>
      <c r="C26" s="20">
        <v>8.4704024218311282</v>
      </c>
      <c r="D26" s="20">
        <f t="shared" si="1"/>
        <v>-0.48550802595577558</v>
      </c>
      <c r="E26" s="20">
        <f t="shared" si="2"/>
        <v>-0.46727218433745499</v>
      </c>
      <c r="F26" s="20">
        <f t="shared" si="0"/>
        <v>-0.12873562986017539</v>
      </c>
    </row>
    <row r="27" spans="1:6" x14ac:dyDescent="0.25">
      <c r="A27" s="21">
        <v>105</v>
      </c>
      <c r="B27" s="22">
        <v>7.8561587660151861</v>
      </c>
      <c r="C27" s="20">
        <v>8.0213522351431781</v>
      </c>
      <c r="D27" s="20">
        <f t="shared" si="1"/>
        <v>-0.4855080259557667</v>
      </c>
      <c r="E27" s="20">
        <f t="shared" si="2"/>
        <v>-0.44905018668795016</v>
      </c>
      <c r="F27" s="20">
        <f t="shared" si="0"/>
        <v>-0.16519346912799193</v>
      </c>
    </row>
    <row r="28" spans="1:6" x14ac:dyDescent="0.25">
      <c r="A28" s="21">
        <v>106</v>
      </c>
      <c r="B28" s="22">
        <v>7.4621275423418423</v>
      </c>
      <c r="C28" s="20">
        <v>7.5902903099255745</v>
      </c>
      <c r="D28" s="20">
        <f t="shared" si="1"/>
        <v>-0.39403122367334387</v>
      </c>
      <c r="E28" s="20">
        <f t="shared" si="2"/>
        <v>-0.43106192521760356</v>
      </c>
      <c r="F28" s="20">
        <f t="shared" si="0"/>
        <v>-0.12816276758373224</v>
      </c>
    </row>
    <row r="29" spans="1:6" x14ac:dyDescent="0.25">
      <c r="A29" s="21">
        <v>107</v>
      </c>
      <c r="B29" s="22">
        <v>7.0701574335963224</v>
      </c>
      <c r="C29" s="20">
        <v>7.1769480537820058</v>
      </c>
      <c r="D29" s="20">
        <f t="shared" si="1"/>
        <v>-0.39197010874551985</v>
      </c>
      <c r="E29" s="20">
        <f t="shared" si="2"/>
        <v>-0.41334225614356868</v>
      </c>
      <c r="F29" s="20">
        <f t="shared" si="0"/>
        <v>-0.10679062018568342</v>
      </c>
    </row>
    <row r="30" spans="1:6" x14ac:dyDescent="0.25">
      <c r="A30" s="21">
        <v>108</v>
      </c>
      <c r="B30" s="22">
        <v>6.6781873248508008</v>
      </c>
      <c r="C30" s="20">
        <v>6.7810247398570507</v>
      </c>
      <c r="D30" s="20">
        <f t="shared" si="1"/>
        <v>-0.39197010874552163</v>
      </c>
      <c r="E30" s="20">
        <f t="shared" si="2"/>
        <v>-0.39592331392495517</v>
      </c>
      <c r="F30" s="20">
        <f t="shared" si="0"/>
        <v>-0.10283741500624988</v>
      </c>
    </row>
    <row r="31" spans="1:6" x14ac:dyDescent="0.25">
      <c r="A31" s="21">
        <v>109</v>
      </c>
      <c r="B31" s="22">
        <v>6.2862172161052792</v>
      </c>
      <c r="C31" s="20">
        <v>6.4021902958462693</v>
      </c>
      <c r="D31" s="20">
        <f t="shared" si="1"/>
        <v>-0.39197010874552163</v>
      </c>
      <c r="E31" s="20">
        <f t="shared" si="2"/>
        <v>-0.37883444401078137</v>
      </c>
      <c r="F31" s="20">
        <f t="shared" si="0"/>
        <v>-0.11597307974099014</v>
      </c>
    </row>
    <row r="32" spans="1:6" x14ac:dyDescent="0.25">
      <c r="A32" s="21">
        <v>110</v>
      </c>
      <c r="B32" s="22">
        <v>5.8942471073597584</v>
      </c>
      <c r="C32" s="20">
        <v>6.040088129724241</v>
      </c>
      <c r="D32" s="20">
        <f t="shared" si="1"/>
        <v>-0.39197010874552074</v>
      </c>
      <c r="E32" s="20">
        <f t="shared" si="2"/>
        <v>-0.36210216612202828</v>
      </c>
      <c r="F32" s="20">
        <f t="shared" si="0"/>
        <v>-0.1458410223644826</v>
      </c>
    </row>
    <row r="33" spans="1:6" x14ac:dyDescent="0.25">
      <c r="A33" s="21">
        <v>111</v>
      </c>
      <c r="B33" s="22">
        <v>5.5646713935287906</v>
      </c>
      <c r="C33" s="20">
        <v>5.694337963819903</v>
      </c>
      <c r="D33" s="20">
        <f t="shared" si="1"/>
        <v>-0.32957571383096784</v>
      </c>
      <c r="E33" s="20">
        <f t="shared" si="2"/>
        <v>-0.34575016590433805</v>
      </c>
      <c r="F33" s="20">
        <f t="shared" si="0"/>
        <v>-0.12966657029111239</v>
      </c>
    </row>
    <row r="34" spans="1:6" x14ac:dyDescent="0.25">
      <c r="A34" s="21">
        <v>112</v>
      </c>
      <c r="B34" s="22">
        <v>5.2612231745919056</v>
      </c>
      <c r="C34" s="20">
        <v>5.3645386512139188</v>
      </c>
      <c r="D34" s="20">
        <f t="shared" si="1"/>
        <v>-0.30344821893688501</v>
      </c>
      <c r="E34" s="20">
        <f t="shared" si="2"/>
        <v>-0.32979931260598416</v>
      </c>
      <c r="F34" s="20">
        <f t="shared" si="0"/>
        <v>-0.10331547662201324</v>
      </c>
    </row>
    <row r="35" spans="1:6" x14ac:dyDescent="0.25">
      <c r="A35" s="21">
        <v>113</v>
      </c>
      <c r="B35" s="22">
        <v>4.9577749556550206</v>
      </c>
      <c r="C35" s="20">
        <v>5.0502709509006536</v>
      </c>
      <c r="D35" s="20">
        <f t="shared" si="1"/>
        <v>-0.30344821893688501</v>
      </c>
      <c r="E35" s="20">
        <f t="shared" si="2"/>
        <v>-0.31426770031326523</v>
      </c>
      <c r="F35" s="20">
        <f t="shared" si="0"/>
        <v>-9.2495995245633011E-2</v>
      </c>
    </row>
    <row r="36" spans="1:6" x14ac:dyDescent="0.25">
      <c r="A36" s="21">
        <v>114</v>
      </c>
      <c r="B36" s="22">
        <v>4.6543267367181373</v>
      </c>
      <c r="C36" s="20">
        <v>4.7511002406963243</v>
      </c>
      <c r="D36" s="20">
        <f t="shared" si="1"/>
        <v>-0.30344821893688323</v>
      </c>
      <c r="E36" s="20">
        <f t="shared" si="2"/>
        <v>-0.29917071020432928</v>
      </c>
      <c r="F36" s="20">
        <f t="shared" si="0"/>
        <v>-9.6773503978186959E-2</v>
      </c>
    </row>
    <row r="37" spans="1:6" x14ac:dyDescent="0.25">
      <c r="A37" s="21">
        <v>115</v>
      </c>
      <c r="B37" s="22">
        <v>4.3508785177812541</v>
      </c>
      <c r="C37" s="20">
        <v>4.4665791494349527</v>
      </c>
      <c r="D37" s="20">
        <f t="shared" si="1"/>
        <v>-0.30344821893688323</v>
      </c>
      <c r="E37" s="20">
        <f t="shared" si="2"/>
        <v>-0.28452109126137159</v>
      </c>
      <c r="F37" s="20">
        <f t="shared" si="0"/>
        <v>-0.11570063165369859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1038225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29</vt:i4>
      </vt:variant>
    </vt:vector>
  </HeadingPairs>
  <TitlesOfParts>
    <vt:vector size="35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CHARBONNIER Thibault</cp:lastModifiedBy>
  <dcterms:created xsi:type="dcterms:W3CDTF">2024-09-02T18:05:29Z</dcterms:created>
  <dcterms:modified xsi:type="dcterms:W3CDTF">2024-10-10T09:21:23Z</dcterms:modified>
</cp:coreProperties>
</file>