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ibc\OneDrive\Documents\GitHub\Trinomial-Tree\"/>
    </mc:Choice>
  </mc:AlternateContent>
  <xr:revisionPtr revIDLastSave="0" documentId="13_ncr:1_{E4C13274-2A01-4186-B85B-31231016C116}" xr6:coauthVersionLast="47" xr6:coauthVersionMax="47" xr10:uidLastSave="{00000000-0000-0000-0000-000000000000}"/>
  <bookViews>
    <workbookView xWindow="-120" yWindow="-120" windowWidth="29040" windowHeight="15840" activeTab="3" xr2:uid="{50F7F52E-ED77-47DB-83CE-AA249E62083E}"/>
  </bookViews>
  <sheets>
    <sheet name="Pricer" sheetId="4" r:id="rId1"/>
    <sheet name="OptionPricePlot" sheetId="8" r:id="rId2"/>
    <sheet name="UnderlyingPlot" sheetId="7" r:id="rId3"/>
    <sheet name="NodeProbaPlot" sheetId="9" r:id="rId4"/>
    <sheet name="Graphs" sheetId="2" r:id="rId5"/>
    <sheet name="Graphique" sheetId="3" r:id="rId6"/>
  </sheets>
  <functionGroups builtInGroupCount="19">
    <functionGroup name="GPT for Excel Word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BSPricePython">#REF!</definedName>
    <definedName name="BSTimePython">#REF!</definedName>
    <definedName name="DivDate">#REF!</definedName>
    <definedName name="Dividend">#REF!</definedName>
    <definedName name="ExecutionTIme">#REF!</definedName>
    <definedName name="ExecutionTimeBS">#REF!</definedName>
    <definedName name="ExerciceType">#REF!</definedName>
    <definedName name="GBSPrice">Graphique!$A$17</definedName>
    <definedName name="Gdiv">Graphique!$B$10</definedName>
    <definedName name="GexType">Graphique!$B$4</definedName>
    <definedName name="Gmat">Graphique!$B$8</definedName>
    <definedName name="Grate">Graphique!$B$9</definedName>
    <definedName name="Gspot">Graphique!$B$5</definedName>
    <definedName name="GstartDate">Graphique!$B$11</definedName>
    <definedName name="Gstrike">Graphique!$B$6</definedName>
    <definedName name="Gtype">Graphique!$B$3</definedName>
    <definedName name="Gvol">Graphique!$B$7</definedName>
    <definedName name="IBSPrice">Pricer!$M$11</definedName>
    <definedName name="IDelta">Pricer!$M$23</definedName>
    <definedName name="IDiv">Pricer!$I$14</definedName>
    <definedName name="IDivDate">Pricer!$I$16</definedName>
    <definedName name="IExerciseType">Pricer!$I$26</definedName>
    <definedName name="IGamma">Pricer!$M$26</definedName>
    <definedName name="IGreeks">Pricer!$I$34</definedName>
    <definedName name="IMaturity">Pricer!$I$18</definedName>
    <definedName name="INbSteps">Pricer!$I$30</definedName>
    <definedName name="InterestRate">#REF!</definedName>
    <definedName name="IntialPrice">#REF!</definedName>
    <definedName name="IOptionPrice">Pricer!$M$8</definedName>
    <definedName name="IOptionType">Pricer!$I$24</definedName>
    <definedName name="IPricingMethod">Pricer!$I$28</definedName>
    <definedName name="IPrunning">Pricer!$I$32</definedName>
    <definedName name="IRate">Pricer!$I$12</definedName>
    <definedName name="IRho">Pricer!$M$35</definedName>
    <definedName name="IShowTree">Pricer!$I$36</definedName>
    <definedName name="ISpot">Pricer!$I$8</definedName>
    <definedName name="IStartDate">Pricer!$I$22</definedName>
    <definedName name="IStrike">Pricer!$I$20</definedName>
    <definedName name="ITheta">Pricer!$M$32</definedName>
    <definedName name="ITimePrice">Pricer!$M$17</definedName>
    <definedName name="ITimeTotal">Pricer!$M$20</definedName>
    <definedName name="ITimeTree">Pricer!$M$14</definedName>
    <definedName name="IVega">Pricer!$M$29</definedName>
    <definedName name="IVOl">Pricer!$I$10</definedName>
    <definedName name="Maturity">#REF!</definedName>
    <definedName name="NbSteps">#REF!</definedName>
    <definedName name="OptionType">#REF!</definedName>
    <definedName name="Price">#REF!</definedName>
    <definedName name="PriceBS">#REF!</definedName>
    <definedName name="PriceTree">#REF!</definedName>
    <definedName name="PricingType">#REF!</definedName>
    <definedName name="Spot">Graphique!$B$5</definedName>
    <definedName name="StartDate">#REF!</definedName>
    <definedName name="starting_point_option">#REF!</definedName>
    <definedName name="starting_point_under">#REF!</definedName>
    <definedName name="StepRange">Graphique!$D$3:$D$51</definedName>
    <definedName name="Steps">#REF!</definedName>
    <definedName name="Strike">#REF!</definedName>
    <definedName name="TreePrice">#REF!</definedName>
    <definedName name="TreePricePython">#REF!</definedName>
    <definedName name="TreeTimePython">#REF!</definedName>
    <definedName name="Type">#REF!</definedName>
    <definedName name="TypeOption">#REF!</definedName>
    <definedName name="TypePricing">#REF!</definedName>
    <definedName name="Volatility">#REF!</definedName>
  </definedName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3" i="3"/>
  <c r="H3" i="3"/>
  <c r="D3" i="3"/>
  <c r="I3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4" i="3"/>
  <c r="M20" i="4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I51" i="3"/>
  <c r="I50" i="3"/>
  <c r="I49" i="3"/>
  <c r="I48" i="3"/>
  <c r="I47" i="3"/>
  <c r="I46" i="3"/>
  <c r="I45" i="3"/>
  <c r="I13" i="3"/>
  <c r="I25" i="3"/>
  <c r="I37" i="3"/>
  <c r="I39" i="3"/>
  <c r="I18" i="3"/>
  <c r="I30" i="3"/>
  <c r="I42" i="3"/>
  <c r="I5" i="3"/>
  <c r="I8" i="3"/>
  <c r="I11" i="3"/>
  <c r="I23" i="3"/>
  <c r="I35" i="3"/>
  <c r="I16" i="3"/>
  <c r="I28" i="3"/>
  <c r="I40" i="3"/>
  <c r="I4" i="3"/>
  <c r="I21" i="3"/>
  <c r="I33" i="3"/>
  <c r="I14" i="3"/>
  <c r="I26" i="3"/>
  <c r="I38" i="3"/>
  <c r="I6" i="3"/>
  <c r="I9" i="3"/>
  <c r="I19" i="3"/>
  <c r="I31" i="3"/>
  <c r="I43" i="3"/>
  <c r="I27" i="3"/>
  <c r="I12" i="3"/>
  <c r="I24" i="3"/>
  <c r="I36" i="3"/>
  <c r="I10" i="3"/>
  <c r="I17" i="3"/>
  <c r="I29" i="3"/>
  <c r="I41" i="3"/>
  <c r="I7" i="3"/>
  <c r="I22" i="3"/>
  <c r="I34" i="3"/>
  <c r="I15" i="3"/>
  <c r="I20" i="3"/>
  <c r="I32" i="3"/>
  <c r="I44" i="3"/>
</calcChain>
</file>

<file path=xl/sharedStrings.xml><?xml version="1.0" encoding="utf-8"?>
<sst xmlns="http://schemas.openxmlformats.org/spreadsheetml/2006/main" count="84" uniqueCount="65">
  <si>
    <t>Inputs</t>
  </si>
  <si>
    <t>Type</t>
  </si>
  <si>
    <t>Exercice Type</t>
  </si>
  <si>
    <t>Volatility (%)</t>
  </si>
  <si>
    <t>Interest Rate (%)</t>
  </si>
  <si>
    <t>Maturity (Year)</t>
  </si>
  <si>
    <t>Tree</t>
  </si>
  <si>
    <t>Execution Time</t>
  </si>
  <si>
    <t>B&amp;S</t>
  </si>
  <si>
    <t>Option Price</t>
  </si>
  <si>
    <t>Python</t>
  </si>
  <si>
    <t>VBA</t>
  </si>
  <si>
    <t>Div Date</t>
  </si>
  <si>
    <t>Start Date</t>
  </si>
  <si>
    <t>Dividend ($)</t>
  </si>
  <si>
    <t>Stock Price ($)</t>
  </si>
  <si>
    <t>Strike ($)</t>
  </si>
  <si>
    <t>Call</t>
  </si>
  <si>
    <t>European</t>
  </si>
  <si>
    <t xml:space="preserve">   </t>
  </si>
  <si>
    <t>Step</t>
  </si>
  <si>
    <t>Price</t>
  </si>
  <si>
    <t>Input</t>
  </si>
  <si>
    <t>Gap</t>
  </si>
  <si>
    <t>Gap * N</t>
  </si>
  <si>
    <t>Market</t>
  </si>
  <si>
    <t>Option</t>
  </si>
  <si>
    <t>Spot</t>
  </si>
  <si>
    <t>Dividend</t>
  </si>
  <si>
    <t>Strike</t>
  </si>
  <si>
    <t>Exercise Type</t>
  </si>
  <si>
    <t>Pricing Method</t>
  </si>
  <si>
    <t>Nb Steps</t>
  </si>
  <si>
    <t>Prunning Treshold</t>
  </si>
  <si>
    <t>Pricer</t>
  </si>
  <si>
    <t>Risk-free Rate (%)</t>
  </si>
  <si>
    <t>Option Type</t>
  </si>
  <si>
    <t>Put</t>
  </si>
  <si>
    <t>American</t>
  </si>
  <si>
    <t>Bermudean</t>
  </si>
  <si>
    <t>Pricer type</t>
  </si>
  <si>
    <t>Compute Greeks ?</t>
  </si>
  <si>
    <t>Show Tree ?</t>
  </si>
  <si>
    <t>Output</t>
  </si>
  <si>
    <t>Option Price (Tree)</t>
  </si>
  <si>
    <t>Option Price (B&amp;S)</t>
  </si>
  <si>
    <t>Time</t>
  </si>
  <si>
    <t>Tree generation (sec)</t>
  </si>
  <si>
    <t>Option Pricing (sec)</t>
  </si>
  <si>
    <t>Total (sec)</t>
  </si>
  <si>
    <t>Greeks</t>
  </si>
  <si>
    <t>Delta</t>
  </si>
  <si>
    <t>Gamma</t>
  </si>
  <si>
    <t>Vega</t>
  </si>
  <si>
    <t>Theta</t>
  </si>
  <si>
    <t>Rho</t>
  </si>
  <si>
    <t>Trinomial Tree - Option Pricer</t>
  </si>
  <si>
    <t>Choose</t>
  </si>
  <si>
    <t>Yes</t>
  </si>
  <si>
    <t>No</t>
  </si>
  <si>
    <t>N/A</t>
  </si>
  <si>
    <t>Option Prices</t>
  </si>
  <si>
    <t>Underlying Prices</t>
  </si>
  <si>
    <t>BS Price</t>
  </si>
  <si>
    <t>Node Probabilities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</si>
</sst>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#,##0.00\ &quot;€&quot;"/>
    <numFmt numFmtId="165" formatCode="#,##0.0000\ &quot;€&quot;"/>
    <numFmt numFmtId="166" formatCode="0.000"/>
  </numFmts>
  <fonts count="14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32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98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8" xfId="0" applyBorder="1"/>
    <xf numFmtId="0" fontId="0" fillId="0" borderId="8" xfId="0" applyBorder="1" applyAlignment="1">
      <alignment vertical="center"/>
    </xf>
    <xf numFmtId="0" fontId="6" fillId="0" borderId="0" xfId="0" applyFont="1" applyAlignment="1">
      <alignment vertical="center"/>
    </xf>
    <xf numFmtId="0" fontId="0" fillId="10" borderId="6" xfId="0" applyFill="1" applyBorder="1" applyAlignment="1">
      <alignment vertical="center"/>
    </xf>
    <xf numFmtId="0" fontId="0" fillId="0" borderId="0" xfId="0" applyAlignment="1">
      <alignment vertical="center"/>
    </xf>
    <xf numFmtId="0" fontId="10" fillId="0" borderId="1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textRotation="255"/>
    </xf>
    <xf numFmtId="0" fontId="5" fillId="6" borderId="1" xfId="0" applyFont="1" applyFill="1" applyBorder="1" applyAlignment="1">
      <alignment horizontal="center" vertical="center" textRotation="255"/>
    </xf>
    <xf numFmtId="0" fontId="0" fillId="0" borderId="1" xfId="0" applyBorder="1" applyAlignment="1">
      <alignment horizontal="center" vertical="center"/>
    </xf>
    <xf numFmtId="166" fontId="10" fillId="0" borderId="15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6" fontId="11" fillId="7" borderId="15" xfId="0" applyNumberFormat="1" applyFont="1" applyFill="1" applyBorder="1" applyAlignment="1">
      <alignment horizontal="center" vertical="center"/>
    </xf>
    <xf numFmtId="166" fontId="11" fillId="7" borderId="1" xfId="0" applyNumberFormat="1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 textRotation="255"/>
    </xf>
    <xf numFmtId="0" fontId="8" fillId="3" borderId="1" xfId="0" applyFont="1" applyFill="1" applyBorder="1" applyAlignment="1">
      <alignment horizontal="center" vertical="center" textRotation="255"/>
    </xf>
    <xf numFmtId="0" fontId="9" fillId="9" borderId="3" xfId="0" applyFont="1" applyFill="1" applyBorder="1" applyAlignment="1">
      <alignment horizontal="center" vertical="center"/>
    </xf>
    <xf numFmtId="0" fontId="9" fillId="9" borderId="1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9" borderId="6" xfId="0" applyFont="1" applyFill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1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165" fontId="11" fillId="7" borderId="15" xfId="0" applyNumberFormat="1" applyFont="1" applyFill="1" applyBorder="1" applyAlignment="1">
      <alignment horizontal="center" vertical="center"/>
    </xf>
    <xf numFmtId="165" fontId="11" fillId="7" borderId="1" xfId="0" applyNumberFormat="1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165" fontId="10" fillId="0" borderId="1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 textRotation="255"/>
    </xf>
    <xf numFmtId="0" fontId="7" fillId="5" borderId="13" xfId="0" applyFont="1" applyFill="1" applyBorder="1" applyAlignment="1">
      <alignment horizontal="center" vertical="center" textRotation="255"/>
    </xf>
    <xf numFmtId="0" fontId="7" fillId="5" borderId="8" xfId="0" applyFont="1" applyFill="1" applyBorder="1" applyAlignment="1">
      <alignment horizontal="center" vertical="center" textRotation="255"/>
    </xf>
    <xf numFmtId="0" fontId="8" fillId="4" borderId="3" xfId="0" applyFont="1" applyFill="1" applyBorder="1" applyAlignment="1">
      <alignment horizontal="center" vertical="center" textRotation="255"/>
    </xf>
    <xf numFmtId="0" fontId="8" fillId="4" borderId="2" xfId="0" applyFont="1" applyFill="1" applyBorder="1" applyAlignment="1">
      <alignment horizontal="center" vertical="center" textRotation="255"/>
    </xf>
    <xf numFmtId="0" fontId="8" fillId="4" borderId="6" xfId="0" applyFont="1" applyFill="1" applyBorder="1" applyAlignment="1">
      <alignment horizontal="center" vertical="center" textRotation="255"/>
    </xf>
    <xf numFmtId="0" fontId="8" fillId="4" borderId="11" xfId="0" applyFont="1" applyFill="1" applyBorder="1" applyAlignment="1">
      <alignment horizontal="center" vertical="center" textRotation="255"/>
    </xf>
    <xf numFmtId="0" fontId="8" fillId="4" borderId="4" xfId="0" applyFont="1" applyFill="1" applyBorder="1" applyAlignment="1">
      <alignment horizontal="center" vertical="center" textRotation="255"/>
    </xf>
    <xf numFmtId="0" fontId="8" fillId="4" borderId="5" xfId="0" applyFont="1" applyFill="1" applyBorder="1" applyAlignment="1">
      <alignment horizontal="center" vertical="center" textRotation="255"/>
    </xf>
    <xf numFmtId="11" fontId="10" fillId="0" borderId="3" xfId="0" applyNumberFormat="1" applyFont="1" applyBorder="1" applyAlignment="1">
      <alignment horizontal="center" vertical="center"/>
    </xf>
    <xf numFmtId="11" fontId="10" fillId="0" borderId="12" xfId="0" applyNumberFormat="1" applyFont="1" applyBorder="1" applyAlignment="1">
      <alignment horizontal="center" vertical="center"/>
    </xf>
    <xf numFmtId="11" fontId="10" fillId="0" borderId="4" xfId="0" applyNumberFormat="1" applyFont="1" applyBorder="1" applyAlignment="1">
      <alignment horizontal="center" vertical="center"/>
    </xf>
    <xf numFmtId="11" fontId="10" fillId="0" borderId="14" xfId="0" applyNumberFormat="1" applyFont="1" applyBorder="1" applyAlignment="1">
      <alignment horizontal="center" vertical="center"/>
    </xf>
    <xf numFmtId="0" fontId="0" fillId="5" borderId="10" xfId="0" applyFill="1" applyBorder="1" applyAlignment="1">
      <alignment horizontal="center" vertical="center" textRotation="255"/>
    </xf>
    <xf numFmtId="0" fontId="0" fillId="5" borderId="13" xfId="0" applyFill="1" applyBorder="1" applyAlignment="1">
      <alignment horizontal="center" vertical="center" textRotation="255"/>
    </xf>
    <xf numFmtId="0" fontId="0" fillId="5" borderId="8" xfId="0" applyFill="1" applyBorder="1" applyAlignment="1">
      <alignment horizontal="center" vertical="center" textRotation="255"/>
    </xf>
    <xf numFmtId="164" fontId="10" fillId="0" borderId="3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164" fontId="10" fillId="0" borderId="4" xfId="0" applyNumberFormat="1" applyFont="1" applyBorder="1" applyAlignment="1">
      <alignment horizontal="center" vertical="center"/>
    </xf>
    <xf numFmtId="164" fontId="10" fillId="0" borderId="14" xfId="0" applyNumberFormat="1" applyFont="1" applyBorder="1" applyAlignment="1">
      <alignment horizontal="center" vertical="center"/>
    </xf>
    <xf numFmtId="10" fontId="10" fillId="0" borderId="3" xfId="0" applyNumberFormat="1" applyFont="1" applyBorder="1" applyAlignment="1">
      <alignment horizontal="center" vertical="center"/>
    </xf>
    <xf numFmtId="10" fontId="10" fillId="0" borderId="12" xfId="0" applyNumberFormat="1" applyFont="1" applyBorder="1" applyAlignment="1">
      <alignment horizontal="center" vertical="center"/>
    </xf>
    <xf numFmtId="10" fontId="10" fillId="0" borderId="4" xfId="0" applyNumberFormat="1" applyFont="1" applyBorder="1" applyAlignment="1">
      <alignment horizontal="center" vertical="center"/>
    </xf>
    <xf numFmtId="10" fontId="10" fillId="0" borderId="14" xfId="0" applyNumberFormat="1" applyFont="1" applyBorder="1" applyAlignment="1">
      <alignment horizontal="center" vertical="center"/>
    </xf>
    <xf numFmtId="9" fontId="10" fillId="0" borderId="3" xfId="1" applyFont="1" applyBorder="1" applyAlignment="1">
      <alignment horizontal="center" vertical="center"/>
    </xf>
    <xf numFmtId="9" fontId="10" fillId="0" borderId="12" xfId="1" applyFont="1" applyBorder="1" applyAlignment="1">
      <alignment horizontal="center" vertical="center"/>
    </xf>
    <xf numFmtId="9" fontId="10" fillId="0" borderId="4" xfId="1" applyFont="1" applyBorder="1" applyAlignment="1">
      <alignment horizontal="center" vertical="center"/>
    </xf>
    <xf numFmtId="9" fontId="10" fillId="0" borderId="14" xfId="1" applyFont="1" applyBorder="1" applyAlignment="1">
      <alignment horizontal="center" vertical="center"/>
    </xf>
    <xf numFmtId="14" fontId="10" fillId="0" borderId="3" xfId="0" applyNumberFormat="1" applyFont="1" applyBorder="1" applyAlignment="1">
      <alignment horizontal="center" vertical="center"/>
    </xf>
    <xf numFmtId="14" fontId="10" fillId="0" borderId="12" xfId="0" applyNumberFormat="1" applyFont="1" applyBorder="1" applyAlignment="1">
      <alignment horizontal="center" vertical="center"/>
    </xf>
    <xf numFmtId="14" fontId="10" fillId="0" borderId="4" xfId="0" applyNumberFormat="1" applyFont="1" applyBorder="1" applyAlignment="1">
      <alignment horizontal="center" vertical="center"/>
    </xf>
    <xf numFmtId="14" fontId="10" fillId="0" borderId="14" xfId="0" applyNumberFormat="1" applyFont="1" applyBorder="1" applyAlignment="1">
      <alignment horizontal="center" vertical="center"/>
    </xf>
    <xf numFmtId="164" fontId="10" fillId="0" borderId="3" xfId="2" applyNumberFormat="1" applyFont="1" applyBorder="1" applyAlignment="1">
      <alignment horizontal="center" vertical="center"/>
    </xf>
    <xf numFmtId="164" fontId="10" fillId="0" borderId="12" xfId="2" applyNumberFormat="1" applyFont="1" applyBorder="1" applyAlignment="1">
      <alignment horizontal="center" vertical="center"/>
    </xf>
    <xf numFmtId="164" fontId="10" fillId="0" borderId="4" xfId="2" applyNumberFormat="1" applyFont="1" applyBorder="1" applyAlignment="1">
      <alignment horizontal="center" vertical="center"/>
    </xf>
    <xf numFmtId="164" fontId="10" fillId="0" borderId="14" xfId="2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7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0" fillId="0" borderId="0" xfId="0" applyFill="1"/>
  </cellXfs>
  <cellStyles count="3">
    <cellStyle name="Monétaire" xfId="2" builtinId="4"/>
    <cellStyle name="Normal" xfId="0" builtinId="0"/>
    <cellStyle name="Pourcentage" xfId="1" builtinId="5"/>
  </cellStyles>
  <dxfs count="1">
    <dxf>
      <fill>
        <patternFill>
          <bgColor theme="2" tint="-0.499984740745262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Graphique!$E$1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Graphique!$E$2:$E$51</c:f>
              <c:numCache>
                <c:formatCode>General</c:formatCode>
                <c:ptCount val="50"/>
                <c:pt idx="1">
                  <c:v>5</c:v>
                </c:pt>
                <c:pt idx="2">
                  <c:v>12.233802874789152</c:v>
                </c:pt>
                <c:pt idx="3">
                  <c:v>12.649620027924502</c:v>
                </c:pt>
                <c:pt idx="4">
                  <c:v>13.042881644990647</c:v>
                </c:pt>
                <c:pt idx="5">
                  <c:v>13.162633736050946</c:v>
                </c:pt>
                <c:pt idx="6">
                  <c:v>13.195291663783172</c:v>
                </c:pt>
                <c:pt idx="7">
                  <c:v>13.273560995150662</c:v>
                </c:pt>
                <c:pt idx="8">
                  <c:v>13.275168625709995</c:v>
                </c:pt>
                <c:pt idx="9">
                  <c:v>13.297785474379225</c:v>
                </c:pt>
                <c:pt idx="10">
                  <c:v>13.309765247556847</c:v>
                </c:pt>
                <c:pt idx="11">
                  <c:v>13.30805630686049</c:v>
                </c:pt>
                <c:pt idx="12">
                  <c:v>13.312035407263924</c:v>
                </c:pt>
                <c:pt idx="13">
                  <c:v>13.321453893289123</c:v>
                </c:pt>
                <c:pt idx="14">
                  <c:v>13.324129272967527</c:v>
                </c:pt>
                <c:pt idx="15">
                  <c:v>13.322451060626781</c:v>
                </c:pt>
                <c:pt idx="16">
                  <c:v>13.321678719298442</c:v>
                </c:pt>
                <c:pt idx="17">
                  <c:v>13.327891226129612</c:v>
                </c:pt>
                <c:pt idx="18">
                  <c:v>13.330808547412669</c:v>
                </c:pt>
                <c:pt idx="19">
                  <c:v>13.331285975268786</c:v>
                </c:pt>
                <c:pt idx="20">
                  <c:v>13.329941832740159</c:v>
                </c:pt>
                <c:pt idx="21">
                  <c:v>13.328223839195781</c:v>
                </c:pt>
                <c:pt idx="22">
                  <c:v>13.332249427111936</c:v>
                </c:pt>
                <c:pt idx="23">
                  <c:v>13.334571611379317</c:v>
                </c:pt>
                <c:pt idx="24">
                  <c:v>13.335523495052209</c:v>
                </c:pt>
                <c:pt idx="25">
                  <c:v>13.334314138758428</c:v>
                </c:pt>
                <c:pt idx="26">
                  <c:v>13.335383621662331</c:v>
                </c:pt>
                <c:pt idx="27">
                  <c:v>13.338017463193999</c:v>
                </c:pt>
                <c:pt idx="28">
                  <c:v>13.337916327904633</c:v>
                </c:pt>
                <c:pt idx="29">
                  <c:v>13.335894615674485</c:v>
                </c:pt>
                <c:pt idx="30">
                  <c:v>13.338939936224589</c:v>
                </c:pt>
                <c:pt idx="31">
                  <c:v>13.340035194952302</c:v>
                </c:pt>
                <c:pt idx="32">
                  <c:v>13.339614049538303</c:v>
                </c:pt>
                <c:pt idx="33">
                  <c:v>13.338174913472741</c:v>
                </c:pt>
                <c:pt idx="34">
                  <c:v>13.340331743102258</c:v>
                </c:pt>
                <c:pt idx="35">
                  <c:v>13.341165870154837</c:v>
                </c:pt>
                <c:pt idx="36">
                  <c:v>13.340740754000239</c:v>
                </c:pt>
                <c:pt idx="37">
                  <c:v>13.342252859759325</c:v>
                </c:pt>
                <c:pt idx="38">
                  <c:v>13.3412068435105</c:v>
                </c:pt>
                <c:pt idx="39">
                  <c:v>13.342607251679269</c:v>
                </c:pt>
                <c:pt idx="40">
                  <c:v>13.342823503705954</c:v>
                </c:pt>
                <c:pt idx="41">
                  <c:v>13.342078156988489</c:v>
                </c:pt>
                <c:pt idx="42">
                  <c:v>13.343375885472927</c:v>
                </c:pt>
                <c:pt idx="43">
                  <c:v>13.343285032161814</c:v>
                </c:pt>
                <c:pt idx="44">
                  <c:v>13.342826650934926</c:v>
                </c:pt>
                <c:pt idx="45">
                  <c:v>13.343811683800432</c:v>
                </c:pt>
                <c:pt idx="46">
                  <c:v>13.343780780643071</c:v>
                </c:pt>
                <c:pt idx="47">
                  <c:v>13.343093345744586</c:v>
                </c:pt>
                <c:pt idx="48">
                  <c:v>13.344055583499308</c:v>
                </c:pt>
                <c:pt idx="49">
                  <c:v>13.344226146280239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24-4627-AE7C-FAC817020AC0}"/>
            </c:ext>
          </c:extLst>
        </c:ser>
        <c:ser>
          <c:idx val="4"/>
          <c:order val="2"/>
          <c:tx>
            <c:strRef>
              <c:f>Graphique!$G$1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Graphique!$G$2:$G$51</c:f>
              <c:numCache>
                <c:formatCode>General</c:formatCode>
                <c:ptCount val="50"/>
                <c:pt idx="1">
                  <c:v>13.346464945879582</c:v>
                </c:pt>
                <c:pt idx="2">
                  <c:v>13.346464945879582</c:v>
                </c:pt>
                <c:pt idx="3">
                  <c:v>13.346464945879582</c:v>
                </c:pt>
                <c:pt idx="4">
                  <c:v>13.346464945879582</c:v>
                </c:pt>
                <c:pt idx="5">
                  <c:v>13.346464945879582</c:v>
                </c:pt>
                <c:pt idx="6">
                  <c:v>13.346464945879582</c:v>
                </c:pt>
                <c:pt idx="7">
                  <c:v>13.346464945879582</c:v>
                </c:pt>
                <c:pt idx="8">
                  <c:v>13.346464945879582</c:v>
                </c:pt>
                <c:pt idx="9">
                  <c:v>13.346464945879582</c:v>
                </c:pt>
                <c:pt idx="10">
                  <c:v>13.346464945879582</c:v>
                </c:pt>
                <c:pt idx="11">
                  <c:v>13.346464945879582</c:v>
                </c:pt>
                <c:pt idx="12">
                  <c:v>13.346464945879582</c:v>
                </c:pt>
                <c:pt idx="13">
                  <c:v>13.346464945879582</c:v>
                </c:pt>
                <c:pt idx="14">
                  <c:v>13.346464945879582</c:v>
                </c:pt>
                <c:pt idx="15">
                  <c:v>13.346464945879582</c:v>
                </c:pt>
                <c:pt idx="16">
                  <c:v>13.346464945879582</c:v>
                </c:pt>
                <c:pt idx="17">
                  <c:v>13.346464945879582</c:v>
                </c:pt>
                <c:pt idx="18">
                  <c:v>13.346464945879582</c:v>
                </c:pt>
                <c:pt idx="19">
                  <c:v>13.346464945879582</c:v>
                </c:pt>
                <c:pt idx="20">
                  <c:v>13.346464945879582</c:v>
                </c:pt>
                <c:pt idx="21">
                  <c:v>13.346464945879582</c:v>
                </c:pt>
                <c:pt idx="22">
                  <c:v>13.346464945879582</c:v>
                </c:pt>
                <c:pt idx="23">
                  <c:v>13.346464945879582</c:v>
                </c:pt>
                <c:pt idx="24">
                  <c:v>13.346464945879582</c:v>
                </c:pt>
                <c:pt idx="25">
                  <c:v>13.346464945879582</c:v>
                </c:pt>
                <c:pt idx="26">
                  <c:v>13.346464945879582</c:v>
                </c:pt>
                <c:pt idx="27">
                  <c:v>13.346464945879582</c:v>
                </c:pt>
                <c:pt idx="28">
                  <c:v>13.346464945879582</c:v>
                </c:pt>
                <c:pt idx="29">
                  <c:v>13.346464945879582</c:v>
                </c:pt>
                <c:pt idx="30">
                  <c:v>13.346464945879582</c:v>
                </c:pt>
                <c:pt idx="31">
                  <c:v>13.346464945879582</c:v>
                </c:pt>
                <c:pt idx="32">
                  <c:v>13.346464945879582</c:v>
                </c:pt>
                <c:pt idx="33">
                  <c:v>13.346464945879582</c:v>
                </c:pt>
                <c:pt idx="34">
                  <c:v>13.346464945879582</c:v>
                </c:pt>
                <c:pt idx="35">
                  <c:v>13.346464945879582</c:v>
                </c:pt>
                <c:pt idx="36">
                  <c:v>13.346464945879582</c:v>
                </c:pt>
                <c:pt idx="37">
                  <c:v>13.346464945879582</c:v>
                </c:pt>
                <c:pt idx="38">
                  <c:v>13.346464945879582</c:v>
                </c:pt>
                <c:pt idx="39">
                  <c:v>13.346464945879582</c:v>
                </c:pt>
                <c:pt idx="40">
                  <c:v>13.346464945879582</c:v>
                </c:pt>
                <c:pt idx="41">
                  <c:v>13.346464945879582</c:v>
                </c:pt>
                <c:pt idx="42">
                  <c:v>13.346464945879582</c:v>
                </c:pt>
                <c:pt idx="43">
                  <c:v>13.346464945879582</c:v>
                </c:pt>
                <c:pt idx="44">
                  <c:v>13.346464945879582</c:v>
                </c:pt>
                <c:pt idx="45">
                  <c:v>13.346464945879582</c:v>
                </c:pt>
                <c:pt idx="46">
                  <c:v>13.346464945879582</c:v>
                </c:pt>
                <c:pt idx="47">
                  <c:v>13.346464945879582</c:v>
                </c:pt>
                <c:pt idx="48">
                  <c:v>13.346464945879582</c:v>
                </c:pt>
                <c:pt idx="49">
                  <c:v>13.346464945879582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24-4627-AE7C-FAC817020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224-4627-AE7C-FAC817020AC0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224-4627-AE7C-FAC817020AC0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224-4627-AE7C-FAC817020AC0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5"/>
          <c:order val="3"/>
          <c:tx>
            <c:strRef>
              <c:f>Graphique!$H$1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Graphique!$H$2:$H$51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1.1126620710904298</c:v>
                </c:pt>
                <c:pt idx="3">
                  <c:v>0.69684491795507952</c:v>
                </c:pt>
                <c:pt idx="4">
                  <c:v>0.30358330088893482</c:v>
                </c:pt>
                <c:pt idx="5">
                  <c:v>0.18383120982863588</c:v>
                </c:pt>
                <c:pt idx="6">
                  <c:v>0.15117328209641023</c:v>
                </c:pt>
                <c:pt idx="7">
                  <c:v>7.2903950728919753E-2</c:v>
                </c:pt>
                <c:pt idx="8">
                  <c:v>7.1296320169587091E-2</c:v>
                </c:pt>
                <c:pt idx="9">
                  <c:v>4.8679471500356897E-2</c:v>
                </c:pt>
                <c:pt idx="10">
                  <c:v>3.669969832273523E-2</c:v>
                </c:pt>
                <c:pt idx="11">
                  <c:v>3.8408639019092305E-2</c:v>
                </c:pt>
                <c:pt idx="12">
                  <c:v>3.4429538615658117E-2</c:v>
                </c:pt>
                <c:pt idx="13">
                  <c:v>2.5011052590459215E-2</c:v>
                </c:pt>
                <c:pt idx="14">
                  <c:v>2.233567291205496E-2</c:v>
                </c:pt>
                <c:pt idx="15">
                  <c:v>2.4013885252800904E-2</c:v>
                </c:pt>
                <c:pt idx="16">
                  <c:v>2.4786226581140269E-2</c:v>
                </c:pt>
                <c:pt idx="17">
                  <c:v>1.8573719749969797E-2</c:v>
                </c:pt>
                <c:pt idx="18">
                  <c:v>1.5656398466912691E-2</c:v>
                </c:pt>
                <c:pt idx="19">
                  <c:v>1.5178970610795872E-2</c:v>
                </c:pt>
                <c:pt idx="20">
                  <c:v>1.6523113139422563E-2</c:v>
                </c:pt>
                <c:pt idx="21">
                  <c:v>1.8241106683801078E-2</c:v>
                </c:pt>
                <c:pt idx="22">
                  <c:v>1.4215518767645818E-2</c:v>
                </c:pt>
                <c:pt idx="23">
                  <c:v>1.189333450026453E-2</c:v>
                </c:pt>
                <c:pt idx="24">
                  <c:v>1.0941450827372634E-2</c:v>
                </c:pt>
                <c:pt idx="25">
                  <c:v>1.2150807121154017E-2</c:v>
                </c:pt>
                <c:pt idx="26">
                  <c:v>1.1081324217251165E-2</c:v>
                </c:pt>
                <c:pt idx="27">
                  <c:v>8.4474826855824858E-3</c:v>
                </c:pt>
                <c:pt idx="28">
                  <c:v>8.548617974948769E-3</c:v>
                </c:pt>
                <c:pt idx="29">
                  <c:v>1.0570330205096568E-2</c:v>
                </c:pt>
                <c:pt idx="30">
                  <c:v>7.5250096549925871E-3</c:v>
                </c:pt>
                <c:pt idx="31">
                  <c:v>6.4297509272801534E-3</c:v>
                </c:pt>
                <c:pt idx="32">
                  <c:v>6.8508963412785562E-3</c:v>
                </c:pt>
                <c:pt idx="33">
                  <c:v>8.2900324068404529E-3</c:v>
                </c:pt>
                <c:pt idx="34">
                  <c:v>6.1332027773239872E-3</c:v>
                </c:pt>
                <c:pt idx="35">
                  <c:v>5.2990757247446396E-3</c:v>
                </c:pt>
                <c:pt idx="36">
                  <c:v>5.7241918793433655E-3</c:v>
                </c:pt>
                <c:pt idx="37">
                  <c:v>4.2120861202565862E-3</c:v>
                </c:pt>
                <c:pt idx="38">
                  <c:v>5.2581023690816409E-3</c:v>
                </c:pt>
                <c:pt idx="39">
                  <c:v>3.8576942003132331E-3</c:v>
                </c:pt>
                <c:pt idx="40">
                  <c:v>3.641442173627496E-3</c:v>
                </c:pt>
                <c:pt idx="41">
                  <c:v>4.3867888910931185E-3</c:v>
                </c:pt>
                <c:pt idx="42">
                  <c:v>3.0890604066549088E-3</c:v>
                </c:pt>
                <c:pt idx="43">
                  <c:v>3.1799137177674908E-3</c:v>
                </c:pt>
                <c:pt idx="44">
                  <c:v>3.6382949446558399E-3</c:v>
                </c:pt>
                <c:pt idx="45">
                  <c:v>2.6532620791499539E-3</c:v>
                </c:pt>
                <c:pt idx="46">
                  <c:v>2.6841652365110491E-3</c:v>
                </c:pt>
                <c:pt idx="47">
                  <c:v>3.3716001349954894E-3</c:v>
                </c:pt>
                <c:pt idx="48">
                  <c:v>2.4093623802734498E-3</c:v>
                </c:pt>
                <c:pt idx="49">
                  <c:v>2.2387995993433663E-3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0-52E7-434A-9107-D69A686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2E7-434A-9107-D69A686DD780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2E7-434A-9107-D69A686DD780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2E7-434A-9107-D69A686DD780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2E7-434A-9107-D69A686DD780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strRef>
              <c:f>Graphique!$F$1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Graphique!$F$2:$F$51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1.5625E-2</c:v>
                </c:pt>
                <c:pt idx="6">
                  <c:v>1.5625E-2</c:v>
                </c:pt>
                <c:pt idx="7">
                  <c:v>2.34375E-2</c:v>
                </c:pt>
                <c:pt idx="8">
                  <c:v>3.90625E-2</c:v>
                </c:pt>
                <c:pt idx="9">
                  <c:v>5.46875E-2</c:v>
                </c:pt>
                <c:pt idx="10">
                  <c:v>7.8125E-2</c:v>
                </c:pt>
                <c:pt idx="11">
                  <c:v>9.375E-2</c:v>
                </c:pt>
                <c:pt idx="12">
                  <c:v>0.1171875</c:v>
                </c:pt>
                <c:pt idx="13">
                  <c:v>0.1328125</c:v>
                </c:pt>
                <c:pt idx="14">
                  <c:v>0.1640625</c:v>
                </c:pt>
                <c:pt idx="15">
                  <c:v>0.1875</c:v>
                </c:pt>
                <c:pt idx="16">
                  <c:v>0.2109375</c:v>
                </c:pt>
                <c:pt idx="17">
                  <c:v>0.234375</c:v>
                </c:pt>
                <c:pt idx="18">
                  <c:v>0.265625</c:v>
                </c:pt>
                <c:pt idx="19">
                  <c:v>0.296875</c:v>
                </c:pt>
                <c:pt idx="20">
                  <c:v>0.3203125</c:v>
                </c:pt>
                <c:pt idx="21">
                  <c:v>0.3515625</c:v>
                </c:pt>
                <c:pt idx="22">
                  <c:v>0.375</c:v>
                </c:pt>
                <c:pt idx="23">
                  <c:v>0.4140625</c:v>
                </c:pt>
                <c:pt idx="24">
                  <c:v>0.4375</c:v>
                </c:pt>
                <c:pt idx="25">
                  <c:v>0.5</c:v>
                </c:pt>
                <c:pt idx="26">
                  <c:v>0.5703125</c:v>
                </c:pt>
                <c:pt idx="27">
                  <c:v>0.6484375</c:v>
                </c:pt>
                <c:pt idx="28">
                  <c:v>0.71875</c:v>
                </c:pt>
                <c:pt idx="29">
                  <c:v>0.8046875</c:v>
                </c:pt>
                <c:pt idx="30">
                  <c:v>0.8828125</c:v>
                </c:pt>
                <c:pt idx="31">
                  <c:v>0.9765625</c:v>
                </c:pt>
                <c:pt idx="32">
                  <c:v>1.046875</c:v>
                </c:pt>
                <c:pt idx="33">
                  <c:v>1.125</c:v>
                </c:pt>
                <c:pt idx="34">
                  <c:v>1.21875</c:v>
                </c:pt>
                <c:pt idx="35">
                  <c:v>1.40625</c:v>
                </c:pt>
                <c:pt idx="36">
                  <c:v>1.5859375</c:v>
                </c:pt>
                <c:pt idx="37">
                  <c:v>1.7890625</c:v>
                </c:pt>
                <c:pt idx="38">
                  <c:v>2</c:v>
                </c:pt>
                <c:pt idx="39">
                  <c:v>2.2265625</c:v>
                </c:pt>
                <c:pt idx="40">
                  <c:v>2.65625</c:v>
                </c:pt>
                <c:pt idx="41">
                  <c:v>2.6796875</c:v>
                </c:pt>
                <c:pt idx="42">
                  <c:v>2.9140625</c:v>
                </c:pt>
                <c:pt idx="43">
                  <c:v>3.15625</c:v>
                </c:pt>
                <c:pt idx="44">
                  <c:v>3.390625</c:v>
                </c:pt>
                <c:pt idx="45">
                  <c:v>3.65625</c:v>
                </c:pt>
                <c:pt idx="46">
                  <c:v>3.9375</c:v>
                </c:pt>
                <c:pt idx="47">
                  <c:v>4.21875</c:v>
                </c:pt>
                <c:pt idx="48">
                  <c:v>4.3828125</c:v>
                </c:pt>
                <c:pt idx="49">
                  <c:v>4.7109375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0-5B7C-4824-9D5A-F56F77800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B7C-4824-9D5A-F56F778006A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B7C-4824-9D5A-F56F778006A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B7C-4824-9D5A-F56F778006A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B7C-4824-9D5A-F56F778006A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4"/>
          <c:tx>
            <c:strRef>
              <c:f>Graphique!$I$1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Graphique!$I$2:$I$51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5.563310355452149</c:v>
                </c:pt>
                <c:pt idx="3">
                  <c:v>6.9684491795507952</c:v>
                </c:pt>
                <c:pt idx="4">
                  <c:v>6.0716660177786963</c:v>
                </c:pt>
                <c:pt idx="5">
                  <c:v>5.5149362948590763</c:v>
                </c:pt>
                <c:pt idx="6">
                  <c:v>7.5586641048205117</c:v>
                </c:pt>
                <c:pt idx="7">
                  <c:v>5.4677963046689815</c:v>
                </c:pt>
                <c:pt idx="8">
                  <c:v>7.1296320169587091</c:v>
                </c:pt>
                <c:pt idx="9">
                  <c:v>6.0849339375446121</c:v>
                </c:pt>
                <c:pt idx="10">
                  <c:v>5.5049547484102845</c:v>
                </c:pt>
                <c:pt idx="11">
                  <c:v>6.7215118283411535</c:v>
                </c:pt>
                <c:pt idx="12">
                  <c:v>6.8859077231316235</c:v>
                </c:pt>
                <c:pt idx="13">
                  <c:v>5.6274868328533234</c:v>
                </c:pt>
                <c:pt idx="14">
                  <c:v>5.58391822801374</c:v>
                </c:pt>
                <c:pt idx="15">
                  <c:v>6.6038184445202486</c:v>
                </c:pt>
                <c:pt idx="16">
                  <c:v>7.4358679743420808</c:v>
                </c:pt>
                <c:pt idx="17">
                  <c:v>6.036458918740184</c:v>
                </c:pt>
                <c:pt idx="18">
                  <c:v>5.4797394634194418</c:v>
                </c:pt>
                <c:pt idx="19">
                  <c:v>5.6921139790484521</c:v>
                </c:pt>
                <c:pt idx="20">
                  <c:v>6.6092452557690251</c:v>
                </c:pt>
                <c:pt idx="21">
                  <c:v>7.7524703406154583</c:v>
                </c:pt>
                <c:pt idx="22">
                  <c:v>6.3969834454406183</c:v>
                </c:pt>
                <c:pt idx="23">
                  <c:v>5.6493338876256516</c:v>
                </c:pt>
                <c:pt idx="24">
                  <c:v>5.470725413686317</c:v>
                </c:pt>
                <c:pt idx="25">
                  <c:v>6.6829439166347093</c:v>
                </c:pt>
                <c:pt idx="26">
                  <c:v>6.648794530350699</c:v>
                </c:pt>
                <c:pt idx="27">
                  <c:v>5.4908637456286158</c:v>
                </c:pt>
                <c:pt idx="28">
                  <c:v>5.9840325824641383</c:v>
                </c:pt>
                <c:pt idx="29">
                  <c:v>7.9277476538224256</c:v>
                </c:pt>
                <c:pt idx="30">
                  <c:v>6.0200077239940697</c:v>
                </c:pt>
                <c:pt idx="31">
                  <c:v>5.4652882881881304</c:v>
                </c:pt>
                <c:pt idx="32">
                  <c:v>6.1658067071507006</c:v>
                </c:pt>
                <c:pt idx="33">
                  <c:v>7.8755307864984303</c:v>
                </c:pt>
                <c:pt idx="34">
                  <c:v>6.1332027773239872</c:v>
                </c:pt>
                <c:pt idx="35">
                  <c:v>5.8289832972191036</c:v>
                </c:pt>
                <c:pt idx="36">
                  <c:v>6.8690302552120386</c:v>
                </c:pt>
                <c:pt idx="37">
                  <c:v>5.4757119563335621</c:v>
                </c:pt>
                <c:pt idx="38">
                  <c:v>7.3613433167142972</c:v>
                </c:pt>
                <c:pt idx="39">
                  <c:v>5.7865413004698496</c:v>
                </c:pt>
                <c:pt idx="40">
                  <c:v>5.8263074778039936</c:v>
                </c:pt>
                <c:pt idx="41">
                  <c:v>7.4575411148583015</c:v>
                </c:pt>
                <c:pt idx="42">
                  <c:v>5.5603087319788358</c:v>
                </c:pt>
                <c:pt idx="43">
                  <c:v>6.0418360637582325</c:v>
                </c:pt>
                <c:pt idx="44">
                  <c:v>7.2765898893116798</c:v>
                </c:pt>
                <c:pt idx="45">
                  <c:v>5.5718503662149033</c:v>
                </c:pt>
                <c:pt idx="46">
                  <c:v>5.905163520324308</c:v>
                </c:pt>
                <c:pt idx="47">
                  <c:v>7.7546803104896256</c:v>
                </c:pt>
                <c:pt idx="48">
                  <c:v>5.7824697126562796</c:v>
                </c:pt>
                <c:pt idx="49">
                  <c:v>5.5969989983584156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0-ACE5-4383-BA4A-595BE912E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CE5-4383-BA4A-595BE912E66F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CE5-4383-BA4A-595BE912E66F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CE5-4383-BA4A-595BE912E66F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CE5-4383-BA4A-595BE912E66F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Graphique!$E$1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Graphique!$E$2:$E$51</c:f>
              <c:numCache>
                <c:formatCode>General</c:formatCode>
                <c:ptCount val="50"/>
                <c:pt idx="1">
                  <c:v>5</c:v>
                </c:pt>
                <c:pt idx="2">
                  <c:v>12.233802874789152</c:v>
                </c:pt>
                <c:pt idx="3">
                  <c:v>12.649620027924502</c:v>
                </c:pt>
                <c:pt idx="4">
                  <c:v>13.042881644990647</c:v>
                </c:pt>
                <c:pt idx="5">
                  <c:v>13.162633736050946</c:v>
                </c:pt>
                <c:pt idx="6">
                  <c:v>13.195291663783172</c:v>
                </c:pt>
                <c:pt idx="7">
                  <c:v>13.273560995150662</c:v>
                </c:pt>
                <c:pt idx="8">
                  <c:v>13.275168625709995</c:v>
                </c:pt>
                <c:pt idx="9">
                  <c:v>13.297785474379225</c:v>
                </c:pt>
                <c:pt idx="10">
                  <c:v>13.309765247556847</c:v>
                </c:pt>
                <c:pt idx="11">
                  <c:v>13.30805630686049</c:v>
                </c:pt>
                <c:pt idx="12">
                  <c:v>13.312035407263924</c:v>
                </c:pt>
                <c:pt idx="13">
                  <c:v>13.321453893289123</c:v>
                </c:pt>
                <c:pt idx="14">
                  <c:v>13.324129272967527</c:v>
                </c:pt>
                <c:pt idx="15">
                  <c:v>13.322451060626781</c:v>
                </c:pt>
                <c:pt idx="16">
                  <c:v>13.321678719298442</c:v>
                </c:pt>
                <c:pt idx="17">
                  <c:v>13.327891226129612</c:v>
                </c:pt>
                <c:pt idx="18">
                  <c:v>13.330808547412669</c:v>
                </c:pt>
                <c:pt idx="19">
                  <c:v>13.331285975268786</c:v>
                </c:pt>
                <c:pt idx="20">
                  <c:v>13.329941832740159</c:v>
                </c:pt>
                <c:pt idx="21">
                  <c:v>13.328223839195781</c:v>
                </c:pt>
                <c:pt idx="22">
                  <c:v>13.332249427111936</c:v>
                </c:pt>
                <c:pt idx="23">
                  <c:v>13.334571611379317</c:v>
                </c:pt>
                <c:pt idx="24">
                  <c:v>13.335523495052209</c:v>
                </c:pt>
                <c:pt idx="25">
                  <c:v>13.334314138758428</c:v>
                </c:pt>
                <c:pt idx="26">
                  <c:v>13.335383621662331</c:v>
                </c:pt>
                <c:pt idx="27">
                  <c:v>13.338017463193999</c:v>
                </c:pt>
                <c:pt idx="28">
                  <c:v>13.337916327904633</c:v>
                </c:pt>
                <c:pt idx="29">
                  <c:v>13.335894615674485</c:v>
                </c:pt>
                <c:pt idx="30">
                  <c:v>13.338939936224589</c:v>
                </c:pt>
                <c:pt idx="31">
                  <c:v>13.340035194952302</c:v>
                </c:pt>
                <c:pt idx="32">
                  <c:v>13.339614049538303</c:v>
                </c:pt>
                <c:pt idx="33">
                  <c:v>13.338174913472741</c:v>
                </c:pt>
                <c:pt idx="34">
                  <c:v>13.340331743102258</c:v>
                </c:pt>
                <c:pt idx="35">
                  <c:v>13.341165870154837</c:v>
                </c:pt>
                <c:pt idx="36">
                  <c:v>13.340740754000239</c:v>
                </c:pt>
                <c:pt idx="37">
                  <c:v>13.342252859759325</c:v>
                </c:pt>
                <c:pt idx="38">
                  <c:v>13.3412068435105</c:v>
                </c:pt>
                <c:pt idx="39">
                  <c:v>13.342607251679269</c:v>
                </c:pt>
                <c:pt idx="40">
                  <c:v>13.342823503705954</c:v>
                </c:pt>
                <c:pt idx="41">
                  <c:v>13.342078156988489</c:v>
                </c:pt>
                <c:pt idx="42">
                  <c:v>13.343375885472927</c:v>
                </c:pt>
                <c:pt idx="43">
                  <c:v>13.343285032161814</c:v>
                </c:pt>
                <c:pt idx="44">
                  <c:v>13.342826650934926</c:v>
                </c:pt>
                <c:pt idx="45">
                  <c:v>13.343811683800432</c:v>
                </c:pt>
                <c:pt idx="46">
                  <c:v>13.343780780643071</c:v>
                </c:pt>
                <c:pt idx="47">
                  <c:v>13.343093345744586</c:v>
                </c:pt>
                <c:pt idx="48">
                  <c:v>13.344055583499308</c:v>
                </c:pt>
                <c:pt idx="49">
                  <c:v>13.344226146280239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Graphique!$G$1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Graphique!$G$2:$G$51</c:f>
              <c:numCache>
                <c:formatCode>General</c:formatCode>
                <c:ptCount val="50"/>
                <c:pt idx="1">
                  <c:v>13.346464945879582</c:v>
                </c:pt>
                <c:pt idx="2">
                  <c:v>13.346464945879582</c:v>
                </c:pt>
                <c:pt idx="3">
                  <c:v>13.346464945879582</c:v>
                </c:pt>
                <c:pt idx="4">
                  <c:v>13.346464945879582</c:v>
                </c:pt>
                <c:pt idx="5">
                  <c:v>13.346464945879582</c:v>
                </c:pt>
                <c:pt idx="6">
                  <c:v>13.346464945879582</c:v>
                </c:pt>
                <c:pt idx="7">
                  <c:v>13.346464945879582</c:v>
                </c:pt>
                <c:pt idx="8">
                  <c:v>13.346464945879582</c:v>
                </c:pt>
                <c:pt idx="9">
                  <c:v>13.346464945879582</c:v>
                </c:pt>
                <c:pt idx="10">
                  <c:v>13.346464945879582</c:v>
                </c:pt>
                <c:pt idx="11">
                  <c:v>13.346464945879582</c:v>
                </c:pt>
                <c:pt idx="12">
                  <c:v>13.346464945879582</c:v>
                </c:pt>
                <c:pt idx="13">
                  <c:v>13.346464945879582</c:v>
                </c:pt>
                <c:pt idx="14">
                  <c:v>13.346464945879582</c:v>
                </c:pt>
                <c:pt idx="15">
                  <c:v>13.346464945879582</c:v>
                </c:pt>
                <c:pt idx="16">
                  <c:v>13.346464945879582</c:v>
                </c:pt>
                <c:pt idx="17">
                  <c:v>13.346464945879582</c:v>
                </c:pt>
                <c:pt idx="18">
                  <c:v>13.346464945879582</c:v>
                </c:pt>
                <c:pt idx="19">
                  <c:v>13.346464945879582</c:v>
                </c:pt>
                <c:pt idx="20">
                  <c:v>13.346464945879582</c:v>
                </c:pt>
                <c:pt idx="21">
                  <c:v>13.346464945879582</c:v>
                </c:pt>
                <c:pt idx="22">
                  <c:v>13.346464945879582</c:v>
                </c:pt>
                <c:pt idx="23">
                  <c:v>13.346464945879582</c:v>
                </c:pt>
                <c:pt idx="24">
                  <c:v>13.346464945879582</c:v>
                </c:pt>
                <c:pt idx="25">
                  <c:v>13.346464945879582</c:v>
                </c:pt>
                <c:pt idx="26">
                  <c:v>13.346464945879582</c:v>
                </c:pt>
                <c:pt idx="27">
                  <c:v>13.346464945879582</c:v>
                </c:pt>
                <c:pt idx="28">
                  <c:v>13.346464945879582</c:v>
                </c:pt>
                <c:pt idx="29">
                  <c:v>13.346464945879582</c:v>
                </c:pt>
                <c:pt idx="30">
                  <c:v>13.346464945879582</c:v>
                </c:pt>
                <c:pt idx="31">
                  <c:v>13.346464945879582</c:v>
                </c:pt>
                <c:pt idx="32">
                  <c:v>13.346464945879582</c:v>
                </c:pt>
                <c:pt idx="33">
                  <c:v>13.346464945879582</c:v>
                </c:pt>
                <c:pt idx="34">
                  <c:v>13.346464945879582</c:v>
                </c:pt>
                <c:pt idx="35">
                  <c:v>13.346464945879582</c:v>
                </c:pt>
                <c:pt idx="36">
                  <c:v>13.346464945879582</c:v>
                </c:pt>
                <c:pt idx="37">
                  <c:v>13.346464945879582</c:v>
                </c:pt>
                <c:pt idx="38">
                  <c:v>13.346464945879582</c:v>
                </c:pt>
                <c:pt idx="39">
                  <c:v>13.346464945879582</c:v>
                </c:pt>
                <c:pt idx="40">
                  <c:v>13.346464945879582</c:v>
                </c:pt>
                <c:pt idx="41">
                  <c:v>13.346464945879582</c:v>
                </c:pt>
                <c:pt idx="42">
                  <c:v>13.346464945879582</c:v>
                </c:pt>
                <c:pt idx="43">
                  <c:v>13.346464945879582</c:v>
                </c:pt>
                <c:pt idx="44">
                  <c:v>13.346464945879582</c:v>
                </c:pt>
                <c:pt idx="45">
                  <c:v>13.346464945879582</c:v>
                </c:pt>
                <c:pt idx="46">
                  <c:v>13.346464945879582</c:v>
                </c:pt>
                <c:pt idx="47">
                  <c:v>13.346464945879582</c:v>
                </c:pt>
                <c:pt idx="48">
                  <c:v>13.346464945879582</c:v>
                </c:pt>
                <c:pt idx="49">
                  <c:v>13.346464945879582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strRef>
              <c:f>Graphique!$F$1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Graphique!$F$2:$F$51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1.5625E-2</c:v>
                </c:pt>
                <c:pt idx="6">
                  <c:v>1.5625E-2</c:v>
                </c:pt>
                <c:pt idx="7">
                  <c:v>2.34375E-2</c:v>
                </c:pt>
                <c:pt idx="8">
                  <c:v>3.90625E-2</c:v>
                </c:pt>
                <c:pt idx="9">
                  <c:v>5.46875E-2</c:v>
                </c:pt>
                <c:pt idx="10">
                  <c:v>7.8125E-2</c:v>
                </c:pt>
                <c:pt idx="11">
                  <c:v>9.375E-2</c:v>
                </c:pt>
                <c:pt idx="12">
                  <c:v>0.1171875</c:v>
                </c:pt>
                <c:pt idx="13">
                  <c:v>0.1328125</c:v>
                </c:pt>
                <c:pt idx="14">
                  <c:v>0.1640625</c:v>
                </c:pt>
                <c:pt idx="15">
                  <c:v>0.1875</c:v>
                </c:pt>
                <c:pt idx="16">
                  <c:v>0.2109375</c:v>
                </c:pt>
                <c:pt idx="17">
                  <c:v>0.234375</c:v>
                </c:pt>
                <c:pt idx="18">
                  <c:v>0.265625</c:v>
                </c:pt>
                <c:pt idx="19">
                  <c:v>0.296875</c:v>
                </c:pt>
                <c:pt idx="20">
                  <c:v>0.3203125</c:v>
                </c:pt>
                <c:pt idx="21">
                  <c:v>0.3515625</c:v>
                </c:pt>
                <c:pt idx="22">
                  <c:v>0.375</c:v>
                </c:pt>
                <c:pt idx="23">
                  <c:v>0.4140625</c:v>
                </c:pt>
                <c:pt idx="24">
                  <c:v>0.4375</c:v>
                </c:pt>
                <c:pt idx="25">
                  <c:v>0.5</c:v>
                </c:pt>
                <c:pt idx="26">
                  <c:v>0.5703125</c:v>
                </c:pt>
                <c:pt idx="27">
                  <c:v>0.6484375</c:v>
                </c:pt>
                <c:pt idx="28">
                  <c:v>0.71875</c:v>
                </c:pt>
                <c:pt idx="29">
                  <c:v>0.8046875</c:v>
                </c:pt>
                <c:pt idx="30">
                  <c:v>0.8828125</c:v>
                </c:pt>
                <c:pt idx="31">
                  <c:v>0.9765625</c:v>
                </c:pt>
                <c:pt idx="32">
                  <c:v>1.046875</c:v>
                </c:pt>
                <c:pt idx="33">
                  <c:v>1.125</c:v>
                </c:pt>
                <c:pt idx="34">
                  <c:v>1.21875</c:v>
                </c:pt>
                <c:pt idx="35">
                  <c:v>1.40625</c:v>
                </c:pt>
                <c:pt idx="36">
                  <c:v>1.5859375</c:v>
                </c:pt>
                <c:pt idx="37">
                  <c:v>1.7890625</c:v>
                </c:pt>
                <c:pt idx="38">
                  <c:v>2</c:v>
                </c:pt>
                <c:pt idx="39">
                  <c:v>2.2265625</c:v>
                </c:pt>
                <c:pt idx="40">
                  <c:v>2.65625</c:v>
                </c:pt>
                <c:pt idx="41">
                  <c:v>2.6796875</c:v>
                </c:pt>
                <c:pt idx="42">
                  <c:v>2.9140625</c:v>
                </c:pt>
                <c:pt idx="43">
                  <c:v>3.15625</c:v>
                </c:pt>
                <c:pt idx="44">
                  <c:v>3.390625</c:v>
                </c:pt>
                <c:pt idx="45">
                  <c:v>3.65625</c:v>
                </c:pt>
                <c:pt idx="46">
                  <c:v>3.9375</c:v>
                </c:pt>
                <c:pt idx="47">
                  <c:v>4.21875</c:v>
                </c:pt>
                <c:pt idx="48">
                  <c:v>4.3828125</c:v>
                </c:pt>
                <c:pt idx="49">
                  <c:v>4.7109375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5"/>
          <c:order val="3"/>
          <c:tx>
            <c:strRef>
              <c:f>Graphique!$H$1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Graphique!$H$2:$H$51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1.1126620710904298</c:v>
                </c:pt>
                <c:pt idx="3">
                  <c:v>0.69684491795507952</c:v>
                </c:pt>
                <c:pt idx="4">
                  <c:v>0.30358330088893482</c:v>
                </c:pt>
                <c:pt idx="5">
                  <c:v>0.18383120982863588</c:v>
                </c:pt>
                <c:pt idx="6">
                  <c:v>0.15117328209641023</c:v>
                </c:pt>
                <c:pt idx="7">
                  <c:v>7.2903950728919753E-2</c:v>
                </c:pt>
                <c:pt idx="8">
                  <c:v>7.1296320169587091E-2</c:v>
                </c:pt>
                <c:pt idx="9">
                  <c:v>4.8679471500356897E-2</c:v>
                </c:pt>
                <c:pt idx="10">
                  <c:v>3.669969832273523E-2</c:v>
                </c:pt>
                <c:pt idx="11">
                  <c:v>3.8408639019092305E-2</c:v>
                </c:pt>
                <c:pt idx="12">
                  <c:v>3.4429538615658117E-2</c:v>
                </c:pt>
                <c:pt idx="13">
                  <c:v>2.5011052590459215E-2</c:v>
                </c:pt>
                <c:pt idx="14">
                  <c:v>2.233567291205496E-2</c:v>
                </c:pt>
                <c:pt idx="15">
                  <c:v>2.4013885252800904E-2</c:v>
                </c:pt>
                <c:pt idx="16">
                  <c:v>2.4786226581140269E-2</c:v>
                </c:pt>
                <c:pt idx="17">
                  <c:v>1.8573719749969797E-2</c:v>
                </c:pt>
                <c:pt idx="18">
                  <c:v>1.5656398466912691E-2</c:v>
                </c:pt>
                <c:pt idx="19">
                  <c:v>1.5178970610795872E-2</c:v>
                </c:pt>
                <c:pt idx="20">
                  <c:v>1.6523113139422563E-2</c:v>
                </c:pt>
                <c:pt idx="21">
                  <c:v>1.8241106683801078E-2</c:v>
                </c:pt>
                <c:pt idx="22">
                  <c:v>1.4215518767645818E-2</c:v>
                </c:pt>
                <c:pt idx="23">
                  <c:v>1.189333450026453E-2</c:v>
                </c:pt>
                <c:pt idx="24">
                  <c:v>1.0941450827372634E-2</c:v>
                </c:pt>
                <c:pt idx="25">
                  <c:v>1.2150807121154017E-2</c:v>
                </c:pt>
                <c:pt idx="26">
                  <c:v>1.1081324217251165E-2</c:v>
                </c:pt>
                <c:pt idx="27">
                  <c:v>8.4474826855824858E-3</c:v>
                </c:pt>
                <c:pt idx="28">
                  <c:v>8.548617974948769E-3</c:v>
                </c:pt>
                <c:pt idx="29">
                  <c:v>1.0570330205096568E-2</c:v>
                </c:pt>
                <c:pt idx="30">
                  <c:v>7.5250096549925871E-3</c:v>
                </c:pt>
                <c:pt idx="31">
                  <c:v>6.4297509272801534E-3</c:v>
                </c:pt>
                <c:pt idx="32">
                  <c:v>6.8508963412785562E-3</c:v>
                </c:pt>
                <c:pt idx="33">
                  <c:v>8.2900324068404529E-3</c:v>
                </c:pt>
                <c:pt idx="34">
                  <c:v>6.1332027773239872E-3</c:v>
                </c:pt>
                <c:pt idx="35">
                  <c:v>5.2990757247446396E-3</c:v>
                </c:pt>
                <c:pt idx="36">
                  <c:v>5.7241918793433655E-3</c:v>
                </c:pt>
                <c:pt idx="37">
                  <c:v>4.2120861202565862E-3</c:v>
                </c:pt>
                <c:pt idx="38">
                  <c:v>5.2581023690816409E-3</c:v>
                </c:pt>
                <c:pt idx="39">
                  <c:v>3.8576942003132331E-3</c:v>
                </c:pt>
                <c:pt idx="40">
                  <c:v>3.641442173627496E-3</c:v>
                </c:pt>
                <c:pt idx="41">
                  <c:v>4.3867888910931185E-3</c:v>
                </c:pt>
                <c:pt idx="42">
                  <c:v>3.0890604066549088E-3</c:v>
                </c:pt>
                <c:pt idx="43">
                  <c:v>3.1799137177674908E-3</c:v>
                </c:pt>
                <c:pt idx="44">
                  <c:v>3.6382949446558399E-3</c:v>
                </c:pt>
                <c:pt idx="45">
                  <c:v>2.6532620791499539E-3</c:v>
                </c:pt>
                <c:pt idx="46">
                  <c:v>2.6841652365110491E-3</c:v>
                </c:pt>
                <c:pt idx="47">
                  <c:v>3.3716001349954894E-3</c:v>
                </c:pt>
                <c:pt idx="48">
                  <c:v>2.4093623802734498E-3</c:v>
                </c:pt>
                <c:pt idx="49">
                  <c:v>2.2387995993433663E-3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4"/>
          <c:tx>
            <c:strRef>
              <c:f>Graphique!$I$1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Graphique!$I$2:$I$51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5.563310355452149</c:v>
                </c:pt>
                <c:pt idx="3">
                  <c:v>6.9684491795507952</c:v>
                </c:pt>
                <c:pt idx="4">
                  <c:v>6.0716660177786963</c:v>
                </c:pt>
                <c:pt idx="5">
                  <c:v>5.5149362948590763</c:v>
                </c:pt>
                <c:pt idx="6">
                  <c:v>7.5586641048205117</c:v>
                </c:pt>
                <c:pt idx="7">
                  <c:v>5.4677963046689815</c:v>
                </c:pt>
                <c:pt idx="8">
                  <c:v>7.1296320169587091</c:v>
                </c:pt>
                <c:pt idx="9">
                  <c:v>6.0849339375446121</c:v>
                </c:pt>
                <c:pt idx="10">
                  <c:v>5.5049547484102845</c:v>
                </c:pt>
                <c:pt idx="11">
                  <c:v>6.7215118283411535</c:v>
                </c:pt>
                <c:pt idx="12">
                  <c:v>6.8859077231316235</c:v>
                </c:pt>
                <c:pt idx="13">
                  <c:v>5.6274868328533234</c:v>
                </c:pt>
                <c:pt idx="14">
                  <c:v>5.58391822801374</c:v>
                </c:pt>
                <c:pt idx="15">
                  <c:v>6.6038184445202486</c:v>
                </c:pt>
                <c:pt idx="16">
                  <c:v>7.4358679743420808</c:v>
                </c:pt>
                <c:pt idx="17">
                  <c:v>6.036458918740184</c:v>
                </c:pt>
                <c:pt idx="18">
                  <c:v>5.4797394634194418</c:v>
                </c:pt>
                <c:pt idx="19">
                  <c:v>5.6921139790484521</c:v>
                </c:pt>
                <c:pt idx="20">
                  <c:v>6.6092452557690251</c:v>
                </c:pt>
                <c:pt idx="21">
                  <c:v>7.7524703406154583</c:v>
                </c:pt>
                <c:pt idx="22">
                  <c:v>6.3969834454406183</c:v>
                </c:pt>
                <c:pt idx="23">
                  <c:v>5.6493338876256516</c:v>
                </c:pt>
                <c:pt idx="24">
                  <c:v>5.470725413686317</c:v>
                </c:pt>
                <c:pt idx="25">
                  <c:v>6.6829439166347093</c:v>
                </c:pt>
                <c:pt idx="26">
                  <c:v>6.648794530350699</c:v>
                </c:pt>
                <c:pt idx="27">
                  <c:v>5.4908637456286158</c:v>
                </c:pt>
                <c:pt idx="28">
                  <c:v>5.9840325824641383</c:v>
                </c:pt>
                <c:pt idx="29">
                  <c:v>7.9277476538224256</c:v>
                </c:pt>
                <c:pt idx="30">
                  <c:v>6.0200077239940697</c:v>
                </c:pt>
                <c:pt idx="31">
                  <c:v>5.4652882881881304</c:v>
                </c:pt>
                <c:pt idx="32">
                  <c:v>6.1658067071507006</c:v>
                </c:pt>
                <c:pt idx="33">
                  <c:v>7.8755307864984303</c:v>
                </c:pt>
                <c:pt idx="34">
                  <c:v>6.1332027773239872</c:v>
                </c:pt>
                <c:pt idx="35">
                  <c:v>5.8289832972191036</c:v>
                </c:pt>
                <c:pt idx="36">
                  <c:v>6.8690302552120386</c:v>
                </c:pt>
                <c:pt idx="37">
                  <c:v>5.4757119563335621</c:v>
                </c:pt>
                <c:pt idx="38">
                  <c:v>7.3613433167142972</c:v>
                </c:pt>
                <c:pt idx="39">
                  <c:v>5.7865413004698496</c:v>
                </c:pt>
                <c:pt idx="40">
                  <c:v>5.8263074778039936</c:v>
                </c:pt>
                <c:pt idx="41">
                  <c:v>7.4575411148583015</c:v>
                </c:pt>
                <c:pt idx="42">
                  <c:v>5.5603087319788358</c:v>
                </c:pt>
                <c:pt idx="43">
                  <c:v>6.0418360637582325</c:v>
                </c:pt>
                <c:pt idx="44">
                  <c:v>7.2765898893116798</c:v>
                </c:pt>
                <c:pt idx="45">
                  <c:v>5.5718503662149033</c:v>
                </c:pt>
                <c:pt idx="46">
                  <c:v>5.905163520324308</c:v>
                </c:pt>
                <c:pt idx="47">
                  <c:v>7.7546803104896256</c:v>
                </c:pt>
                <c:pt idx="48">
                  <c:v>5.7824697126562796</c:v>
                </c:pt>
                <c:pt idx="49">
                  <c:v>5.5969989983584156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20</xdr:row>
          <xdr:rowOff>38100</xdr:rowOff>
        </xdr:from>
        <xdr:to>
          <xdr:col>11</xdr:col>
          <xdr:colOff>561975</xdr:colOff>
          <xdr:row>23</xdr:row>
          <xdr:rowOff>57150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110810</xdr:colOff>
      <xdr:row>2</xdr:row>
      <xdr:rowOff>69380</xdr:rowOff>
    </xdr:from>
    <xdr:to>
      <xdr:col>7</xdr:col>
      <xdr:colOff>683079</xdr:colOff>
      <xdr:row>21</xdr:row>
      <xdr:rowOff>129375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5092-6CD4-EE61-1981-6131096AC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9558" y="731989"/>
          <a:ext cx="5336425" cy="3585073"/>
        </a:xfrm>
        <a:prstGeom prst="rect">
          <a:avLst/>
        </a:prstGeom>
      </xdr:spPr>
    </xdr:pic>
    <xdr:clientData/>
  </xdr:twoCellAnchor>
  <xdr:twoCellAnchor editAs="oneCell">
    <xdr:from>
      <xdr:col>1</xdr:col>
      <xdr:colOff>8165</xdr:colOff>
      <xdr:row>21</xdr:row>
      <xdr:rowOff>105227</xdr:rowOff>
    </xdr:from>
    <xdr:to>
      <xdr:col>7</xdr:col>
      <xdr:colOff>566964</xdr:colOff>
      <xdr:row>39</xdr:row>
      <xdr:rowOff>108233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E0E0D4-A785-1F5B-AA52-3F3D1A9DF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9344" y="4405084"/>
          <a:ext cx="5158013" cy="3432006"/>
        </a:xfrm>
        <a:prstGeom prst="rect">
          <a:avLst/>
        </a:prstGeom>
      </xdr:spPr>
    </xdr:pic>
    <xdr:clientData/>
  </xdr:twoCellAnchor>
  <xdr:twoCellAnchor editAs="oneCell">
    <xdr:from>
      <xdr:col>1</xdr:col>
      <xdr:colOff>149681</xdr:colOff>
      <xdr:row>40</xdr:row>
      <xdr:rowOff>27213</xdr:rowOff>
    </xdr:from>
    <xdr:to>
      <xdr:col>7</xdr:col>
      <xdr:colOff>582119</xdr:colOff>
      <xdr:row>57</xdr:row>
      <xdr:rowOff>81642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9CCC2E9-7210-E170-CC83-F37C0ED8D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0860" y="7946570"/>
          <a:ext cx="5031652" cy="3292929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21</xdr:row>
      <xdr:rowOff>30480</xdr:rowOff>
    </xdr:from>
    <xdr:to>
      <xdr:col>17</xdr:col>
      <xdr:colOff>739140</xdr:colOff>
      <xdr:row>37</xdr:row>
      <xdr:rowOff>68580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92BA819-C814-4AC2-911D-FD772B499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739140</xdr:colOff>
      <xdr:row>39</xdr:row>
      <xdr:rowOff>15240</xdr:rowOff>
    </xdr:from>
    <xdr:to>
      <xdr:col>18</xdr:col>
      <xdr:colOff>15240</xdr:colOff>
      <xdr:row>55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EFEE19F-F795-4DAD-A56D-B495B4EE3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731520</xdr:colOff>
      <xdr:row>2</xdr:row>
      <xdr:rowOff>53340</xdr:rowOff>
    </xdr:from>
    <xdr:to>
      <xdr:col>17</xdr:col>
      <xdr:colOff>693420</xdr:colOff>
      <xdr:row>19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26451C-6D29-4BDB-BEFF-C6BAA0331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7620</xdr:colOff>
      <xdr:row>56</xdr:row>
      <xdr:rowOff>144780</xdr:rowOff>
    </xdr:from>
    <xdr:to>
      <xdr:col>18</xdr:col>
      <xdr:colOff>38100</xdr:colOff>
      <xdr:row>75</xdr:row>
      <xdr:rowOff>175260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2977715-4009-4B30-82B4-3842658EE9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17</xdr:row>
          <xdr:rowOff>142875</xdr:rowOff>
        </xdr:from>
        <xdr:to>
          <xdr:col>2</xdr:col>
          <xdr:colOff>66675</xdr:colOff>
          <xdr:row>21</xdr:row>
          <xdr:rowOff>104775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Tab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102326</xdr:colOff>
      <xdr:row>3</xdr:row>
      <xdr:rowOff>42454</xdr:rowOff>
    </xdr:from>
    <xdr:to>
      <xdr:col>17</xdr:col>
      <xdr:colOff>407126</xdr:colOff>
      <xdr:row>18</xdr:row>
      <xdr:rowOff>1088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342900</xdr:colOff>
      <xdr:row>3</xdr:row>
      <xdr:rowOff>57150</xdr:rowOff>
    </xdr:from>
    <xdr:to>
      <xdr:col>26</xdr:col>
      <xdr:colOff>38100</xdr:colOff>
      <xdr:row>18</xdr:row>
      <xdr:rowOff>15784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130629</xdr:colOff>
      <xdr:row>19</xdr:row>
      <xdr:rowOff>87086</xdr:rowOff>
    </xdr:from>
    <xdr:to>
      <xdr:col>17</xdr:col>
      <xdr:colOff>435429</xdr:colOff>
      <xdr:row>34</xdr:row>
      <xdr:rowOff>56605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337458</xdr:colOff>
      <xdr:row>18</xdr:row>
      <xdr:rowOff>141515</xdr:rowOff>
    </xdr:from>
    <xdr:to>
      <xdr:col>26</xdr:col>
      <xdr:colOff>32658</xdr:colOff>
      <xdr:row>33</xdr:row>
      <xdr:rowOff>111035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4B8A5-D4D9-4184-8D63-B581585DEDF1}">
  <sheetPr codeName="Sheet2"/>
  <dimension ref="D2:AH37"/>
  <sheetViews>
    <sheetView topLeftCell="A4" zoomScaleNormal="100" workbookViewId="0">
      <selection activeCell="T16" sqref="T16"/>
    </sheetView>
  </sheetViews>
  <sheetFormatPr baseColWidth="10" defaultColWidth="9.140625" defaultRowHeight="15" x14ac:dyDescent="0.25"/>
  <cols>
    <col min="7" max="7" width="9.7109375" customWidth="1"/>
    <col min="8" max="8" width="10.140625" customWidth="1"/>
    <col min="9" max="9" width="8.28515625" customWidth="1"/>
    <col min="10" max="10" width="7.5703125" customWidth="1"/>
    <col min="15" max="15" width="10.28515625" customWidth="1"/>
    <col min="16" max="16" width="10.140625" customWidth="1"/>
  </cols>
  <sheetData>
    <row r="2" spans="4:34" ht="14.45" customHeight="1" x14ac:dyDescent="0.25">
      <c r="G2" s="8"/>
      <c r="H2" s="8"/>
      <c r="I2" s="8"/>
      <c r="J2" s="8"/>
      <c r="K2" s="8"/>
      <c r="L2" s="8"/>
      <c r="M2" s="8"/>
      <c r="N2" s="8"/>
      <c r="O2" s="8"/>
    </row>
    <row r="3" spans="4:34" ht="14.45" customHeight="1" x14ac:dyDescent="0.25">
      <c r="D3" s="23" t="s">
        <v>56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5"/>
    </row>
    <row r="4" spans="4:34" ht="14.45" customHeight="1" x14ac:dyDescent="0.25">
      <c r="D4" s="26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8"/>
    </row>
    <row r="5" spans="4:34" ht="14.45" customHeight="1" x14ac:dyDescent="0.25">
      <c r="D5" s="26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8"/>
    </row>
    <row r="6" spans="4:34" ht="14.45" customHeight="1" x14ac:dyDescent="0.25">
      <c r="D6" s="26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8"/>
    </row>
    <row r="7" spans="4:34" ht="14.45" customHeight="1" x14ac:dyDescent="0.25">
      <c r="D7" s="29"/>
      <c r="E7" s="30"/>
      <c r="F7" s="30"/>
      <c r="G7" s="30"/>
      <c r="H7" s="30"/>
      <c r="I7" s="30"/>
      <c r="J7" s="30"/>
      <c r="K7" s="27"/>
      <c r="L7" s="27"/>
      <c r="M7" s="30"/>
      <c r="N7" s="30"/>
      <c r="O7" s="30"/>
      <c r="P7" s="30"/>
      <c r="Q7" s="30"/>
      <c r="R7" s="30"/>
      <c r="S7" s="31"/>
      <c r="AF7" t="s">
        <v>36</v>
      </c>
    </row>
    <row r="8" spans="4:34" x14ac:dyDescent="0.25">
      <c r="D8" s="53" t="s">
        <v>0</v>
      </c>
      <c r="E8" s="54"/>
      <c r="F8" s="63" t="s">
        <v>25</v>
      </c>
      <c r="G8" s="42" t="s">
        <v>27</v>
      </c>
      <c r="H8" s="43"/>
      <c r="I8" s="66">
        <v>100</v>
      </c>
      <c r="J8" s="67"/>
      <c r="K8" s="34"/>
      <c r="L8" s="35"/>
      <c r="M8" s="32">
        <v>8.4446495550694962</v>
      </c>
      <c r="N8" s="33"/>
      <c r="O8" s="18" t="s">
        <v>44</v>
      </c>
      <c r="P8" s="18"/>
      <c r="Q8" s="21" t="s">
        <v>21</v>
      </c>
      <c r="R8" s="22" t="s">
        <v>43</v>
      </c>
      <c r="S8" s="22"/>
      <c r="AF8" t="s">
        <v>17</v>
      </c>
      <c r="AG8" t="s">
        <v>37</v>
      </c>
    </row>
    <row r="9" spans="4:34" x14ac:dyDescent="0.25">
      <c r="D9" s="55"/>
      <c r="E9" s="56"/>
      <c r="F9" s="64"/>
      <c r="G9" s="44"/>
      <c r="H9" s="45"/>
      <c r="I9" s="68"/>
      <c r="J9" s="69"/>
      <c r="K9" s="36"/>
      <c r="L9" s="37"/>
      <c r="M9" s="32"/>
      <c r="N9" s="33"/>
      <c r="O9" s="18"/>
      <c r="P9" s="18"/>
      <c r="Q9" s="21"/>
      <c r="R9" s="22"/>
      <c r="S9" s="22"/>
    </row>
    <row r="10" spans="4:34" x14ac:dyDescent="0.25">
      <c r="D10" s="55"/>
      <c r="E10" s="56"/>
      <c r="F10" s="64"/>
      <c r="G10" s="42" t="s">
        <v>3</v>
      </c>
      <c r="H10" s="43"/>
      <c r="I10" s="70">
        <v>0.2</v>
      </c>
      <c r="J10" s="71"/>
      <c r="K10" s="36"/>
      <c r="L10" s="37"/>
      <c r="M10" s="32"/>
      <c r="N10" s="33"/>
      <c r="O10" s="18"/>
      <c r="P10" s="18"/>
      <c r="Q10" s="21"/>
      <c r="R10" s="22"/>
      <c r="S10" s="22"/>
      <c r="AF10" t="s">
        <v>30</v>
      </c>
    </row>
    <row r="11" spans="4:34" x14ac:dyDescent="0.25">
      <c r="D11" s="55"/>
      <c r="E11" s="56"/>
      <c r="F11" s="64"/>
      <c r="G11" s="44"/>
      <c r="H11" s="45"/>
      <c r="I11" s="72"/>
      <c r="J11" s="73"/>
      <c r="K11" s="36"/>
      <c r="L11" s="37"/>
      <c r="M11" s="40">
        <v>8.62674059316425</v>
      </c>
      <c r="N11" s="41"/>
      <c r="O11" s="15" t="s">
        <v>45</v>
      </c>
      <c r="P11" s="15"/>
      <c r="Q11" s="21"/>
      <c r="R11" s="22"/>
      <c r="S11" s="22"/>
      <c r="AF11" t="s">
        <v>18</v>
      </c>
      <c r="AG11" t="s">
        <v>38</v>
      </c>
      <c r="AH11" t="s">
        <v>39</v>
      </c>
    </row>
    <row r="12" spans="4:34" x14ac:dyDescent="0.25">
      <c r="D12" s="55"/>
      <c r="E12" s="56"/>
      <c r="F12" s="64"/>
      <c r="G12" s="42" t="s">
        <v>35</v>
      </c>
      <c r="H12" s="43"/>
      <c r="I12" s="74">
        <v>0.05</v>
      </c>
      <c r="J12" s="75"/>
      <c r="K12" s="36"/>
      <c r="L12" s="37"/>
      <c r="M12" s="40"/>
      <c r="N12" s="41"/>
      <c r="O12" s="15"/>
      <c r="P12" s="15"/>
      <c r="Q12" s="21"/>
      <c r="R12" s="22"/>
      <c r="S12" s="22"/>
    </row>
    <row r="13" spans="4:34" x14ac:dyDescent="0.25">
      <c r="D13" s="55"/>
      <c r="E13" s="56"/>
      <c r="F13" s="64"/>
      <c r="G13" s="44"/>
      <c r="H13" s="45"/>
      <c r="I13" s="76"/>
      <c r="J13" s="77"/>
      <c r="K13" s="36"/>
      <c r="L13" s="37"/>
      <c r="M13" s="40"/>
      <c r="N13" s="41"/>
      <c r="O13" s="15"/>
      <c r="P13" s="15"/>
      <c r="Q13" s="21"/>
      <c r="R13" s="22"/>
      <c r="S13" s="22"/>
      <c r="AF13" t="s">
        <v>40</v>
      </c>
    </row>
    <row r="14" spans="4:34" ht="14.45" customHeight="1" x14ac:dyDescent="0.25">
      <c r="D14" s="55"/>
      <c r="E14" s="56"/>
      <c r="F14" s="64"/>
      <c r="G14" s="42" t="s">
        <v>28</v>
      </c>
      <c r="H14" s="43"/>
      <c r="I14" s="66">
        <v>3</v>
      </c>
      <c r="J14" s="67"/>
      <c r="K14" s="36"/>
      <c r="L14" s="37"/>
      <c r="M14" s="16">
        <v>0.53125</v>
      </c>
      <c r="N14" s="17"/>
      <c r="O14" s="15" t="s">
        <v>47</v>
      </c>
      <c r="P14" s="15"/>
      <c r="Q14" s="13" t="s">
        <v>46</v>
      </c>
      <c r="R14" s="22"/>
      <c r="S14" s="22"/>
      <c r="AF14" t="s">
        <v>6</v>
      </c>
      <c r="AG14" t="s">
        <v>8</v>
      </c>
    </row>
    <row r="15" spans="4:34" x14ac:dyDescent="0.25">
      <c r="D15" s="55"/>
      <c r="E15" s="56"/>
      <c r="F15" s="64"/>
      <c r="G15" s="44"/>
      <c r="H15" s="45"/>
      <c r="I15" s="68"/>
      <c r="J15" s="69"/>
      <c r="K15" s="36"/>
      <c r="L15" s="37"/>
      <c r="M15" s="16"/>
      <c r="N15" s="17"/>
      <c r="O15" s="15"/>
      <c r="P15" s="15"/>
      <c r="Q15" s="13"/>
      <c r="R15" s="22"/>
      <c r="S15" s="22"/>
    </row>
    <row r="16" spans="4:34" x14ac:dyDescent="0.25">
      <c r="D16" s="55"/>
      <c r="E16" s="56"/>
      <c r="F16" s="64"/>
      <c r="G16" s="42" t="s">
        <v>12</v>
      </c>
      <c r="H16" s="43"/>
      <c r="I16" s="78">
        <v>45597</v>
      </c>
      <c r="J16" s="79"/>
      <c r="K16" s="36"/>
      <c r="L16" s="37"/>
      <c r="M16" s="16"/>
      <c r="N16" s="17"/>
      <c r="O16" s="15"/>
      <c r="P16" s="15"/>
      <c r="Q16" s="13"/>
      <c r="R16" s="22"/>
      <c r="S16" s="22"/>
      <c r="AF16" t="s">
        <v>57</v>
      </c>
    </row>
    <row r="17" spans="4:33" x14ac:dyDescent="0.25">
      <c r="D17" s="55"/>
      <c r="E17" s="56"/>
      <c r="F17" s="65"/>
      <c r="G17" s="44"/>
      <c r="H17" s="45"/>
      <c r="I17" s="80"/>
      <c r="J17" s="81"/>
      <c r="K17" s="36"/>
      <c r="L17" s="37"/>
      <c r="M17" s="16">
        <v>2.34375E-2</v>
      </c>
      <c r="N17" s="17"/>
      <c r="O17" s="15" t="s">
        <v>48</v>
      </c>
      <c r="P17" s="15"/>
      <c r="Q17" s="13"/>
      <c r="R17" s="22"/>
      <c r="S17" s="22"/>
      <c r="AF17" t="s">
        <v>58</v>
      </c>
      <c r="AG17" t="s">
        <v>59</v>
      </c>
    </row>
    <row r="18" spans="4:33" x14ac:dyDescent="0.25">
      <c r="D18" s="55"/>
      <c r="E18" s="56"/>
      <c r="F18" s="63" t="s">
        <v>26</v>
      </c>
      <c r="G18" s="42" t="s">
        <v>5</v>
      </c>
      <c r="H18" s="43"/>
      <c r="I18" s="46">
        <v>1</v>
      </c>
      <c r="J18" s="47"/>
      <c r="K18" s="36"/>
      <c r="L18" s="37"/>
      <c r="M18" s="16"/>
      <c r="N18" s="17"/>
      <c r="O18" s="15"/>
      <c r="P18" s="15"/>
      <c r="Q18" s="13"/>
      <c r="R18" s="22"/>
      <c r="S18" s="22"/>
    </row>
    <row r="19" spans="4:33" x14ac:dyDescent="0.25">
      <c r="D19" s="55"/>
      <c r="E19" s="56"/>
      <c r="F19" s="64"/>
      <c r="G19" s="44"/>
      <c r="H19" s="45"/>
      <c r="I19" s="48"/>
      <c r="J19" s="49"/>
      <c r="K19" s="36"/>
      <c r="L19" s="37"/>
      <c r="M19" s="16"/>
      <c r="N19" s="17"/>
      <c r="O19" s="15"/>
      <c r="P19" s="15"/>
      <c r="Q19" s="13"/>
      <c r="R19" s="22"/>
      <c r="S19" s="22"/>
    </row>
    <row r="20" spans="4:33" x14ac:dyDescent="0.25">
      <c r="D20" s="55"/>
      <c r="E20" s="56"/>
      <c r="F20" s="64"/>
      <c r="G20" s="42" t="s">
        <v>29</v>
      </c>
      <c r="H20" s="43"/>
      <c r="I20" s="82">
        <v>100</v>
      </c>
      <c r="J20" s="83"/>
      <c r="K20" s="36"/>
      <c r="L20" s="37"/>
      <c r="M20" s="19">
        <f>M17+M14</f>
        <v>0.5546875</v>
      </c>
      <c r="N20" s="20"/>
      <c r="O20" s="18" t="s">
        <v>49</v>
      </c>
      <c r="P20" s="18"/>
      <c r="Q20" s="13"/>
      <c r="R20" s="22"/>
      <c r="S20" s="22"/>
    </row>
    <row r="21" spans="4:33" x14ac:dyDescent="0.25">
      <c r="D21" s="55"/>
      <c r="E21" s="56"/>
      <c r="F21" s="64"/>
      <c r="G21" s="44"/>
      <c r="H21" s="45"/>
      <c r="I21" s="84"/>
      <c r="J21" s="85"/>
      <c r="K21" s="36"/>
      <c r="L21" s="37"/>
      <c r="M21" s="19"/>
      <c r="N21" s="20"/>
      <c r="O21" s="18"/>
      <c r="P21" s="18"/>
      <c r="Q21" s="13"/>
      <c r="R21" s="22"/>
      <c r="S21" s="22"/>
    </row>
    <row r="22" spans="4:33" x14ac:dyDescent="0.25">
      <c r="D22" s="55"/>
      <c r="E22" s="56"/>
      <c r="F22" s="64"/>
      <c r="G22" s="42" t="s">
        <v>13</v>
      </c>
      <c r="H22" s="43"/>
      <c r="I22" s="78">
        <v>45566</v>
      </c>
      <c r="J22" s="79"/>
      <c r="K22" s="36"/>
      <c r="L22" s="37"/>
      <c r="M22" s="19"/>
      <c r="N22" s="20"/>
      <c r="O22" s="18"/>
      <c r="P22" s="18"/>
      <c r="Q22" s="13"/>
      <c r="R22" s="22"/>
      <c r="S22" s="22"/>
    </row>
    <row r="23" spans="4:33" x14ac:dyDescent="0.25">
      <c r="D23" s="55"/>
      <c r="E23" s="56"/>
      <c r="F23" s="64"/>
      <c r="G23" s="44"/>
      <c r="H23" s="45"/>
      <c r="I23" s="80"/>
      <c r="J23" s="81"/>
      <c r="K23" s="36"/>
      <c r="L23" s="37"/>
      <c r="M23" s="11" t="s">
        <v>60</v>
      </c>
      <c r="N23" s="12"/>
      <c r="O23" s="15" t="s">
        <v>51</v>
      </c>
      <c r="P23" s="15"/>
      <c r="Q23" s="14" t="s">
        <v>50</v>
      </c>
      <c r="R23" s="22"/>
      <c r="S23" s="22"/>
    </row>
    <row r="24" spans="4:33" x14ac:dyDescent="0.25">
      <c r="D24" s="55"/>
      <c r="E24" s="56"/>
      <c r="F24" s="64"/>
      <c r="G24" s="42" t="s">
        <v>1</v>
      </c>
      <c r="H24" s="43"/>
      <c r="I24" s="46" t="s">
        <v>17</v>
      </c>
      <c r="J24" s="47"/>
      <c r="K24" s="36"/>
      <c r="L24" s="37"/>
      <c r="M24" s="11"/>
      <c r="N24" s="12"/>
      <c r="O24" s="15"/>
      <c r="P24" s="15"/>
      <c r="Q24" s="14"/>
      <c r="R24" s="22"/>
      <c r="S24" s="22"/>
    </row>
    <row r="25" spans="4:33" x14ac:dyDescent="0.25">
      <c r="D25" s="55"/>
      <c r="E25" s="56"/>
      <c r="F25" s="64"/>
      <c r="G25" s="44"/>
      <c r="H25" s="45"/>
      <c r="I25" s="48"/>
      <c r="J25" s="49"/>
      <c r="K25" s="36"/>
      <c r="L25" s="37"/>
      <c r="M25" s="11"/>
      <c r="N25" s="12"/>
      <c r="O25" s="15"/>
      <c r="P25" s="15"/>
      <c r="Q25" s="14"/>
      <c r="R25" s="22"/>
      <c r="S25" s="22"/>
    </row>
    <row r="26" spans="4:33" x14ac:dyDescent="0.25">
      <c r="D26" s="55"/>
      <c r="E26" s="56"/>
      <c r="F26" s="64"/>
      <c r="G26" s="42" t="s">
        <v>30</v>
      </c>
      <c r="H26" s="43"/>
      <c r="I26" s="46" t="s">
        <v>18</v>
      </c>
      <c r="J26" s="47"/>
      <c r="K26" s="36"/>
      <c r="L26" s="37"/>
      <c r="M26" s="11" t="s">
        <v>60</v>
      </c>
      <c r="N26" s="12"/>
      <c r="O26" s="15" t="s">
        <v>52</v>
      </c>
      <c r="P26" s="15"/>
      <c r="Q26" s="14"/>
      <c r="R26" s="22"/>
      <c r="S26" s="22"/>
    </row>
    <row r="27" spans="4:33" x14ac:dyDescent="0.25">
      <c r="D27" s="55"/>
      <c r="E27" s="56"/>
      <c r="F27" s="65"/>
      <c r="G27" s="44"/>
      <c r="H27" s="45"/>
      <c r="I27" s="48"/>
      <c r="J27" s="49"/>
      <c r="K27" s="36"/>
      <c r="L27" s="37"/>
      <c r="M27" s="11"/>
      <c r="N27" s="12"/>
      <c r="O27" s="15"/>
      <c r="P27" s="15"/>
      <c r="Q27" s="14"/>
      <c r="R27" s="22"/>
      <c r="S27" s="22"/>
    </row>
    <row r="28" spans="4:33" x14ac:dyDescent="0.25">
      <c r="D28" s="55"/>
      <c r="E28" s="56"/>
      <c r="F28" s="50" t="s">
        <v>34</v>
      </c>
      <c r="G28" s="42" t="s">
        <v>31</v>
      </c>
      <c r="H28" s="43"/>
      <c r="I28" s="46" t="s">
        <v>6</v>
      </c>
      <c r="J28" s="47"/>
      <c r="K28" s="36"/>
      <c r="L28" s="37"/>
      <c r="M28" s="11"/>
      <c r="N28" s="12"/>
      <c r="O28" s="15"/>
      <c r="P28" s="15"/>
      <c r="Q28" s="14"/>
      <c r="R28" s="22"/>
      <c r="S28" s="22"/>
    </row>
    <row r="29" spans="4:33" x14ac:dyDescent="0.25">
      <c r="D29" s="55"/>
      <c r="E29" s="56"/>
      <c r="F29" s="51"/>
      <c r="G29" s="44"/>
      <c r="H29" s="45"/>
      <c r="I29" s="48"/>
      <c r="J29" s="49"/>
      <c r="K29" s="36"/>
      <c r="L29" s="37"/>
      <c r="M29" s="11" t="s">
        <v>60</v>
      </c>
      <c r="N29" s="12"/>
      <c r="O29" s="15" t="s">
        <v>53</v>
      </c>
      <c r="P29" s="15"/>
      <c r="Q29" s="14"/>
      <c r="R29" s="22"/>
      <c r="S29" s="22"/>
    </row>
    <row r="30" spans="4:33" x14ac:dyDescent="0.25">
      <c r="D30" s="55"/>
      <c r="E30" s="56"/>
      <c r="F30" s="51"/>
      <c r="G30" s="42" t="s">
        <v>32</v>
      </c>
      <c r="H30" s="43"/>
      <c r="I30" s="46">
        <v>30</v>
      </c>
      <c r="J30" s="47"/>
      <c r="K30" s="36"/>
      <c r="L30" s="37"/>
      <c r="M30" s="11"/>
      <c r="N30" s="12"/>
      <c r="O30" s="15"/>
      <c r="P30" s="15"/>
      <c r="Q30" s="14"/>
      <c r="R30" s="22"/>
      <c r="S30" s="22"/>
    </row>
    <row r="31" spans="4:33" x14ac:dyDescent="0.25">
      <c r="D31" s="55"/>
      <c r="E31" s="56"/>
      <c r="F31" s="51"/>
      <c r="G31" s="44"/>
      <c r="H31" s="45"/>
      <c r="I31" s="48"/>
      <c r="J31" s="49"/>
      <c r="K31" s="36"/>
      <c r="L31" s="37"/>
      <c r="M31" s="11"/>
      <c r="N31" s="12"/>
      <c r="O31" s="15"/>
      <c r="P31" s="15"/>
      <c r="Q31" s="14"/>
      <c r="R31" s="22"/>
      <c r="S31" s="22"/>
    </row>
    <row r="32" spans="4:33" x14ac:dyDescent="0.25">
      <c r="D32" s="55"/>
      <c r="E32" s="56"/>
      <c r="F32" s="51"/>
      <c r="G32" s="42" t="s">
        <v>33</v>
      </c>
      <c r="H32" s="43"/>
      <c r="I32" s="59">
        <v>1E-8</v>
      </c>
      <c r="J32" s="60"/>
      <c r="K32" s="36"/>
      <c r="L32" s="37"/>
      <c r="M32" s="11" t="s">
        <v>60</v>
      </c>
      <c r="N32" s="12"/>
      <c r="O32" s="15" t="s">
        <v>54</v>
      </c>
      <c r="P32" s="15"/>
      <c r="Q32" s="14"/>
      <c r="R32" s="22"/>
      <c r="S32" s="22"/>
    </row>
    <row r="33" spans="4:19" x14ac:dyDescent="0.25">
      <c r="D33" s="55"/>
      <c r="E33" s="56"/>
      <c r="F33" s="51"/>
      <c r="G33" s="44"/>
      <c r="H33" s="45"/>
      <c r="I33" s="61"/>
      <c r="J33" s="62"/>
      <c r="K33" s="36"/>
      <c r="L33" s="37"/>
      <c r="M33" s="11"/>
      <c r="N33" s="12"/>
      <c r="O33" s="15"/>
      <c r="P33" s="15"/>
      <c r="Q33" s="14"/>
      <c r="R33" s="22"/>
      <c r="S33" s="22"/>
    </row>
    <row r="34" spans="4:19" x14ac:dyDescent="0.25">
      <c r="D34" s="55"/>
      <c r="E34" s="56"/>
      <c r="F34" s="51"/>
      <c r="G34" s="42" t="s">
        <v>41</v>
      </c>
      <c r="H34" s="43"/>
      <c r="I34" s="46" t="s">
        <v>59</v>
      </c>
      <c r="J34" s="47"/>
      <c r="K34" s="36"/>
      <c r="L34" s="37"/>
      <c r="M34" s="11"/>
      <c r="N34" s="12"/>
      <c r="O34" s="15"/>
      <c r="P34" s="15"/>
      <c r="Q34" s="14"/>
      <c r="R34" s="22"/>
      <c r="S34" s="22"/>
    </row>
    <row r="35" spans="4:19" x14ac:dyDescent="0.25">
      <c r="D35" s="55"/>
      <c r="E35" s="56"/>
      <c r="F35" s="51"/>
      <c r="G35" s="44"/>
      <c r="H35" s="45"/>
      <c r="I35" s="48"/>
      <c r="J35" s="49"/>
      <c r="K35" s="36"/>
      <c r="L35" s="37"/>
      <c r="M35" s="11" t="s">
        <v>60</v>
      </c>
      <c r="N35" s="12"/>
      <c r="O35" s="15" t="s">
        <v>55</v>
      </c>
      <c r="P35" s="15"/>
      <c r="Q35" s="14"/>
      <c r="R35" s="22"/>
      <c r="S35" s="22"/>
    </row>
    <row r="36" spans="4:19" x14ac:dyDescent="0.25">
      <c r="D36" s="55"/>
      <c r="E36" s="56"/>
      <c r="F36" s="51"/>
      <c r="G36" s="42" t="s">
        <v>42</v>
      </c>
      <c r="H36" s="43"/>
      <c r="I36" s="46" t="s">
        <v>58</v>
      </c>
      <c r="J36" s="47"/>
      <c r="K36" s="36"/>
      <c r="L36" s="37"/>
      <c r="M36" s="11"/>
      <c r="N36" s="12"/>
      <c r="O36" s="15"/>
      <c r="P36" s="15"/>
      <c r="Q36" s="14"/>
      <c r="R36" s="22"/>
      <c r="S36" s="22"/>
    </row>
    <row r="37" spans="4:19" x14ac:dyDescent="0.25">
      <c r="D37" s="57"/>
      <c r="E37" s="58"/>
      <c r="F37" s="52"/>
      <c r="G37" s="44"/>
      <c r="H37" s="45"/>
      <c r="I37" s="48"/>
      <c r="J37" s="49"/>
      <c r="K37" s="38"/>
      <c r="L37" s="39"/>
      <c r="M37" s="11"/>
      <c r="N37" s="12"/>
      <c r="O37" s="15"/>
      <c r="P37" s="15"/>
      <c r="Q37" s="14"/>
      <c r="R37" s="22"/>
      <c r="S37" s="22"/>
    </row>
  </sheetData>
  <mergeCells count="60">
    <mergeCell ref="F8:F17"/>
    <mergeCell ref="G8:H9"/>
    <mergeCell ref="F18:F27"/>
    <mergeCell ref="G22:H23"/>
    <mergeCell ref="I8:J9"/>
    <mergeCell ref="I10:J11"/>
    <mergeCell ref="I12:J13"/>
    <mergeCell ref="I14:J15"/>
    <mergeCell ref="I16:J17"/>
    <mergeCell ref="I18:J19"/>
    <mergeCell ref="I20:J21"/>
    <mergeCell ref="I22:J23"/>
    <mergeCell ref="G10:H11"/>
    <mergeCell ref="G12:H13"/>
    <mergeCell ref="G14:H15"/>
    <mergeCell ref="G16:H17"/>
    <mergeCell ref="G18:H19"/>
    <mergeCell ref="G20:H21"/>
    <mergeCell ref="G32:H33"/>
    <mergeCell ref="I28:J29"/>
    <mergeCell ref="I30:J31"/>
    <mergeCell ref="I32:J33"/>
    <mergeCell ref="G24:H25"/>
    <mergeCell ref="I24:J25"/>
    <mergeCell ref="I26:J27"/>
    <mergeCell ref="G26:H27"/>
    <mergeCell ref="Q8:Q13"/>
    <mergeCell ref="R8:S37"/>
    <mergeCell ref="D3:S7"/>
    <mergeCell ref="M8:N10"/>
    <mergeCell ref="O8:P10"/>
    <mergeCell ref="O11:P13"/>
    <mergeCell ref="K8:L37"/>
    <mergeCell ref="M11:N13"/>
    <mergeCell ref="G34:H35"/>
    <mergeCell ref="G36:H37"/>
    <mergeCell ref="I34:J35"/>
    <mergeCell ref="I36:J37"/>
    <mergeCell ref="F28:F37"/>
    <mergeCell ref="D8:E37"/>
    <mergeCell ref="G28:H29"/>
    <mergeCell ref="G30:H31"/>
    <mergeCell ref="M14:N16"/>
    <mergeCell ref="O17:P19"/>
    <mergeCell ref="M17:N19"/>
    <mergeCell ref="O20:P22"/>
    <mergeCell ref="M20:N22"/>
    <mergeCell ref="Q14:Q22"/>
    <mergeCell ref="Q23:Q37"/>
    <mergeCell ref="O23:P25"/>
    <mergeCell ref="O26:P28"/>
    <mergeCell ref="O29:P31"/>
    <mergeCell ref="O32:P34"/>
    <mergeCell ref="O35:P37"/>
    <mergeCell ref="O14:P16"/>
    <mergeCell ref="M23:N25"/>
    <mergeCell ref="M26:N28"/>
    <mergeCell ref="M29:N31"/>
    <mergeCell ref="M32:N34"/>
    <mergeCell ref="M35:N37"/>
  </mergeCells>
  <dataValidations count="4">
    <dataValidation type="list" allowBlank="1" showInputMessage="1" showErrorMessage="1" sqref="I24:J25" xr:uid="{99AB89D4-5C41-44E8-8EAB-CCB52545841F}">
      <formula1>$AF$8:$AG$8</formula1>
    </dataValidation>
    <dataValidation type="list" allowBlank="1" showInputMessage="1" showErrorMessage="1" sqref="I26:J27" xr:uid="{3F2E4ECB-7341-4B2A-9CE1-B257D7E2127B}">
      <formula1>$AF$11:$AH$11</formula1>
    </dataValidation>
    <dataValidation type="list" allowBlank="1" showInputMessage="1" showErrorMessage="1" sqref="I28:J29" xr:uid="{5FC007EF-71ED-4FD6-8C65-F79C86223C0E}">
      <formula1>$AF$14:$AG$14</formula1>
    </dataValidation>
    <dataValidation type="list" allowBlank="1" showInputMessage="1" showErrorMessage="1" sqref="I34:J37" xr:uid="{0D849D9A-C3A9-4519-8229-81EB80FCB053}">
      <formula1>$AF$17:$AG$17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8">
              <controlPr defaultSize="0" print="0" autoFill="0" autoPict="0" macro="[0]!Main.PriceTree">
                <anchor moveWithCells="1" sizeWithCells="1">
                  <from>
                    <xdr:col>10</xdr:col>
                    <xdr:colOff>57150</xdr:colOff>
                    <xdr:row>20</xdr:row>
                    <xdr:rowOff>38100</xdr:rowOff>
                  </from>
                  <to>
                    <xdr:col>11</xdr:col>
                    <xdr:colOff>561975</xdr:colOff>
                    <xdr:row>23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/>
  <dimension ref="A1:AD40"/>
  <sheetViews>
    <sheetView zoomScale="85" zoomScaleNormal="85" workbookViewId="0">
      <selection activeCell="G51" sqref="G51"/>
    </sheetView>
  </sheetViews>
  <sheetFormatPr baseColWidth="10" defaultColWidth="9.140625" defaultRowHeight="15" x14ac:dyDescent="0.25"/>
  <cols>
    <col min="1" max="16384" width="9.140625" style="97"/>
  </cols>
  <sheetData>
    <row r="1" spans="1:30" x14ac:dyDescent="0.25">
      <c r="A1" s="96" t="s">
        <v>61</v>
      </c>
      <c r="B1" s="96"/>
      <c r="C1" s="96"/>
    </row>
    <row r="2" spans="1:30" x14ac:dyDescent="0.25">
      <c r="A2" s="96"/>
      <c r="B2" s="96"/>
      <c r="C2" s="96"/>
    </row>
    <row r="3" spans="1:30" x14ac:dyDescent="0.25">
      <c r="A3" s="96"/>
      <c r="B3" s="96"/>
      <c r="C3" s="96"/>
    </row>
    <row r="4" spans="1:30" x14ac:dyDescent="0.25">
      <c r="AD4" s="97">
        <v>217.82972126033997</v>
      </c>
    </row>
    <row r="5" spans="1:30" x14ac:dyDescent="0.25">
      <c r="AA5" s="97">
        <v>197.36159341007229</v>
      </c>
      <c r="AB5" s="97">
        <v>197.69080366476192</v>
      </c>
      <c r="AC5" s="97">
        <v>198.02056306069994</v>
      </c>
      <c r="AD5" s="97">
        <v>198.35087251388489</v>
      </c>
    </row>
    <row r="6" spans="1:30" x14ac:dyDescent="0.25">
      <c r="X6" s="97">
        <v>178.27414021573807</v>
      </c>
      <c r="Y6" s="97">
        <v>178.57151152335135</v>
      </c>
      <c r="Z6" s="97">
        <v>178.86937886305591</v>
      </c>
      <c r="AA6" s="97">
        <v>179.16774306226122</v>
      </c>
      <c r="AB6" s="97">
        <v>179.46660494975694</v>
      </c>
      <c r="AC6" s="97">
        <v>179.76596535571508</v>
      </c>
      <c r="AD6" s="97">
        <v>180.06582511169262</v>
      </c>
    </row>
    <row r="7" spans="1:30" x14ac:dyDescent="0.25">
      <c r="U7" s="97">
        <v>160.47612838330309</v>
      </c>
      <c r="V7" s="97">
        <v>160.74381160466268</v>
      </c>
      <c r="W7" s="97">
        <v>161.01194133671342</v>
      </c>
      <c r="X7" s="97">
        <v>161.28051832426027</v>
      </c>
      <c r="Y7" s="97">
        <v>161.54954331335063</v>
      </c>
      <c r="Z7" s="97">
        <v>161.81901705127632</v>
      </c>
      <c r="AA7" s="97">
        <v>162.08894028657562</v>
      </c>
      <c r="AB7" s="97">
        <v>162.35931376903548</v>
      </c>
      <c r="AC7" s="97">
        <v>162.63013824969357</v>
      </c>
      <c r="AD7" s="97">
        <v>162.90141448084029</v>
      </c>
    </row>
    <row r="8" spans="1:30" x14ac:dyDescent="0.25">
      <c r="S8" s="97">
        <v>144.12234779038656</v>
      </c>
      <c r="T8" s="97">
        <v>144.36275198454987</v>
      </c>
      <c r="U8" s="97">
        <v>144.60355718645042</v>
      </c>
      <c r="V8" s="97">
        <v>144.84476406499169</v>
      </c>
      <c r="W8" s="97">
        <v>145.08637329019294</v>
      </c>
      <c r="X8" s="97">
        <v>145.3283855331911</v>
      </c>
      <c r="Y8" s="97">
        <v>145.5708014662425</v>
      </c>
      <c r="Z8" s="97">
        <v>145.81362176272489</v>
      </c>
      <c r="AA8" s="97">
        <v>146.0568470971393</v>
      </c>
      <c r="AB8" s="97">
        <v>146.30047814511173</v>
      </c>
      <c r="AC8" s="97">
        <v>146.54451558339537</v>
      </c>
      <c r="AD8" s="97">
        <v>146.78896008987201</v>
      </c>
    </row>
    <row r="9" spans="1:30" x14ac:dyDescent="0.25">
      <c r="P9" s="97">
        <v>128.62739556626383</v>
      </c>
      <c r="Q9" s="97">
        <v>128.84195330732567</v>
      </c>
      <c r="R9" s="97">
        <v>129.05686894278512</v>
      </c>
      <c r="S9" s="97">
        <v>129.27214306963018</v>
      </c>
      <c r="T9" s="97">
        <v>129.4877762858446</v>
      </c>
      <c r="U9" s="97">
        <v>129.70376919040979</v>
      </c>
      <c r="V9" s="97">
        <v>129.92012238330614</v>
      </c>
      <c r="W9" s="97">
        <v>130.13683646551485</v>
      </c>
      <c r="X9" s="97">
        <v>130.35391203901966</v>
      </c>
      <c r="Y9" s="97">
        <v>130.57134970680838</v>
      </c>
      <c r="Z9" s="97">
        <v>130.78915007287472</v>
      </c>
      <c r="AA9" s="97">
        <v>131.00731374221982</v>
      </c>
      <c r="AB9" s="97">
        <v>131.22584132085396</v>
      </c>
      <c r="AC9" s="97">
        <v>131.44473341579837</v>
      </c>
      <c r="AD9" s="97">
        <v>131.66399063508675</v>
      </c>
    </row>
    <row r="10" spans="1:30" x14ac:dyDescent="0.25">
      <c r="N10" s="97">
        <v>114.37495669486761</v>
      </c>
      <c r="O10" s="97">
        <v>114.56574056508796</v>
      </c>
      <c r="P10" s="97">
        <v>114.75684265289377</v>
      </c>
      <c r="Q10" s="97">
        <v>114.94826352603985</v>
      </c>
      <c r="R10" s="97">
        <v>115.14000370384701</v>
      </c>
      <c r="S10" s="97">
        <v>115.33206371557151</v>
      </c>
      <c r="T10" s="97">
        <v>115.52444409421386</v>
      </c>
      <c r="U10" s="97">
        <v>115.71714537416405</v>
      </c>
      <c r="V10" s="97">
        <v>115.91016809070355</v>
      </c>
      <c r="W10" s="97">
        <v>116.10351278000677</v>
      </c>
      <c r="X10" s="97">
        <v>116.29717997914236</v>
      </c>
      <c r="Y10" s="97">
        <v>116.4911702260749</v>
      </c>
      <c r="Z10" s="97">
        <v>116.68548405966631</v>
      </c>
      <c r="AA10" s="97">
        <v>116.88012201967734</v>
      </c>
      <c r="AB10" s="97">
        <v>117.07508464676914</v>
      </c>
      <c r="AC10" s="97">
        <v>117.2703724825047</v>
      </c>
      <c r="AD10" s="97">
        <v>117.46598606935032</v>
      </c>
    </row>
    <row r="11" spans="1:30" x14ac:dyDescent="0.25">
      <c r="L11" s="97">
        <v>101.06039161084799</v>
      </c>
      <c r="M11" s="97">
        <v>101.22896603653228</v>
      </c>
      <c r="N11" s="97">
        <v>101.39781975579669</v>
      </c>
      <c r="O11" s="97">
        <v>101.56695617494212</v>
      </c>
      <c r="P11" s="97">
        <v>101.73637524861145</v>
      </c>
      <c r="Q11" s="97">
        <v>101.90607714968735</v>
      </c>
      <c r="R11" s="97">
        <v>102.07606220301638</v>
      </c>
      <c r="S11" s="97">
        <v>102.24633082154354</v>
      </c>
      <c r="T11" s="97">
        <v>102.41688346063225</v>
      </c>
      <c r="U11" s="97">
        <v>102.58772059112974</v>
      </c>
      <c r="V11" s="97">
        <v>102.75884268758372</v>
      </c>
      <c r="W11" s="97">
        <v>102.93025022533349</v>
      </c>
      <c r="X11" s="97">
        <v>103.10194368051114</v>
      </c>
      <c r="Y11" s="97">
        <v>103.27392353004313</v>
      </c>
      <c r="Z11" s="97">
        <v>103.44619025165132</v>
      </c>
      <c r="AA11" s="97">
        <v>103.61874432385451</v>
      </c>
      <c r="AB11" s="97">
        <v>103.79158622596967</v>
      </c>
      <c r="AC11" s="97">
        <v>103.96471643811327</v>
      </c>
      <c r="AD11" s="97">
        <v>104.13813544120276</v>
      </c>
    </row>
    <row r="12" spans="1:30" x14ac:dyDescent="0.25">
      <c r="K12" s="97">
        <v>88.771137533496855</v>
      </c>
      <c r="L12" s="97">
        <v>88.919172504810589</v>
      </c>
      <c r="M12" s="97">
        <v>89.067469432215461</v>
      </c>
      <c r="N12" s="97">
        <v>89.216024404241139</v>
      </c>
      <c r="O12" s="97">
        <v>89.364834020388457</v>
      </c>
      <c r="P12" s="97">
        <v>89.513895913009264</v>
      </c>
      <c r="Q12" s="97">
        <v>89.663208614984683</v>
      </c>
      <c r="R12" s="97">
        <v>89.812771386733885</v>
      </c>
      <c r="S12" s="97">
        <v>89.962584022948278</v>
      </c>
      <c r="T12" s="97">
        <v>90.11264666348751</v>
      </c>
      <c r="U12" s="97">
        <v>90.26295963394071</v>
      </c>
      <c r="V12" s="97">
        <v>90.413523334895345</v>
      </c>
      <c r="W12" s="97">
        <v>90.564338184584059</v>
      </c>
      <c r="X12" s="97">
        <v>90.715404601937081</v>
      </c>
      <c r="Y12" s="97">
        <v>90.866723006583442</v>
      </c>
      <c r="Z12" s="97">
        <v>91.018293818852129</v>
      </c>
      <c r="AA12" s="97">
        <v>91.170117459773266</v>
      </c>
      <c r="AB12" s="97">
        <v>91.322194351079332</v>
      </c>
      <c r="AC12" s="97">
        <v>91.474524915206189</v>
      </c>
      <c r="AD12" s="97">
        <v>91.627109575294412</v>
      </c>
    </row>
    <row r="13" spans="1:30" x14ac:dyDescent="0.25">
      <c r="J13" s="97">
        <v>77.264788489542383</v>
      </c>
      <c r="K13" s="97">
        <v>77.393390591078983</v>
      </c>
      <c r="L13" s="97">
        <v>77.522287238274984</v>
      </c>
      <c r="M13" s="97">
        <v>77.651462054826212</v>
      </c>
      <c r="N13" s="97">
        <v>77.780900251953838</v>
      </c>
      <c r="O13" s="97">
        <v>77.910589030704259</v>
      </c>
      <c r="P13" s="97">
        <v>78.040517805282605</v>
      </c>
      <c r="Q13" s="97">
        <v>78.170678310259916</v>
      </c>
      <c r="R13" s="97">
        <v>78.301064562582937</v>
      </c>
      <c r="S13" s="97">
        <v>78.431672663042278</v>
      </c>
      <c r="T13" s="97">
        <v>78.562500446461328</v>
      </c>
      <c r="U13" s="97">
        <v>78.693547023562317</v>
      </c>
      <c r="V13" s="97">
        <v>78.824812292606993</v>
      </c>
      <c r="W13" s="97">
        <v>78.956296519514282</v>
      </c>
      <c r="X13" s="97">
        <v>79.088000069518188</v>
      </c>
      <c r="Y13" s="97">
        <v>79.219923308462043</v>
      </c>
      <c r="Z13" s="97">
        <v>79.352066602799368</v>
      </c>
      <c r="AA13" s="97">
        <v>79.484430319594935</v>
      </c>
      <c r="AB13" s="97">
        <v>79.617014826525846</v>
      </c>
      <c r="AC13" s="97">
        <v>79.74982049188246</v>
      </c>
      <c r="AD13" s="97">
        <v>79.882847684569498</v>
      </c>
    </row>
    <row r="14" spans="1:30" x14ac:dyDescent="0.25">
      <c r="I14" s="97">
        <v>66.494959811446449</v>
      </c>
      <c r="J14" s="97">
        <v>66.604539848927615</v>
      </c>
      <c r="K14" s="97">
        <v>66.714579790095371</v>
      </c>
      <c r="L14" s="97">
        <v>66.825045733703334</v>
      </c>
      <c r="M14" s="97">
        <v>66.935903137999375</v>
      </c>
      <c r="N14" s="97">
        <v>67.047117614520459</v>
      </c>
      <c r="O14" s="97">
        <v>67.158655829193179</v>
      </c>
      <c r="P14" s="97">
        <v>67.270486489864666</v>
      </c>
      <c r="Q14" s="97">
        <v>67.38258135570787</v>
      </c>
      <c r="R14" s="97">
        <v>67.494916171203798</v>
      </c>
      <c r="S14" s="97">
        <v>67.607471395719713</v>
      </c>
      <c r="T14" s="97">
        <v>67.720232580481834</v>
      </c>
      <c r="U14" s="97">
        <v>67.833190256471525</v>
      </c>
      <c r="V14" s="97">
        <v>67.946339262874446</v>
      </c>
      <c r="W14" s="97">
        <v>68.059677584011112</v>
      </c>
      <c r="X14" s="97">
        <v>68.173204959851503</v>
      </c>
      <c r="Y14" s="97">
        <v>68.286921705749521</v>
      </c>
      <c r="Z14" s="97">
        <v>68.400828137585052</v>
      </c>
      <c r="AA14" s="97">
        <v>68.514924571764965</v>
      </c>
      <c r="AB14" s="97">
        <v>68.629211325223849</v>
      </c>
      <c r="AC14" s="97">
        <v>68.743688715424994</v>
      </c>
      <c r="AD14" s="97">
        <v>68.858357060361215</v>
      </c>
    </row>
    <row r="15" spans="1:30" x14ac:dyDescent="0.25">
      <c r="H15" s="97">
        <v>56.425808107993213</v>
      </c>
      <c r="I15" s="97">
        <v>56.515190620929999</v>
      </c>
      <c r="J15" s="97">
        <v>56.605401826529437</v>
      </c>
      <c r="K15" s="97">
        <v>56.696406008011522</v>
      </c>
      <c r="L15" s="97">
        <v>56.78816116107572</v>
      </c>
      <c r="M15" s="97">
        <v>56.880619087069185</v>
      </c>
      <c r="N15" s="97">
        <v>56.973725772797792</v>
      </c>
      <c r="O15" s="97">
        <v>57.067422143659805</v>
      </c>
      <c r="P15" s="97">
        <v>57.161645274754321</v>
      </c>
      <c r="Q15" s="97">
        <v>57.256330129587113</v>
      </c>
      <c r="R15" s="97">
        <v>57.351411854769914</v>
      </c>
      <c r="S15" s="97">
        <v>57.44682857833206</v>
      </c>
      <c r="T15" s="97">
        <v>57.542524526128886</v>
      </c>
      <c r="U15" s="97">
        <v>57.638453081806048</v>
      </c>
      <c r="V15" s="97">
        <v>57.734579194933112</v>
      </c>
      <c r="W15" s="97">
        <v>57.830880371570061</v>
      </c>
      <c r="X15" s="97">
        <v>57.927345537497722</v>
      </c>
      <c r="Y15" s="97">
        <v>58.023971612755787</v>
      </c>
      <c r="Z15" s="97">
        <v>58.120758865750076</v>
      </c>
      <c r="AA15" s="97">
        <v>58.217707565334145</v>
      </c>
      <c r="AB15" s="97">
        <v>58.314817980809991</v>
      </c>
      <c r="AC15" s="97">
        <v>58.412090381928849</v>
      </c>
      <c r="AD15" s="97">
        <v>58.509525038891866</v>
      </c>
    </row>
    <row r="16" spans="1:30" x14ac:dyDescent="0.25">
      <c r="G16" s="97">
        <v>47.04241636680716</v>
      </c>
      <c r="H16" s="97">
        <v>47.107851397017669</v>
      </c>
      <c r="I16" s="97">
        <v>47.174605118926877</v>
      </c>
      <c r="J16" s="97">
        <v>47.242683235075269</v>
      </c>
      <c r="K16" s="97">
        <v>47.312082687791118</v>
      </c>
      <c r="L16" s="97">
        <v>47.382790076837281</v>
      </c>
      <c r="M16" s="97">
        <v>47.45477999147932</v>
      </c>
      <c r="N16" s="97">
        <v>47.528013335989201</v>
      </c>
      <c r="O16" s="97">
        <v>47.602435776991648</v>
      </c>
      <c r="P16" s="97">
        <v>47.677976508995201</v>
      </c>
      <c r="Q16" s="97">
        <v>47.754547621890573</v>
      </c>
      <c r="R16" s="97">
        <v>47.832044457178981</v>
      </c>
      <c r="S16" s="97">
        <v>47.910347442381862</v>
      </c>
      <c r="T16" s="97">
        <v>47.989325956654781</v>
      </c>
      <c r="U16" s="97">
        <v>48.068844726813857</v>
      </c>
      <c r="V16" s="97">
        <v>48.14877294596068</v>
      </c>
      <c r="W16" s="97">
        <v>48.228995551067356</v>
      </c>
      <c r="X16" s="97">
        <v>48.309424701799877</v>
      </c>
      <c r="Y16" s="97">
        <v>48.390007543350727</v>
      </c>
      <c r="Z16" s="97">
        <v>48.470724801620314</v>
      </c>
      <c r="AA16" s="97">
        <v>48.55157670082329</v>
      </c>
      <c r="AB16" s="97">
        <v>48.632563465548337</v>
      </c>
      <c r="AC16" s="97">
        <v>48.713685320758721</v>
      </c>
      <c r="AD16" s="97">
        <v>48.794942491792966</v>
      </c>
    </row>
    <row r="17" spans="1:30" x14ac:dyDescent="0.25">
      <c r="F17" s="97">
        <v>38.364772077338067</v>
      </c>
      <c r="G17" s="97">
        <v>38.399957961415808</v>
      </c>
      <c r="H17" s="97">
        <v>38.436749278534407</v>
      </c>
      <c r="I17" s="97">
        <v>38.475228540210679</v>
      </c>
      <c r="J17" s="97">
        <v>38.515477151117295</v>
      </c>
      <c r="K17" s="97">
        <v>38.557573700040962</v>
      </c>
      <c r="L17" s="97">
        <v>38.601591741837673</v>
      </c>
      <c r="M17" s="97">
        <v>38.647596958558502</v>
      </c>
      <c r="N17" s="97">
        <v>38.695643578539226</v>
      </c>
      <c r="O17" s="97">
        <v>38.745769934616114</v>
      </c>
      <c r="P17" s="97">
        <v>38.797993068914863</v>
      </c>
      <c r="Q17" s="97">
        <v>38.852302362534793</v>
      </c>
      <c r="R17" s="97">
        <v>38.908652317301225</v>
      </c>
      <c r="S17" s="97">
        <v>38.966954894361308</v>
      </c>
      <c r="T17" s="97">
        <v>39.027072291049549</v>
      </c>
      <c r="U17" s="97">
        <v>39.088811793685956</v>
      </c>
      <c r="V17" s="97">
        <v>39.151925427724294</v>
      </c>
      <c r="W17" s="97">
        <v>39.216118427705545</v>
      </c>
      <c r="X17" s="97">
        <v>39.281071497836464</v>
      </c>
      <c r="Y17" s="97">
        <v>39.346480794258476</v>
      </c>
      <c r="Z17" s="97">
        <v>39.412112940511498</v>
      </c>
      <c r="AA17" s="97">
        <v>39.477854564881355</v>
      </c>
      <c r="AB17" s="97">
        <v>39.543705849983709</v>
      </c>
      <c r="AC17" s="97">
        <v>39.609666978738865</v>
      </c>
      <c r="AD17" s="97">
        <v>39.67573813437221</v>
      </c>
    </row>
    <row r="18" spans="1:30" x14ac:dyDescent="0.25">
      <c r="E18" s="97">
        <v>30.456983067732526</v>
      </c>
      <c r="F18" s="97">
        <v>30.455182975053287</v>
      </c>
      <c r="G18" s="97">
        <v>30.454670049726477</v>
      </c>
      <c r="H18" s="97">
        <v>30.455580081222553</v>
      </c>
      <c r="I18" s="97">
        <v>30.45806051141027</v>
      </c>
      <c r="J18" s="97">
        <v>30.462271043177555</v>
      </c>
      <c r="K18" s="97">
        <v>30.46838406951813</v>
      </c>
      <c r="L18" s="97">
        <v>30.476584801625648</v>
      </c>
      <c r="M18" s="97">
        <v>30.487070918954931</v>
      </c>
      <c r="N18" s="97">
        <v>30.500051485550703</v>
      </c>
      <c r="O18" s="97">
        <v>30.515744766762175</v>
      </c>
      <c r="P18" s="97">
        <v>30.534374428626094</v>
      </c>
      <c r="Q18" s="97">
        <v>30.556163398518951</v>
      </c>
      <c r="R18" s="97">
        <v>30.581324404914273</v>
      </c>
      <c r="S18" s="97">
        <v>30.610045908729962</v>
      </c>
      <c r="T18" s="97">
        <v>30.642471848551537</v>
      </c>
      <c r="U18" s="97">
        <v>30.678673517711864</v>
      </c>
      <c r="V18" s="97">
        <v>30.718612383585775</v>
      </c>
      <c r="W18" s="97">
        <v>30.762094638479002</v>
      </c>
      <c r="X18" s="97">
        <v>30.808723481874292</v>
      </c>
      <c r="Y18" s="97">
        <v>30.857866525942438</v>
      </c>
      <c r="Z18" s="97">
        <v>30.908676755219492</v>
      </c>
      <c r="AA18" s="97">
        <v>30.960234169055138</v>
      </c>
      <c r="AB18" s="97">
        <v>31.011877583561155</v>
      </c>
      <c r="AC18" s="97">
        <v>31.063607142191515</v>
      </c>
      <c r="AD18" s="97">
        <v>31.115422988639466</v>
      </c>
    </row>
    <row r="19" spans="1:30" x14ac:dyDescent="0.25">
      <c r="D19" s="97">
        <v>23.420195778781892</v>
      </c>
      <c r="E19" s="97">
        <v>23.378076083272958</v>
      </c>
      <c r="F19" s="97">
        <v>23.33619982265175</v>
      </c>
      <c r="G19" s="97">
        <v>23.294674656559373</v>
      </c>
      <c r="H19" s="97">
        <v>23.253624130852284</v>
      </c>
      <c r="I19" s="97">
        <v>23.213190205929848</v>
      </c>
      <c r="J19" s="97">
        <v>23.173536226162948</v>
      </c>
      <c r="K19" s="97">
        <v>23.134850405820913</v>
      </c>
      <c r="L19" s="97">
        <v>23.097349913707522</v>
      </c>
      <c r="M19" s="97">
        <v>23.061285640240154</v>
      </c>
      <c r="N19" s="97">
        <v>23.026947720642326</v>
      </c>
      <c r="O19" s="97">
        <v>22.99467185460724</v>
      </c>
      <c r="P19" s="97">
        <v>22.964846384861268</v>
      </c>
      <c r="Q19" s="97">
        <v>22.937919935617753</v>
      </c>
      <c r="R19" s="97">
        <v>22.914409096549445</v>
      </c>
      <c r="S19" s="97">
        <v>22.894905042036388</v>
      </c>
      <c r="T19" s="97">
        <v>22.880076874336563</v>
      </c>
      <c r="U19" s="97">
        <v>22.870667483581908</v>
      </c>
      <c r="V19" s="97">
        <v>22.867474184499706</v>
      </c>
      <c r="W19" s="97">
        <v>22.871300366347999</v>
      </c>
      <c r="X19" s="97">
        <v>22.882854835153967</v>
      </c>
      <c r="Y19" s="97">
        <v>22.902562698011081</v>
      </c>
      <c r="Z19" s="97">
        <v>22.930242663403405</v>
      </c>
      <c r="AA19" s="97">
        <v>22.964633673419794</v>
      </c>
      <c r="AB19" s="97">
        <v>23.002939975927053</v>
      </c>
      <c r="AC19" s="97">
        <v>23.041310175504599</v>
      </c>
      <c r="AD19" s="97">
        <v>23.079744378736322</v>
      </c>
    </row>
    <row r="20" spans="1:30" x14ac:dyDescent="0.25">
      <c r="C20" s="97">
        <v>17.364188334623581</v>
      </c>
      <c r="D20" s="97">
        <v>17.285201898759151</v>
      </c>
      <c r="E20" s="97">
        <v>17.205045548089522</v>
      </c>
      <c r="F20" s="97">
        <v>17.123725396667052</v>
      </c>
      <c r="G20" s="97">
        <v>17.041254042353088</v>
      </c>
      <c r="H20" s="97">
        <v>16.957652216260538</v>
      </c>
      <c r="I20" s="97">
        <v>16.872950865627043</v>
      </c>
      <c r="J20" s="97">
        <v>16.787193799235204</v>
      </c>
      <c r="K20" s="97">
        <v>16.700441068609774</v>
      </c>
      <c r="L20" s="97">
        <v>16.612773319504047</v>
      </c>
      <c r="M20" s="97">
        <v>16.524297434143481</v>
      </c>
      <c r="N20" s="97">
        <v>16.435153906405734</v>
      </c>
      <c r="O20" s="97">
        <v>16.345526566036899</v>
      </c>
      <c r="P20" s="97">
        <v>16.255655518537068</v>
      </c>
      <c r="Q20" s="97">
        <v>16.1658545303514</v>
      </c>
      <c r="R20" s="97">
        <v>16.076534615765738</v>
      </c>
      <c r="S20" s="97">
        <v>15.98823634119803</v>
      </c>
      <c r="T20" s="97">
        <v>15.901674432032214</v>
      </c>
      <c r="U20" s="97">
        <v>15.817799686784603</v>
      </c>
      <c r="V20" s="97">
        <v>15.737884810285768</v>
      </c>
      <c r="W20" s="97">
        <v>15.663641687628994</v>
      </c>
      <c r="X20" s="97">
        <v>15.597374689428872</v>
      </c>
      <c r="Y20" s="97">
        <v>15.542157963564959</v>
      </c>
      <c r="Z20" s="97">
        <v>15.501964987828876</v>
      </c>
      <c r="AA20" s="97">
        <v>15.481490768914023</v>
      </c>
      <c r="AB20" s="97">
        <v>15.484846596643512</v>
      </c>
      <c r="AC20" s="97">
        <v>15.510676192989141</v>
      </c>
      <c r="AD20" s="97">
        <v>15.536548874556374</v>
      </c>
    </row>
    <row r="21" spans="1:30" x14ac:dyDescent="0.25">
      <c r="B21" s="97">
        <v>12.366326521819589</v>
      </c>
      <c r="C21" s="97">
        <v>12.261252210291103</v>
      </c>
      <c r="D21" s="97">
        <v>12.153851748502912</v>
      </c>
      <c r="E21" s="97">
        <v>12.044025972898687</v>
      </c>
      <c r="F21" s="97">
        <v>11.931668511594419</v>
      </c>
      <c r="G21" s="97">
        <v>11.816665087863152</v>
      </c>
      <c r="H21" s="97">
        <v>11.698892753116217</v>
      </c>
      <c r="I21" s="97">
        <v>11.57821904756698</v>
      </c>
      <c r="J21" s="97">
        <v>11.454501090938939</v>
      </c>
      <c r="K21" s="97">
        <v>11.327584613055595</v>
      </c>
      <c r="L21" s="97">
        <v>11.197302947157986</v>
      </c>
      <c r="M21" s="97">
        <v>11.063476031158945</v>
      </c>
      <c r="N21" s="97">
        <v>10.925909500390169</v>
      </c>
      <c r="O21" s="97">
        <v>10.784394021477198</v>
      </c>
      <c r="P21" s="97">
        <v>10.638705132088308</v>
      </c>
      <c r="Q21" s="97">
        <v>10.488604055116864</v>
      </c>
      <c r="R21" s="97">
        <v>10.333840324513428</v>
      </c>
      <c r="S21" s="97">
        <v>10.174157744535036</v>
      </c>
      <c r="T21" s="97">
        <v>10.00930651517116</v>
      </c>
      <c r="U21" s="97">
        <v>9.8390669565392539</v>
      </c>
      <c r="V21" s="97">
        <v>9.6632956218760668</v>
      </c>
      <c r="W21" s="97">
        <v>9.4820160744328472</v>
      </c>
      <c r="X21" s="97">
        <v>9.2956022352381531</v>
      </c>
      <c r="Y21" s="97">
        <v>9.1051616508505475</v>
      </c>
      <c r="Z21" s="97">
        <v>8.9133688652149434</v>
      </c>
      <c r="AA21" s="97">
        <v>8.7263533430809179</v>
      </c>
      <c r="AB21" s="97">
        <v>8.5581494846484656</v>
      </c>
      <c r="AC21" s="97">
        <v>8.4415726165308804</v>
      </c>
      <c r="AD21" s="97">
        <v>8.4556536351477831</v>
      </c>
    </row>
    <row r="22" spans="1:30" x14ac:dyDescent="0.25">
      <c r="A22" s="97">
        <v>8.4446495550694962</v>
      </c>
      <c r="B22" s="97">
        <v>8.3205902649874606</v>
      </c>
      <c r="C22" s="97">
        <v>8.2019168287221778</v>
      </c>
      <c r="D22" s="97">
        <v>8.0803494017112616</v>
      </c>
      <c r="E22" s="97">
        <v>7.9557321983634015</v>
      </c>
      <c r="F22" s="97">
        <v>7.8278942037198398</v>
      </c>
      <c r="G22" s="97">
        <v>7.6966469709344718</v>
      </c>
      <c r="H22" s="97">
        <v>7.5617819890579492</v>
      </c>
      <c r="I22" s="97">
        <v>7.4230675136161564</v>
      </c>
      <c r="J22" s="97">
        <v>7.2802447190583619</v>
      </c>
      <c r="K22" s="97">
        <v>7.1330229860974885</v>
      </c>
      <c r="L22" s="97">
        <v>6.9810740725517686</v>
      </c>
      <c r="M22" s="97">
        <v>6.824024824707811</v>
      </c>
      <c r="N22" s="97">
        <v>6.6614479535964684</v>
      </c>
      <c r="O22" s="97">
        <v>6.4928502045554195</v>
      </c>
      <c r="P22" s="97">
        <v>6.3176569519982815</v>
      </c>
      <c r="Q22" s="97">
        <v>6.1351917910705174</v>
      </c>
      <c r="R22" s="97">
        <v>5.944648961662903</v>
      </c>
      <c r="S22" s="97">
        <v>5.7450552215412767</v>
      </c>
      <c r="T22" s="97">
        <v>5.5352156874661063</v>
      </c>
      <c r="U22" s="97">
        <v>5.3136343892238616</v>
      </c>
      <c r="V22" s="97">
        <v>5.0783931550794605</v>
      </c>
      <c r="W22" s="97">
        <v>4.8269582778998386</v>
      </c>
      <c r="X22" s="97">
        <v>4.5558547190627481</v>
      </c>
      <c r="Y22" s="97">
        <v>4.2600821319453255</v>
      </c>
      <c r="Z22" s="97">
        <v>3.9319956398155789</v>
      </c>
      <c r="AA22" s="97">
        <v>3.5590095902642389</v>
      </c>
      <c r="AB22" s="97">
        <v>3.1185719064873809</v>
      </c>
      <c r="AC22" s="97">
        <v>2.5665152928047505</v>
      </c>
      <c r="AD22" s="97">
        <v>1.8087256371003519</v>
      </c>
    </row>
    <row r="23" spans="1:30" x14ac:dyDescent="0.25">
      <c r="B23" s="97">
        <v>5.2786189187523584</v>
      </c>
      <c r="C23" s="97">
        <v>5.1620537791754524</v>
      </c>
      <c r="D23" s="97">
        <v>5.0428629353897811</v>
      </c>
      <c r="E23" s="97">
        <v>4.9209138256751057</v>
      </c>
      <c r="F23" s="97">
        <v>4.7960617894967639</v>
      </c>
      <c r="G23" s="97">
        <v>4.6681484494619614</v>
      </c>
      <c r="H23" s="97">
        <v>4.5369998051991471</v>
      </c>
      <c r="I23" s="97">
        <v>4.4024239745456892</v>
      </c>
      <c r="J23" s="97">
        <v>4.2642084998619767</v>
      </c>
      <c r="K23" s="97">
        <v>4.1221171141293045</v>
      </c>
      <c r="L23" s="97">
        <v>3.9758858307115026</v>
      </c>
      <c r="M23" s="97">
        <v>3.8252181794830458</v>
      </c>
      <c r="N23" s="97">
        <v>3.6697793566209875</v>
      </c>
      <c r="O23" s="97">
        <v>3.5091889805801819</v>
      </c>
      <c r="P23" s="97">
        <v>3.3430120460297954</v>
      </c>
      <c r="Q23" s="97">
        <v>3.1707475333431105</v>
      </c>
      <c r="R23" s="97">
        <v>2.9918139579511505</v>
      </c>
      <c r="S23" s="97">
        <v>2.8055309367649608</v>
      </c>
      <c r="T23" s="97">
        <v>2.6110956509023922</v>
      </c>
      <c r="U23" s="97">
        <v>2.4075530512936156</v>
      </c>
      <c r="V23" s="97">
        <v>2.1937592644291</v>
      </c>
      <c r="W23" s="97">
        <v>1.968340283023202</v>
      </c>
      <c r="X23" s="97">
        <v>1.7296565167671718</v>
      </c>
      <c r="Y23" s="97">
        <v>1.4758088039882884</v>
      </c>
      <c r="Z23" s="97">
        <v>1.2047926255909152</v>
      </c>
      <c r="AA23" s="97">
        <v>0.91510672095798773</v>
      </c>
      <c r="AB23" s="97">
        <v>0.60767953709494105</v>
      </c>
      <c r="AC23" s="97">
        <v>0.29153567943078618</v>
      </c>
      <c r="AD23" s="97">
        <v>0</v>
      </c>
    </row>
    <row r="24" spans="1:30" x14ac:dyDescent="0.25">
      <c r="C24" s="97">
        <v>3.0374222481940545</v>
      </c>
      <c r="D24" s="97">
        <v>2.9345982062242042</v>
      </c>
      <c r="E24" s="97">
        <v>2.8300348180998589</v>
      </c>
      <c r="F24" s="97">
        <v>2.7236812218127819</v>
      </c>
      <c r="G24" s="97">
        <v>2.6154856161337827</v>
      </c>
      <c r="H24" s="97">
        <v>2.5053956953294092</v>
      </c>
      <c r="I24" s="97">
        <v>2.3933592772865055</v>
      </c>
      <c r="J24" s="97">
        <v>2.279325199507785</v>
      </c>
      <c r="K24" s="97">
        <v>2.1632445881408127</v>
      </c>
      <c r="L24" s="97">
        <v>2.0450726500447405</v>
      </c>
      <c r="M24" s="97">
        <v>1.9247712042209906</v>
      </c>
      <c r="N24" s="97">
        <v>1.8023122683416073</v>
      </c>
      <c r="O24" s="97">
        <v>1.6776831672412553</v>
      </c>
      <c r="P24" s="97">
        <v>1.5508938634434135</v>
      </c>
      <c r="Q24" s="97">
        <v>1.4219875751591207</v>
      </c>
      <c r="R24" s="97">
        <v>1.2910563283378336</v>
      </c>
      <c r="S24" s="97">
        <v>1.1582640268517612</v>
      </c>
      <c r="T24" s="97">
        <v>1.0238811552502212</v>
      </c>
      <c r="U24" s="97">
        <v>0.88833774482015793</v>
      </c>
      <c r="V24" s="97">
        <v>0.75230536640233181</v>
      </c>
      <c r="W24" s="97">
        <v>0.6168255879950636</v>
      </c>
      <c r="X24" s="97">
        <v>0.48351260548158298</v>
      </c>
      <c r="Y24" s="97">
        <v>0.35487167802017872</v>
      </c>
      <c r="Z24" s="97">
        <v>0.23478711349103099</v>
      </c>
      <c r="AA24" s="97">
        <v>0.12921722722941342</v>
      </c>
      <c r="AB24" s="97">
        <v>4.6990572056820473E-2</v>
      </c>
      <c r="AC24" s="97">
        <v>0</v>
      </c>
      <c r="AD24" s="97">
        <v>0</v>
      </c>
    </row>
    <row r="25" spans="1:30" x14ac:dyDescent="0.25">
      <c r="D25" s="97">
        <v>1.5828405349960779</v>
      </c>
      <c r="E25" s="97">
        <v>1.5037130250047837</v>
      </c>
      <c r="F25" s="97">
        <v>1.424118682908049</v>
      </c>
      <c r="G25" s="97">
        <v>1.3441107194380173</v>
      </c>
      <c r="H25" s="97">
        <v>1.2637534960920647</v>
      </c>
      <c r="I25" s="97">
        <v>1.183124742965459</v>
      </c>
      <c r="J25" s="97">
        <v>1.1023182730642558</v>
      </c>
      <c r="K25" s="97">
        <v>1.021447318092872</v>
      </c>
      <c r="L25" s="97">
        <v>0.94064864460892339</v>
      </c>
      <c r="M25" s="97">
        <v>0.86008765222051298</v>
      </c>
      <c r="N25" s="97">
        <v>0.77996470850251942</v>
      </c>
      <c r="O25" s="97">
        <v>0.70052303873877164</v>
      </c>
      <c r="P25" s="97">
        <v>0.62205855955824352</v>
      </c>
      <c r="Q25" s="97">
        <v>0.54493211367770555</v>
      </c>
      <c r="R25" s="97">
        <v>0.46958460128445323</v>
      </c>
      <c r="S25" s="97">
        <v>0.39655544923920011</v>
      </c>
      <c r="T25" s="97">
        <v>0.32650457415369283</v>
      </c>
      <c r="U25" s="97">
        <v>0.26023718680899027</v>
      </c>
      <c r="V25" s="97">
        <v>0.19872885051411218</v>
      </c>
      <c r="W25" s="97">
        <v>0.14314394076757753</v>
      </c>
      <c r="X25" s="97">
        <v>9.4831753202845981E-2</v>
      </c>
      <c r="Y25" s="97">
        <v>5.5266868910440838E-2</v>
      </c>
      <c r="Z25" s="97">
        <v>2.5867745905719497E-2</v>
      </c>
      <c r="AA25" s="97">
        <v>7.574077610460553E-3</v>
      </c>
      <c r="AB25" s="97">
        <v>0</v>
      </c>
      <c r="AC25" s="97">
        <v>0</v>
      </c>
      <c r="AD25" s="97">
        <v>0</v>
      </c>
    </row>
    <row r="26" spans="1:30" x14ac:dyDescent="0.25">
      <c r="E26" s="97">
        <v>0.73409179833485994</v>
      </c>
      <c r="F26" s="97">
        <v>0.68156355837701543</v>
      </c>
      <c r="G26" s="97">
        <v>0.62964863799798321</v>
      </c>
      <c r="H26" s="97">
        <v>0.57845659901601176</v>
      </c>
      <c r="I26" s="97">
        <v>0.52811001830075288</v>
      </c>
      <c r="J26" s="97">
        <v>0.47874604383928532</v>
      </c>
      <c r="K26" s="97">
        <v>0.43051808356228261</v>
      </c>
      <c r="L26" s="97">
        <v>0.38359759829211387</v>
      </c>
      <c r="M26" s="97">
        <v>0.33817593952495534</v>
      </c>
      <c r="N26" s="97">
        <v>0.29446612320790505</v>
      </c>
      <c r="O26" s="97">
        <v>0.25270435164720639</v>
      </c>
      <c r="P26" s="97">
        <v>0.21315097117461665</v>
      </c>
      <c r="Q26" s="97">
        <v>0.17609035940691686</v>
      </c>
      <c r="R26" s="97">
        <v>0.14182893875486258</v>
      </c>
      <c r="S26" s="97">
        <v>0.11069006662178074</v>
      </c>
      <c r="T26" s="97">
        <v>8.3003904617617835E-2</v>
      </c>
      <c r="U26" s="97">
        <v>5.9089480163401938E-2</v>
      </c>
      <c r="V26" s="97">
        <v>3.9225063841144117E-2</v>
      </c>
      <c r="W26" s="97">
        <v>2.3601981734262034E-2</v>
      </c>
      <c r="X26" s="97">
        <v>1.2256994140829123E-2</v>
      </c>
      <c r="Y26" s="97">
        <v>4.9818226402066857E-3</v>
      </c>
      <c r="Z26" s="97">
        <v>1.2208119445727831E-3</v>
      </c>
      <c r="AA26" s="97">
        <v>0</v>
      </c>
      <c r="AB26" s="97">
        <v>0</v>
      </c>
      <c r="AC26" s="97">
        <v>0</v>
      </c>
      <c r="AD26" s="97">
        <v>0</v>
      </c>
    </row>
    <row r="27" spans="1:30" x14ac:dyDescent="0.25">
      <c r="F27" s="97">
        <v>0.29704666826756249</v>
      </c>
      <c r="G27" s="97">
        <v>0.26742764777886951</v>
      </c>
      <c r="H27" s="97">
        <v>0.23890687548481312</v>
      </c>
      <c r="I27" s="97">
        <v>0.21157441696720647</v>
      </c>
      <c r="J27" s="97">
        <v>0.18552456873173173</v>
      </c>
      <c r="K27" s="97">
        <v>0.1608552442072233</v>
      </c>
      <c r="L27" s="97">
        <v>0.1376669968631076</v>
      </c>
      <c r="M27" s="97">
        <v>0.11606155411228194</v>
      </c>
      <c r="N27" s="97">
        <v>9.6139699448980556E-2</v>
      </c>
      <c r="O27" s="97">
        <v>7.7998298408268552E-2</v>
      </c>
      <c r="P27" s="97">
        <v>6.1726219619421506E-2</v>
      </c>
      <c r="Q27" s="97">
        <v>4.7398864170641215E-2</v>
      </c>
      <c r="R27" s="97">
        <v>3.5071003615263288E-2</v>
      </c>
      <c r="S27" s="97">
        <v>2.4767676539037616E-2</v>
      </c>
      <c r="T27" s="97">
        <v>1.6473074300154749E-2</v>
      </c>
      <c r="U27" s="97">
        <v>1.011777615191181E-2</v>
      </c>
      <c r="V27" s="97">
        <v>5.5655574400594538E-3</v>
      </c>
      <c r="W27" s="97">
        <v>2.6025416509653605E-3</v>
      </c>
      <c r="X27" s="97">
        <v>9.3392711633733167E-4</v>
      </c>
      <c r="Y27" s="97">
        <v>1.9677403383790463E-4</v>
      </c>
      <c r="Z27" s="97">
        <v>0</v>
      </c>
      <c r="AA27" s="97">
        <v>0</v>
      </c>
      <c r="AB27" s="97">
        <v>0</v>
      </c>
      <c r="AC27" s="97">
        <v>0</v>
      </c>
      <c r="AD27" s="97">
        <v>0</v>
      </c>
    </row>
    <row r="28" spans="1:30" x14ac:dyDescent="0.25">
      <c r="G28" s="97">
        <v>0.10249790499783817</v>
      </c>
      <c r="H28" s="97">
        <v>8.8586252062324899E-2</v>
      </c>
      <c r="I28" s="97">
        <v>7.5671747771595604E-2</v>
      </c>
      <c r="J28" s="97">
        <v>6.3784737447065046E-2</v>
      </c>
      <c r="K28" s="97">
        <v>5.2950926122609293E-2</v>
      </c>
      <c r="L28" s="97">
        <v>4.3189905498776389E-2</v>
      </c>
      <c r="M28" s="97">
        <v>3.4513421368671401E-2</v>
      </c>
      <c r="N28" s="97">
        <v>2.6923377896901992E-2</v>
      </c>
      <c r="O28" s="97">
        <v>2.0409600626101556E-2</v>
      </c>
      <c r="P28" s="97">
        <v>1.4947424898185346E-2</v>
      </c>
      <c r="Q28" s="97">
        <v>1.0495247690687021E-2</v>
      </c>
      <c r="R28" s="97">
        <v>6.9922881516113269E-3</v>
      </c>
      <c r="S28" s="97">
        <v>4.3569537474637326E-3</v>
      </c>
      <c r="T28" s="97">
        <v>2.48640586629237E-3</v>
      </c>
      <c r="U28" s="97">
        <v>1.2581406175555668E-3</v>
      </c>
      <c r="V28" s="97">
        <v>5.3457930868080648E-4</v>
      </c>
      <c r="W28" s="97">
        <v>1.7163877742633568E-4</v>
      </c>
      <c r="X28" s="97">
        <v>3.1716613328504269E-5</v>
      </c>
      <c r="Y28" s="97">
        <v>0</v>
      </c>
      <c r="Z28" s="97">
        <v>0</v>
      </c>
      <c r="AA28" s="97">
        <v>0</v>
      </c>
      <c r="AB28" s="97">
        <v>0</v>
      </c>
      <c r="AC28" s="97">
        <v>0</v>
      </c>
      <c r="AD28" s="97">
        <v>0</v>
      </c>
    </row>
    <row r="29" spans="1:30" x14ac:dyDescent="0.25">
      <c r="H29" s="97">
        <v>2.9357536158501195E-2</v>
      </c>
      <c r="I29" s="97">
        <v>2.4044809543850694E-2</v>
      </c>
      <c r="J29" s="97">
        <v>1.9353332901525036E-2</v>
      </c>
      <c r="K29" s="97">
        <v>1.5268302171564449E-2</v>
      </c>
      <c r="L29" s="97">
        <v>1.176910263458777E-2</v>
      </c>
      <c r="M29" s="97">
        <v>8.8288208556995228E-3</v>
      </c>
      <c r="N29" s="97">
        <v>6.4138768045219679E-3</v>
      </c>
      <c r="O29" s="97">
        <v>4.4838621880662916E-3</v>
      </c>
      <c r="P29" s="97">
        <v>2.9916874301466577E-3</v>
      </c>
      <c r="Q29" s="97">
        <v>1.8841600645443702E-3</v>
      </c>
      <c r="R29" s="97">
        <v>1.103128952949361E-3</v>
      </c>
      <c r="S29" s="97">
        <v>5.8731934977396109E-4</v>
      </c>
      <c r="T29" s="97">
        <v>2.7493411378831168E-4</v>
      </c>
      <c r="U29" s="97">
        <v>1.0698001061112535E-4</v>
      </c>
      <c r="V29" s="97">
        <v>3.1067114093288717E-5</v>
      </c>
      <c r="W29" s="97">
        <v>5.1121763446626039E-6</v>
      </c>
      <c r="X29" s="97">
        <v>0</v>
      </c>
      <c r="Y29" s="97">
        <v>0</v>
      </c>
      <c r="Z29" s="97">
        <v>0</v>
      </c>
      <c r="AA29" s="97">
        <v>0</v>
      </c>
      <c r="AB29" s="97">
        <v>0</v>
      </c>
      <c r="AC29" s="97">
        <v>0</v>
      </c>
      <c r="AD29" s="97">
        <v>0</v>
      </c>
    </row>
    <row r="30" spans="1:30" x14ac:dyDescent="0.25">
      <c r="I30" s="97">
        <v>6.7559107734275923E-3</v>
      </c>
      <c r="J30" s="97">
        <v>5.1553781508734001E-3</v>
      </c>
      <c r="K30" s="97">
        <v>3.8340174389541706E-3</v>
      </c>
      <c r="L30" s="97">
        <v>2.7671123913361314E-3</v>
      </c>
      <c r="M30" s="97">
        <v>1.9278817168019518E-3</v>
      </c>
      <c r="N30" s="97">
        <v>1.2879358133630113E-3</v>
      </c>
      <c r="O30" s="97">
        <v>8.1786070631331394E-4</v>
      </c>
      <c r="P30" s="97">
        <v>4.8797067868311096E-4</v>
      </c>
      <c r="Q30" s="97">
        <v>2.6922083211781332E-4</v>
      </c>
      <c r="R30" s="97">
        <v>1.3424340304226298E-4</v>
      </c>
      <c r="S30" s="97">
        <v>5.8433519804238011E-5</v>
      </c>
      <c r="T30" s="97">
        <v>2.096324579818168E-5</v>
      </c>
      <c r="U30" s="97">
        <v>5.5558122723328313E-6</v>
      </c>
      <c r="V30" s="97">
        <v>8.2399551012094771E-7</v>
      </c>
      <c r="W30" s="97">
        <v>0</v>
      </c>
      <c r="X30" s="97">
        <v>0</v>
      </c>
      <c r="Y30" s="97">
        <v>0</v>
      </c>
      <c r="Z30" s="97">
        <v>0</v>
      </c>
      <c r="AA30" s="97">
        <v>0</v>
      </c>
      <c r="AB30" s="97">
        <v>0</v>
      </c>
      <c r="AC30" s="97">
        <v>0</v>
      </c>
      <c r="AD30" s="97">
        <v>0</v>
      </c>
    </row>
    <row r="31" spans="1:30" x14ac:dyDescent="0.25">
      <c r="J31" s="97">
        <v>1.1989125742461898E-3</v>
      </c>
      <c r="K31" s="97">
        <v>8.3316074186216133E-4</v>
      </c>
      <c r="L31" s="97">
        <v>5.5721079895258371E-4</v>
      </c>
      <c r="M31" s="97">
        <v>3.5617237474951216E-4</v>
      </c>
      <c r="N31" s="97">
        <v>2.1561949393415287E-4</v>
      </c>
      <c r="O31" s="97">
        <v>1.2213926435862684E-4</v>
      </c>
      <c r="P31" s="97">
        <v>6.3677891908160995E-5</v>
      </c>
      <c r="Q31" s="97">
        <v>2.9844360791093837E-5</v>
      </c>
      <c r="R31" s="97">
        <v>1.2134773322877906E-5</v>
      </c>
      <c r="S31" s="97">
        <v>4.0373131512422229E-6</v>
      </c>
      <c r="T31" s="97">
        <v>9.8388252552452287E-7</v>
      </c>
      <c r="U31" s="97">
        <v>1.328140022806934E-7</v>
      </c>
      <c r="V31" s="97">
        <v>0</v>
      </c>
      <c r="W31" s="97">
        <v>0</v>
      </c>
      <c r="X31" s="97">
        <v>0</v>
      </c>
      <c r="Y31" s="97">
        <v>0</v>
      </c>
      <c r="Z31" s="97">
        <v>0</v>
      </c>
      <c r="AA31" s="97">
        <v>0</v>
      </c>
      <c r="AB31" s="97">
        <v>0</v>
      </c>
      <c r="AC31" s="97">
        <v>0</v>
      </c>
      <c r="AD31" s="97">
        <v>0</v>
      </c>
    </row>
    <row r="32" spans="1:30" x14ac:dyDescent="0.25">
      <c r="K32" s="97">
        <v>1.5439955583556822E-4</v>
      </c>
      <c r="L32" s="97">
        <v>9.5256053155686894E-5</v>
      </c>
      <c r="M32" s="97">
        <v>5.5070129435048677E-5</v>
      </c>
      <c r="N32" s="97">
        <v>2.9679145461262269E-5</v>
      </c>
      <c r="O32" s="97">
        <v>1.4660455183422604E-5</v>
      </c>
      <c r="P32" s="97">
        <v>6.4794271836689301E-6</v>
      </c>
      <c r="Q32" s="97">
        <v>2.4710583413913016E-6</v>
      </c>
      <c r="R32" s="97">
        <v>7.6634766262980877E-7</v>
      </c>
      <c r="S32" s="97">
        <v>1.7283048229562492E-7</v>
      </c>
      <c r="T32" s="97">
        <v>2.1407348687168868E-8</v>
      </c>
      <c r="U32" s="97">
        <v>0</v>
      </c>
      <c r="V32" s="97">
        <v>0</v>
      </c>
      <c r="W32" s="97">
        <v>0</v>
      </c>
      <c r="X32" s="97">
        <v>0</v>
      </c>
      <c r="Y32" s="97">
        <v>0</v>
      </c>
      <c r="Z32" s="97">
        <v>0</v>
      </c>
      <c r="AA32" s="97">
        <v>0</v>
      </c>
      <c r="AB32" s="97">
        <v>0</v>
      </c>
      <c r="AC32" s="97">
        <v>0</v>
      </c>
      <c r="AD32" s="97">
        <v>0</v>
      </c>
    </row>
    <row r="33" spans="12:30" x14ac:dyDescent="0.25">
      <c r="L33" s="97">
        <v>6.9827352667375454E-6</v>
      </c>
      <c r="M33" s="97">
        <v>6.9943828624823592E-6</v>
      </c>
      <c r="N33" s="97">
        <v>3.296884351722084E-6</v>
      </c>
      <c r="O33" s="97">
        <v>1.3782147916732482E-6</v>
      </c>
      <c r="P33" s="97">
        <v>4.9480376476671295E-7</v>
      </c>
      <c r="Q33" s="97">
        <v>1.4368312207153323E-7</v>
      </c>
      <c r="R33" s="97">
        <v>3.0153440817670008E-8</v>
      </c>
      <c r="S33" s="97">
        <v>3.4504989680641693E-9</v>
      </c>
      <c r="T33" s="97">
        <v>0</v>
      </c>
      <c r="U33" s="97">
        <v>0</v>
      </c>
      <c r="V33" s="97">
        <v>0</v>
      </c>
      <c r="W33" s="97">
        <v>0</v>
      </c>
      <c r="X33" s="97">
        <v>0</v>
      </c>
      <c r="Y33" s="97">
        <v>0</v>
      </c>
      <c r="Z33" s="97">
        <v>0</v>
      </c>
      <c r="AA33" s="97">
        <v>0</v>
      </c>
      <c r="AB33" s="97">
        <v>0</v>
      </c>
      <c r="AC33" s="97">
        <v>0</v>
      </c>
      <c r="AD33" s="97">
        <v>0</v>
      </c>
    </row>
    <row r="34" spans="12:30" x14ac:dyDescent="0.25">
      <c r="N34" s="97">
        <v>9.7344454158319756E-8</v>
      </c>
      <c r="O34" s="97">
        <v>9.7506830191023829E-8</v>
      </c>
      <c r="P34" s="97">
        <v>2.6655147038209848E-8</v>
      </c>
      <c r="Q34" s="97">
        <v>5.2303148061489751E-9</v>
      </c>
      <c r="R34" s="97">
        <v>5.5616149867962094E-10</v>
      </c>
      <c r="S34" s="97">
        <v>0</v>
      </c>
      <c r="T34" s="97">
        <v>0</v>
      </c>
      <c r="U34" s="97">
        <v>0</v>
      </c>
      <c r="V34" s="97">
        <v>0</v>
      </c>
      <c r="W34" s="97">
        <v>0</v>
      </c>
      <c r="X34" s="97">
        <v>0</v>
      </c>
      <c r="Y34" s="97">
        <v>0</v>
      </c>
      <c r="Z34" s="97">
        <v>0</v>
      </c>
      <c r="AA34" s="97">
        <v>0</v>
      </c>
      <c r="AB34" s="97">
        <v>0</v>
      </c>
      <c r="AC34" s="97">
        <v>0</v>
      </c>
      <c r="AD34" s="97">
        <v>0</v>
      </c>
    </row>
    <row r="35" spans="12:30" x14ac:dyDescent="0.25">
      <c r="P35" s="97">
        <v>8.9494452488474208E-11</v>
      </c>
      <c r="Q35" s="97">
        <v>8.9643734276222151E-11</v>
      </c>
      <c r="R35" s="97">
        <v>0</v>
      </c>
      <c r="S35" s="97">
        <v>0</v>
      </c>
      <c r="T35" s="97">
        <v>0</v>
      </c>
      <c r="U35" s="97">
        <v>0</v>
      </c>
      <c r="V35" s="97">
        <v>0</v>
      </c>
      <c r="W35" s="97">
        <v>0</v>
      </c>
      <c r="X35" s="97">
        <v>0</v>
      </c>
      <c r="Y35" s="97">
        <v>0</v>
      </c>
      <c r="Z35" s="97">
        <v>0</v>
      </c>
      <c r="AA35" s="97">
        <v>0</v>
      </c>
      <c r="AB35" s="97">
        <v>0</v>
      </c>
      <c r="AC35" s="97">
        <v>0</v>
      </c>
      <c r="AD35" s="97">
        <v>0</v>
      </c>
    </row>
    <row r="36" spans="12:30" x14ac:dyDescent="0.25">
      <c r="R36" s="97">
        <v>0</v>
      </c>
      <c r="S36" s="97">
        <v>0</v>
      </c>
      <c r="T36" s="97">
        <v>0</v>
      </c>
      <c r="U36" s="97">
        <v>0</v>
      </c>
      <c r="V36" s="97">
        <v>0</v>
      </c>
      <c r="W36" s="97">
        <v>0</v>
      </c>
      <c r="X36" s="97">
        <v>0</v>
      </c>
      <c r="Y36" s="97">
        <v>0</v>
      </c>
      <c r="Z36" s="97">
        <v>0</v>
      </c>
      <c r="AA36" s="97">
        <v>0</v>
      </c>
      <c r="AB36" s="97">
        <v>0</v>
      </c>
      <c r="AC36" s="97">
        <v>0</v>
      </c>
      <c r="AD36" s="97">
        <v>0</v>
      </c>
    </row>
    <row r="37" spans="12:30" x14ac:dyDescent="0.25">
      <c r="T37" s="97">
        <v>0</v>
      </c>
      <c r="U37" s="97">
        <v>0</v>
      </c>
      <c r="V37" s="97">
        <v>0</v>
      </c>
      <c r="W37" s="97">
        <v>0</v>
      </c>
      <c r="X37" s="97">
        <v>0</v>
      </c>
      <c r="Y37" s="97">
        <v>0</v>
      </c>
      <c r="Z37" s="97">
        <v>0</v>
      </c>
      <c r="AA37" s="97">
        <v>0</v>
      </c>
      <c r="AB37" s="97">
        <v>0</v>
      </c>
      <c r="AC37" s="97">
        <v>0</v>
      </c>
      <c r="AD37" s="97">
        <v>0</v>
      </c>
    </row>
    <row r="38" spans="12:30" x14ac:dyDescent="0.25">
      <c r="W38" s="97">
        <v>0</v>
      </c>
      <c r="X38" s="97">
        <v>0</v>
      </c>
      <c r="Y38" s="97">
        <v>0</v>
      </c>
      <c r="Z38" s="97">
        <v>0</v>
      </c>
      <c r="AA38" s="97">
        <v>0</v>
      </c>
      <c r="AB38" s="97">
        <v>0</v>
      </c>
      <c r="AC38" s="97">
        <v>0</v>
      </c>
      <c r="AD38" s="97">
        <v>0</v>
      </c>
    </row>
    <row r="39" spans="12:30" x14ac:dyDescent="0.25">
      <c r="Y39" s="97">
        <v>0</v>
      </c>
      <c r="Z39" s="97">
        <v>0</v>
      </c>
      <c r="AA39" s="97">
        <v>0</v>
      </c>
      <c r="AB39" s="97">
        <v>0</v>
      </c>
      <c r="AC39" s="97">
        <v>0</v>
      </c>
      <c r="AD39" s="97">
        <v>0</v>
      </c>
    </row>
    <row r="40" spans="12:30" x14ac:dyDescent="0.25">
      <c r="AB40" s="97">
        <v>0</v>
      </c>
      <c r="AC40" s="97">
        <v>0</v>
      </c>
      <c r="AD40" s="97">
        <v>0</v>
      </c>
    </row>
  </sheetData>
  <mergeCells count="1">
    <mergeCell ref="A1:C3"/>
  </mergeCells>
  <conditionalFormatting sqref="A4:XFD1048576 A1 D1:XFD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/>
  <dimension ref="A1:AD40"/>
  <sheetViews>
    <sheetView zoomScale="70" zoomScaleNormal="70" workbookViewId="0">
      <selection activeCell="A4" sqref="A4"/>
    </sheetView>
  </sheetViews>
  <sheetFormatPr baseColWidth="10" defaultColWidth="9.140625" defaultRowHeight="15" x14ac:dyDescent="0.25"/>
  <cols>
    <col min="1" max="16384" width="9.140625" style="97"/>
  </cols>
  <sheetData>
    <row r="1" spans="1:30" x14ac:dyDescent="0.25">
      <c r="A1" s="96" t="s">
        <v>62</v>
      </c>
      <c r="B1" s="96"/>
      <c r="C1" s="96"/>
    </row>
    <row r="2" spans="1:30" x14ac:dyDescent="0.25">
      <c r="A2" s="96"/>
      <c r="B2" s="96"/>
      <c r="C2" s="96"/>
    </row>
    <row r="3" spans="1:30" x14ac:dyDescent="0.25">
      <c r="A3" s="96"/>
      <c r="B3" s="96"/>
      <c r="C3" s="96"/>
    </row>
    <row r="4" spans="1:30" x14ac:dyDescent="0.25">
      <c r="AD4" s="97">
        <v>317.82972126033997</v>
      </c>
    </row>
    <row r="5" spans="1:30" x14ac:dyDescent="0.25">
      <c r="AA5" s="97">
        <v>296.86284132934054</v>
      </c>
      <c r="AB5" s="97">
        <v>297.35802527021428</v>
      </c>
      <c r="AC5" s="97">
        <v>297.85403520579382</v>
      </c>
      <c r="AD5" s="97">
        <v>298.35087251388489</v>
      </c>
    </row>
    <row r="6" spans="1:30" x14ac:dyDescent="0.25">
      <c r="X6" s="97">
        <v>277.27912359065493</v>
      </c>
      <c r="Y6" s="97">
        <v>277.74164078723902</v>
      </c>
      <c r="Z6" s="97">
        <v>278.2049294885594</v>
      </c>
      <c r="AA6" s="97">
        <v>278.66899098152948</v>
      </c>
      <c r="AB6" s="97">
        <v>279.13382655520934</v>
      </c>
      <c r="AC6" s="97">
        <v>279.59943750080902</v>
      </c>
      <c r="AD6" s="97">
        <v>280.06582511169262</v>
      </c>
    </row>
    <row r="7" spans="1:30" x14ac:dyDescent="0.25">
      <c r="U7" s="97">
        <v>258.98732234360943</v>
      </c>
      <c r="V7" s="97">
        <v>259.41932778538239</v>
      </c>
      <c r="W7" s="97">
        <v>259.85205383656586</v>
      </c>
      <c r="X7" s="97">
        <v>260.28550169917713</v>
      </c>
      <c r="Y7" s="97">
        <v>260.71967257723833</v>
      </c>
      <c r="Z7" s="97">
        <v>261.15456767677983</v>
      </c>
      <c r="AA7" s="97">
        <v>261.5901882058439</v>
      </c>
      <c r="AB7" s="97">
        <v>262.02653537448793</v>
      </c>
      <c r="AC7" s="97">
        <v>262.46361039478757</v>
      </c>
      <c r="AD7" s="97">
        <v>262.90141448084029</v>
      </c>
    </row>
    <row r="8" spans="1:30" x14ac:dyDescent="0.25">
      <c r="S8" s="97">
        <v>242.30571778098206</v>
      </c>
      <c r="T8" s="97">
        <v>242.70989736671189</v>
      </c>
      <c r="U8" s="97">
        <v>243.11475114675679</v>
      </c>
      <c r="V8" s="97">
        <v>243.5202802457114</v>
      </c>
      <c r="W8" s="97">
        <v>243.92648579004543</v>
      </c>
      <c r="X8" s="97">
        <v>244.33336890810793</v>
      </c>
      <c r="Y8" s="97">
        <v>244.74093073013015</v>
      </c>
      <c r="Z8" s="97">
        <v>245.14917238822841</v>
      </c>
      <c r="AA8" s="97">
        <v>245.55809501640752</v>
      </c>
      <c r="AB8" s="97">
        <v>245.96769975056412</v>
      </c>
      <c r="AC8" s="97">
        <v>246.37798772848927</v>
      </c>
      <c r="AD8" s="97">
        <v>246.78896008987201</v>
      </c>
    </row>
    <row r="9" spans="1:30" x14ac:dyDescent="0.25">
      <c r="P9" s="97">
        <v>226.32107395609879</v>
      </c>
      <c r="Q9" s="97">
        <v>226.69859025555388</v>
      </c>
      <c r="R9" s="97">
        <v>227.07673627346085</v>
      </c>
      <c r="S9" s="97">
        <v>227.45551306022568</v>
      </c>
      <c r="T9" s="97">
        <v>227.83492166800664</v>
      </c>
      <c r="U9" s="97">
        <v>228.21496315071619</v>
      </c>
      <c r="V9" s="97">
        <v>228.59563856402585</v>
      </c>
      <c r="W9" s="97">
        <v>228.97694896536734</v>
      </c>
      <c r="X9" s="97">
        <v>229.35889541393652</v>
      </c>
      <c r="Y9" s="97">
        <v>229.74147897069608</v>
      </c>
      <c r="Z9" s="97">
        <v>230.12470069837823</v>
      </c>
      <c r="AA9" s="97">
        <v>230.50856166148805</v>
      </c>
      <c r="AB9" s="97">
        <v>230.8930629263063</v>
      </c>
      <c r="AC9" s="97">
        <v>231.27820556089225</v>
      </c>
      <c r="AD9" s="97">
        <v>231.66399063508675</v>
      </c>
    </row>
    <row r="10" spans="1:30" x14ac:dyDescent="0.25">
      <c r="N10" s="97">
        <v>211.74353160475627</v>
      </c>
      <c r="O10" s="97">
        <v>212.09673174245302</v>
      </c>
      <c r="P10" s="97">
        <v>212.45052103787418</v>
      </c>
      <c r="Q10" s="97">
        <v>212.80490047376833</v>
      </c>
      <c r="R10" s="97">
        <v>213.15987103452272</v>
      </c>
      <c r="S10" s="97">
        <v>213.51543370616704</v>
      </c>
      <c r="T10" s="97">
        <v>213.87158947637585</v>
      </c>
      <c r="U10" s="97">
        <v>214.22833933447043</v>
      </c>
      <c r="V10" s="97">
        <v>214.58568427142328</v>
      </c>
      <c r="W10" s="97">
        <v>214.94362527985928</v>
      </c>
      <c r="X10" s="97">
        <v>215.30216335405925</v>
      </c>
      <c r="Y10" s="97">
        <v>215.6612994899626</v>
      </c>
      <c r="Z10" s="97">
        <v>216.02103468516984</v>
      </c>
      <c r="AA10" s="97">
        <v>216.38136993894562</v>
      </c>
      <c r="AB10" s="97">
        <v>216.74230625222154</v>
      </c>
      <c r="AC10" s="97">
        <v>217.10384462759862</v>
      </c>
      <c r="AD10" s="97">
        <v>217.46598606935032</v>
      </c>
    </row>
    <row r="11" spans="1:30" x14ac:dyDescent="0.25">
      <c r="L11" s="97">
        <v>198.10494176583592</v>
      </c>
      <c r="M11" s="97">
        <v>198.43539196745388</v>
      </c>
      <c r="N11" s="97">
        <v>198.76639337862161</v>
      </c>
      <c r="O11" s="97">
        <v>199.09794691878764</v>
      </c>
      <c r="P11" s="97">
        <v>199.43005350893412</v>
      </c>
      <c r="Q11" s="97">
        <v>199.76271407157984</v>
      </c>
      <c r="R11" s="97">
        <v>200.09592953078186</v>
      </c>
      <c r="S11" s="97">
        <v>200.42970081213903</v>
      </c>
      <c r="T11" s="97">
        <v>200.7640288427942</v>
      </c>
      <c r="U11" s="97">
        <v>201.09891455143608</v>
      </c>
      <c r="V11" s="97">
        <v>201.43435886830338</v>
      </c>
      <c r="W11" s="97">
        <v>201.77036272518595</v>
      </c>
      <c r="X11" s="97">
        <v>202.106927055428</v>
      </c>
      <c r="Y11" s="97">
        <v>202.44405279393081</v>
      </c>
      <c r="Z11" s="97">
        <v>202.78174087715485</v>
      </c>
      <c r="AA11" s="97">
        <v>203.11999224312277</v>
      </c>
      <c r="AB11" s="97">
        <v>203.45880783142204</v>
      </c>
      <c r="AC11" s="97">
        <v>203.79818858320721</v>
      </c>
      <c r="AD11" s="97">
        <v>204.13813544120276</v>
      </c>
    </row>
    <row r="12" spans="1:30" x14ac:dyDescent="0.25">
      <c r="K12" s="97">
        <v>185.65399127927964</v>
      </c>
      <c r="L12" s="97">
        <v>185.9636725941553</v>
      </c>
      <c r="M12" s="97">
        <v>186.27387047490777</v>
      </c>
      <c r="N12" s="97">
        <v>186.58458578319807</v>
      </c>
      <c r="O12" s="97">
        <v>186.89581938212436</v>
      </c>
      <c r="P12" s="97">
        <v>187.20757213622457</v>
      </c>
      <c r="Q12" s="97">
        <v>187.519844911479</v>
      </c>
      <c r="R12" s="97">
        <v>187.83263857531199</v>
      </c>
      <c r="S12" s="97">
        <v>188.14595399659515</v>
      </c>
      <c r="T12" s="97">
        <v>188.45979204564944</v>
      </c>
      <c r="U12" s="97">
        <v>188.77415359424703</v>
      </c>
      <c r="V12" s="97">
        <v>189.08903951561499</v>
      </c>
      <c r="W12" s="97">
        <v>189.40445068443651</v>
      </c>
      <c r="X12" s="97">
        <v>189.72038797685391</v>
      </c>
      <c r="Y12" s="97">
        <v>190.03685227047109</v>
      </c>
      <c r="Z12" s="97">
        <v>190.35384444435562</v>
      </c>
      <c r="AA12" s="97">
        <v>190.67136537904153</v>
      </c>
      <c r="AB12" s="97">
        <v>190.9894159565317</v>
      </c>
      <c r="AC12" s="97">
        <v>191.3079970603001</v>
      </c>
      <c r="AD12" s="97">
        <v>191.62710957529441</v>
      </c>
    </row>
    <row r="13" spans="1:30" x14ac:dyDescent="0.25">
      <c r="J13" s="97">
        <v>173.98558648106822</v>
      </c>
      <c r="K13" s="97">
        <v>174.27580423948865</v>
      </c>
      <c r="L13" s="97">
        <v>174.56650609747732</v>
      </c>
      <c r="M13" s="97">
        <v>174.85769286253964</v>
      </c>
      <c r="N13" s="97">
        <v>175.14936534352796</v>
      </c>
      <c r="O13" s="97">
        <v>175.4415243506437</v>
      </c>
      <c r="P13" s="97">
        <v>175.73417069543981</v>
      </c>
      <c r="Q13" s="97">
        <v>176.0273051908232</v>
      </c>
      <c r="R13" s="97">
        <v>176.32092865105633</v>
      </c>
      <c r="S13" s="97">
        <v>176.6150418917602</v>
      </c>
      <c r="T13" s="97">
        <v>176.90964572991635</v>
      </c>
      <c r="U13" s="97">
        <v>177.20474098386865</v>
      </c>
      <c r="V13" s="97">
        <v>177.50032847332662</v>
      </c>
      <c r="W13" s="97">
        <v>177.79640901936671</v>
      </c>
      <c r="X13" s="97">
        <v>178.09298344443502</v>
      </c>
      <c r="Y13" s="97">
        <v>178.39005257234967</v>
      </c>
      <c r="Z13" s="97">
        <v>178.68761722830286</v>
      </c>
      <c r="AA13" s="97">
        <v>178.98567823886319</v>
      </c>
      <c r="AB13" s="97">
        <v>179.2842364319782</v>
      </c>
      <c r="AC13" s="97">
        <v>179.58329263697635</v>
      </c>
      <c r="AD13" s="97">
        <v>179.8828476845695</v>
      </c>
    </row>
    <row r="14" spans="1:30" x14ac:dyDescent="0.25">
      <c r="I14" s="97">
        <v>163.05054415783917</v>
      </c>
      <c r="J14" s="97">
        <v>163.32252164972104</v>
      </c>
      <c r="K14" s="97">
        <v>163.59495281537917</v>
      </c>
      <c r="L14" s="97">
        <v>163.86783841156696</v>
      </c>
      <c r="M14" s="97">
        <v>164.14117919630019</v>
      </c>
      <c r="N14" s="97">
        <v>164.41497592885898</v>
      </c>
      <c r="O14" s="97">
        <v>164.68922936978993</v>
      </c>
      <c r="P14" s="97">
        <v>164.96394028090828</v>
      </c>
      <c r="Q14" s="97">
        <v>165.23910942530026</v>
      </c>
      <c r="R14" s="97">
        <v>165.5147375673246</v>
      </c>
      <c r="S14" s="97">
        <v>165.79082547261527</v>
      </c>
      <c r="T14" s="97">
        <v>166.06737390808343</v>
      </c>
      <c r="U14" s="97">
        <v>166.34438364191905</v>
      </c>
      <c r="V14" s="97">
        <v>166.62185544359406</v>
      </c>
      <c r="W14" s="97">
        <v>166.89979008386356</v>
      </c>
      <c r="X14" s="97">
        <v>167.17818833476835</v>
      </c>
      <c r="Y14" s="97">
        <v>167.45705096963715</v>
      </c>
      <c r="Z14" s="97">
        <v>167.73637876308857</v>
      </c>
      <c r="AA14" s="97">
        <v>168.01617249103322</v>
      </c>
      <c r="AB14" s="97">
        <v>168.29643293067622</v>
      </c>
      <c r="AC14" s="97">
        <v>168.57716086051889</v>
      </c>
      <c r="AD14" s="97">
        <v>168.85835706036121</v>
      </c>
    </row>
    <row r="15" spans="1:30" x14ac:dyDescent="0.25">
      <c r="H15" s="97">
        <v>152.80277227481881</v>
      </c>
      <c r="I15" s="97">
        <v>153.0576559059686</v>
      </c>
      <c r="J15" s="97">
        <v>153.31296469737214</v>
      </c>
      <c r="K15" s="97">
        <v>153.56869935822061</v>
      </c>
      <c r="L15" s="97">
        <v>153.82486059888825</v>
      </c>
      <c r="M15" s="97">
        <v>154.08144913093426</v>
      </c>
      <c r="N15" s="97">
        <v>154.33846566710477</v>
      </c>
      <c r="O15" s="97">
        <v>154.59591092133465</v>
      </c>
      <c r="P15" s="97">
        <v>154.85378560874977</v>
      </c>
      <c r="Q15" s="97">
        <v>155.11209044566903</v>
      </c>
      <c r="R15" s="97">
        <v>155.37082614960588</v>
      </c>
      <c r="S15" s="97">
        <v>155.62999343927081</v>
      </c>
      <c r="T15" s="97">
        <v>155.88959303457324</v>
      </c>
      <c r="U15" s="97">
        <v>156.1496256566231</v>
      </c>
      <c r="V15" s="97">
        <v>156.41009202773358</v>
      </c>
      <c r="W15" s="97">
        <v>156.6709928714225</v>
      </c>
      <c r="X15" s="97">
        <v>156.93232891241456</v>
      </c>
      <c r="Y15" s="97">
        <v>157.1941008766434</v>
      </c>
      <c r="Z15" s="97">
        <v>157.45630949125356</v>
      </c>
      <c r="AA15" s="97">
        <v>157.71895548460239</v>
      </c>
      <c r="AB15" s="97">
        <v>157.98203958626235</v>
      </c>
      <c r="AC15" s="97">
        <v>158.24556252702274</v>
      </c>
      <c r="AD15" s="97">
        <v>158.50952503889187</v>
      </c>
    </row>
    <row r="16" spans="1:30" x14ac:dyDescent="0.25">
      <c r="G16" s="97">
        <v>143.19907569439152</v>
      </c>
      <c r="H16" s="97">
        <v>143.43793981869311</v>
      </c>
      <c r="I16" s="97">
        <v>143.67720238180866</v>
      </c>
      <c r="J16" s="97">
        <v>143.91686404835656</v>
      </c>
      <c r="K16" s="97">
        <v>144.15692548406378</v>
      </c>
      <c r="L16" s="97">
        <v>144.39738735576782</v>
      </c>
      <c r="M16" s="97">
        <v>144.63825033141848</v>
      </c>
      <c r="N16" s="97">
        <v>144.87951508007976</v>
      </c>
      <c r="O16" s="97">
        <v>145.12118227193162</v>
      </c>
      <c r="P16" s="97">
        <v>145.36325257827193</v>
      </c>
      <c r="Q16" s="97">
        <v>145.60572667151851</v>
      </c>
      <c r="R16" s="97">
        <v>145.84860522521055</v>
      </c>
      <c r="S16" s="97">
        <v>146.09188891401087</v>
      </c>
      <c r="T16" s="97">
        <v>146.33557841370774</v>
      </c>
      <c r="U16" s="97">
        <v>146.57967440121644</v>
      </c>
      <c r="V16" s="97">
        <v>146.82417755458164</v>
      </c>
      <c r="W16" s="97">
        <v>147.06908855297891</v>
      </c>
      <c r="X16" s="97">
        <v>147.31440807671672</v>
      </c>
      <c r="Y16" s="97">
        <v>147.56013680723834</v>
      </c>
      <c r="Z16" s="97">
        <v>147.80627542712381</v>
      </c>
      <c r="AA16" s="97">
        <v>148.05282462009154</v>
      </c>
      <c r="AB16" s="97">
        <v>148.29978507100068</v>
      </c>
      <c r="AC16" s="97">
        <v>148.54715746585259</v>
      </c>
      <c r="AD16" s="97">
        <v>148.79494249179297</v>
      </c>
    </row>
    <row r="17" spans="1:30" x14ac:dyDescent="0.25">
      <c r="F17" s="97">
        <v>134.1989741053105</v>
      </c>
      <c r="G17" s="97">
        <v>134.42282555320847</v>
      </c>
      <c r="H17" s="97">
        <v>134.64705039793051</v>
      </c>
      <c r="I17" s="97">
        <v>134.87164926232356</v>
      </c>
      <c r="J17" s="97">
        <v>135.09662277027351</v>
      </c>
      <c r="K17" s="97">
        <v>135.32197154670692</v>
      </c>
      <c r="L17" s="97">
        <v>135.54769621759274</v>
      </c>
      <c r="M17" s="97">
        <v>135.77379740994411</v>
      </c>
      <c r="N17" s="97">
        <v>136.00027575182006</v>
      </c>
      <c r="O17" s="97">
        <v>136.22713187232716</v>
      </c>
      <c r="P17" s="97">
        <v>136.45436640162148</v>
      </c>
      <c r="Q17" s="97">
        <v>136.68197997091028</v>
      </c>
      <c r="R17" s="97">
        <v>136.90997321245354</v>
      </c>
      <c r="S17" s="97">
        <v>137.13834675956593</v>
      </c>
      <c r="T17" s="97">
        <v>137.36710124661869</v>
      </c>
      <c r="U17" s="97">
        <v>137.59623730904096</v>
      </c>
      <c r="V17" s="97">
        <v>137.82575558332204</v>
      </c>
      <c r="W17" s="97">
        <v>138.05565670701279</v>
      </c>
      <c r="X17" s="97">
        <v>138.28594131872759</v>
      </c>
      <c r="Y17" s="97">
        <v>138.51661005814609</v>
      </c>
      <c r="Z17" s="97">
        <v>138.74766356601498</v>
      </c>
      <c r="AA17" s="97">
        <v>138.97910248414959</v>
      </c>
      <c r="AB17" s="97">
        <v>139.21092745543606</v>
      </c>
      <c r="AC17" s="97">
        <v>139.44313912383274</v>
      </c>
      <c r="AD17" s="97">
        <v>139.67573813437221</v>
      </c>
    </row>
    <row r="18" spans="1:30" x14ac:dyDescent="0.25">
      <c r="E18" s="97">
        <v>125.76453139510838</v>
      </c>
      <c r="F18" s="97">
        <v>125.97431371747479</v>
      </c>
      <c r="G18" s="97">
        <v>126.18444596857142</v>
      </c>
      <c r="H18" s="97">
        <v>126.39492873209913</v>
      </c>
      <c r="I18" s="97">
        <v>126.60576259273232</v>
      </c>
      <c r="J18" s="97">
        <v>126.81694813612081</v>
      </c>
      <c r="K18" s="97">
        <v>127.02848594889123</v>
      </c>
      <c r="L18" s="97">
        <v>127.24037661864874</v>
      </c>
      <c r="M18" s="97">
        <v>127.45262073397868</v>
      </c>
      <c r="N18" s="97">
        <v>127.66521888444817</v>
      </c>
      <c r="O18" s="97">
        <v>127.87817166060775</v>
      </c>
      <c r="P18" s="97">
        <v>128.09147965399302</v>
      </c>
      <c r="Q18" s="97">
        <v>128.30514345712641</v>
      </c>
      <c r="R18" s="97">
        <v>128.51916366351855</v>
      </c>
      <c r="S18" s="97">
        <v>128.73354086767017</v>
      </c>
      <c r="T18" s="97">
        <v>128.94827566507368</v>
      </c>
      <c r="U18" s="97">
        <v>129.1633686522147</v>
      </c>
      <c r="V18" s="97">
        <v>129.37882042657392</v>
      </c>
      <c r="W18" s="97">
        <v>129.59463158662862</v>
      </c>
      <c r="X18" s="97">
        <v>129.81080273185441</v>
      </c>
      <c r="Y18" s="97">
        <v>130.02733446272677</v>
      </c>
      <c r="Z18" s="97">
        <v>130.24422738072298</v>
      </c>
      <c r="AA18" s="97">
        <v>130.46148208832338</v>
      </c>
      <c r="AB18" s="97">
        <v>130.6790991890135</v>
      </c>
      <c r="AC18" s="97">
        <v>130.89707928728538</v>
      </c>
      <c r="AD18" s="97">
        <v>131.11542298863947</v>
      </c>
    </row>
    <row r="19" spans="1:30" x14ac:dyDescent="0.25">
      <c r="D19" s="97">
        <v>117.86019574649863</v>
      </c>
      <c r="E19" s="97">
        <v>118.05679319177186</v>
      </c>
      <c r="F19" s="97">
        <v>118.25371857265762</v>
      </c>
      <c r="G19" s="97">
        <v>118.45097243617101</v>
      </c>
      <c r="H19" s="97">
        <v>118.64855533023959</v>
      </c>
      <c r="I19" s="97">
        <v>118.84646780370477</v>
      </c>
      <c r="J19" s="97">
        <v>119.04471040632363</v>
      </c>
      <c r="K19" s="97">
        <v>119.24328368877016</v>
      </c>
      <c r="L19" s="97">
        <v>119.44218820263694</v>
      </c>
      <c r="M19" s="97">
        <v>119.64142450043666</v>
      </c>
      <c r="N19" s="97">
        <v>119.84099313560358</v>
      </c>
      <c r="O19" s="97">
        <v>120.04089466249516</v>
      </c>
      <c r="P19" s="97">
        <v>120.24112963639351</v>
      </c>
      <c r="Q19" s="97">
        <v>120.44169861350709</v>
      </c>
      <c r="R19" s="97">
        <v>120.64260215097204</v>
      </c>
      <c r="S19" s="97">
        <v>120.84384080685385</v>
      </c>
      <c r="T19" s="97">
        <v>121.04541514014898</v>
      </c>
      <c r="U19" s="97">
        <v>121.24732571078617</v>
      </c>
      <c r="V19" s="97">
        <v>121.44957307962834</v>
      </c>
      <c r="W19" s="97">
        <v>121.65215780847379</v>
      </c>
      <c r="X19" s="97">
        <v>121.85508046005806</v>
      </c>
      <c r="Y19" s="97">
        <v>122.05834159805528</v>
      </c>
      <c r="Z19" s="97">
        <v>122.26194178707989</v>
      </c>
      <c r="AA19" s="97">
        <v>122.46588159268806</v>
      </c>
      <c r="AB19" s="97">
        <v>122.6701615813794</v>
      </c>
      <c r="AC19" s="97">
        <v>122.87478232059846</v>
      </c>
      <c r="AD19" s="97">
        <v>123.07974437873632</v>
      </c>
    </row>
    <row r="20" spans="1:30" x14ac:dyDescent="0.25">
      <c r="C20" s="97">
        <v>110.45264978376304</v>
      </c>
      <c r="D20" s="97">
        <v>110.63689102512198</v>
      </c>
      <c r="E20" s="97">
        <v>110.82143959124939</v>
      </c>
      <c r="F20" s="97">
        <v>111.00629599478023</v>
      </c>
      <c r="G20" s="97">
        <v>111.19146074920467</v>
      </c>
      <c r="H20" s="97">
        <v>111.37693436886936</v>
      </c>
      <c r="I20" s="97">
        <v>111.56271736897888</v>
      </c>
      <c r="J20" s="97">
        <v>111.7488102655973</v>
      </c>
      <c r="K20" s="97">
        <v>111.93521357564941</v>
      </c>
      <c r="L20" s="97">
        <v>112.12192781692232</v>
      </c>
      <c r="M20" s="97">
        <v>112.30895350806682</v>
      </c>
      <c r="N20" s="97">
        <v>112.49629116859884</v>
      </c>
      <c r="O20" s="97">
        <v>112.68394131890089</v>
      </c>
      <c r="P20" s="97">
        <v>112.87190448022348</v>
      </c>
      <c r="Q20" s="97">
        <v>113.06018117468666</v>
      </c>
      <c r="R20" s="97">
        <v>113.24877192528137</v>
      </c>
      <c r="S20" s="97">
        <v>113.4376772558709</v>
      </c>
      <c r="T20" s="97">
        <v>113.62689769119243</v>
      </c>
      <c r="U20" s="97">
        <v>113.81643375685836</v>
      </c>
      <c r="V20" s="97">
        <v>114.00628597935794</v>
      </c>
      <c r="W20" s="97">
        <v>114.19645488605852</v>
      </c>
      <c r="X20" s="97">
        <v>114.38694100520723</v>
      </c>
      <c r="Y20" s="97">
        <v>114.57774486593227</v>
      </c>
      <c r="Z20" s="97">
        <v>114.76886699824452</v>
      </c>
      <c r="AA20" s="97">
        <v>114.96030793303888</v>
      </c>
      <c r="AB20" s="97">
        <v>115.15206820209586</v>
      </c>
      <c r="AC20" s="97">
        <v>115.344148338083</v>
      </c>
      <c r="AD20" s="97">
        <v>115.53654887455637</v>
      </c>
    </row>
    <row r="21" spans="1:30" x14ac:dyDescent="0.25">
      <c r="B21" s="97">
        <v>103.51067013747969</v>
      </c>
      <c r="C21" s="97">
        <v>103.68333176576442</v>
      </c>
      <c r="D21" s="97">
        <v>103.85628140337072</v>
      </c>
      <c r="E21" s="97">
        <v>104.02951953071437</v>
      </c>
      <c r="F21" s="97">
        <v>104.20304662901249</v>
      </c>
      <c r="G21" s="97">
        <v>104.37686318028491</v>
      </c>
      <c r="H21" s="97">
        <v>104.55096966735552</v>
      </c>
      <c r="I21" s="97">
        <v>104.72536657385352</v>
      </c>
      <c r="J21" s="97">
        <v>104.90005438421491</v>
      </c>
      <c r="K21" s="97">
        <v>105.07503358368371</v>
      </c>
      <c r="L21" s="97">
        <v>105.25030465831335</v>
      </c>
      <c r="M21" s="97">
        <v>105.42586809496807</v>
      </c>
      <c r="N21" s="97">
        <v>105.60172438132416</v>
      </c>
      <c r="O21" s="97">
        <v>105.77787400587145</v>
      </c>
      <c r="P21" s="97">
        <v>105.95431745791453</v>
      </c>
      <c r="Q21" s="97">
        <v>106.13105522757424</v>
      </c>
      <c r="R21" s="97">
        <v>106.30808780578894</v>
      </c>
      <c r="S21" s="97">
        <v>106.4854156843159</v>
      </c>
      <c r="T21" s="97">
        <v>106.66303935573268</v>
      </c>
      <c r="U21" s="97">
        <v>106.84095931343846</v>
      </c>
      <c r="V21" s="97">
        <v>107.01917605165551</v>
      </c>
      <c r="W21" s="97">
        <v>107.19769006543038</v>
      </c>
      <c r="X21" s="97">
        <v>107.37650185063548</v>
      </c>
      <c r="Y21" s="97">
        <v>107.55561190397032</v>
      </c>
      <c r="Z21" s="97">
        <v>107.73502072296293</v>
      </c>
      <c r="AA21" s="97">
        <v>107.91472880597128</v>
      </c>
      <c r="AB21" s="97">
        <v>108.09473665218458</v>
      </c>
      <c r="AC21" s="97">
        <v>108.27504476162476</v>
      </c>
      <c r="AD21" s="97">
        <v>108.45565363514778</v>
      </c>
    </row>
    <row r="22" spans="1:30" x14ac:dyDescent="0.25">
      <c r="A22" s="97">
        <v>100</v>
      </c>
      <c r="B22" s="97">
        <v>97.166805632748208</v>
      </c>
      <c r="C22" s="97">
        <v>97.328885337705131</v>
      </c>
      <c r="D22" s="97">
        <v>97.491235400739455</v>
      </c>
      <c r="E22" s="97">
        <v>97.653856272823703</v>
      </c>
      <c r="F22" s="97">
        <v>97.816748405682603</v>
      </c>
      <c r="G22" s="97">
        <v>97.979912251794417</v>
      </c>
      <c r="H22" s="97">
        <v>98.143348264392159</v>
      </c>
      <c r="I22" s="97">
        <v>98.307056897464847</v>
      </c>
      <c r="J22" s="97">
        <v>98.471038605758793</v>
      </c>
      <c r="K22" s="97">
        <v>98.635293844778857</v>
      </c>
      <c r="L22" s="97">
        <v>98.799823070789685</v>
      </c>
      <c r="M22" s="97">
        <v>98.964626740817025</v>
      </c>
      <c r="N22" s="97">
        <v>99.129705312648937</v>
      </c>
      <c r="O22" s="97">
        <v>99.295059244837134</v>
      </c>
      <c r="P22" s="97">
        <v>99.460688996698181</v>
      </c>
      <c r="Q22" s="97">
        <v>99.626595028314838</v>
      </c>
      <c r="R22" s="97">
        <v>99.792777800537309</v>
      </c>
      <c r="S22" s="97">
        <v>99.959237774984501</v>
      </c>
      <c r="T22" s="97">
        <v>100.12597541404534</v>
      </c>
      <c r="U22" s="97">
        <v>100.29299118088005</v>
      </c>
      <c r="V22" s="97">
        <v>100.46028553942142</v>
      </c>
      <c r="W22" s="97">
        <v>100.62785895437611</v>
      </c>
      <c r="X22" s="97">
        <v>100.79571189122592</v>
      </c>
      <c r="Y22" s="97">
        <v>100.96384481622914</v>
      </c>
      <c r="Z22" s="97">
        <v>101.13225819642176</v>
      </c>
      <c r="AA22" s="97">
        <v>101.30095249961884</v>
      </c>
      <c r="AB22" s="97">
        <v>101.46992819441579</v>
      </c>
      <c r="AC22" s="97">
        <v>101.63918575018963</v>
      </c>
      <c r="AD22" s="97">
        <v>101.80872563710035</v>
      </c>
    </row>
    <row r="23" spans="1:30" x14ac:dyDescent="0.25">
      <c r="B23" s="97">
        <v>91.211737923563888</v>
      </c>
      <c r="C23" s="97">
        <v>91.363884240147925</v>
      </c>
      <c r="D23" s="97">
        <v>91.516284345358031</v>
      </c>
      <c r="E23" s="97">
        <v>91.66893866252795</v>
      </c>
      <c r="F23" s="97">
        <v>91.821847615697536</v>
      </c>
      <c r="G23" s="97">
        <v>91.975011629614002</v>
      </c>
      <c r="H23" s="97">
        <v>92.128431129733002</v>
      </c>
      <c r="I23" s="97">
        <v>92.28210654221995</v>
      </c>
      <c r="J23" s="97">
        <v>92.436038293951057</v>
      </c>
      <c r="K23" s="97">
        <v>92.590226812514658</v>
      </c>
      <c r="L23" s="97">
        <v>92.74467252621227</v>
      </c>
      <c r="M23" s="97">
        <v>92.899375864059863</v>
      </c>
      <c r="N23" s="97">
        <v>93.054337255789036</v>
      </c>
      <c r="O23" s="97">
        <v>93.209557131848214</v>
      </c>
      <c r="P23" s="97">
        <v>93.365035923403781</v>
      </c>
      <c r="Q23" s="97">
        <v>93.520774062341388</v>
      </c>
      <c r="R23" s="97">
        <v>93.676771981267095</v>
      </c>
      <c r="S23" s="97">
        <v>93.833030113508542</v>
      </c>
      <c r="T23" s="97">
        <v>93.989548893116194</v>
      </c>
      <c r="U23" s="97">
        <v>94.146328754864527</v>
      </c>
      <c r="V23" s="97">
        <v>94.303370134253285</v>
      </c>
      <c r="W23" s="97">
        <v>94.460673467508613</v>
      </c>
      <c r="X23" s="97">
        <v>94.618239191584308</v>
      </c>
      <c r="Y23" s="97">
        <v>94.776067744163043</v>
      </c>
      <c r="Z23" s="97">
        <v>94.934159563657545</v>
      </c>
      <c r="AA23" s="97">
        <v>95.092515089211901</v>
      </c>
      <c r="AB23" s="97">
        <v>95.251134760702627</v>
      </c>
      <c r="AC23" s="97">
        <v>95.410019018740059</v>
      </c>
      <c r="AD23" s="97">
        <v>95.569168304669461</v>
      </c>
    </row>
    <row r="24" spans="1:30" x14ac:dyDescent="0.25">
      <c r="C24" s="97">
        <v>85.76446051430726</v>
      </c>
      <c r="D24" s="97">
        <v>85.907520465341221</v>
      </c>
      <c r="E24" s="97">
        <v>86.050819048431734</v>
      </c>
      <c r="F24" s="97">
        <v>86.194356661630465</v>
      </c>
      <c r="G24" s="97">
        <v>86.338133703653156</v>
      </c>
      <c r="H24" s="97">
        <v>86.482150573880517</v>
      </c>
      <c r="I24" s="97">
        <v>86.626407672359534</v>
      </c>
      <c r="J24" s="97">
        <v>86.770905399804434</v>
      </c>
      <c r="K24" s="97">
        <v>86.915644157597924</v>
      </c>
      <c r="L24" s="97">
        <v>87.060624347792185</v>
      </c>
      <c r="M24" s="97">
        <v>87.205846373110049</v>
      </c>
      <c r="N24" s="97">
        <v>87.351310636946138</v>
      </c>
      <c r="O24" s="97">
        <v>87.49701754336796</v>
      </c>
      <c r="P24" s="97">
        <v>87.64296749711697</v>
      </c>
      <c r="Q24" s="97">
        <v>87.789160903609826</v>
      </c>
      <c r="R24" s="97">
        <v>87.935598168939435</v>
      </c>
      <c r="S24" s="97">
        <v>88.082279699876054</v>
      </c>
      <c r="T24" s="97">
        <v>88.229205903868476</v>
      </c>
      <c r="U24" s="97">
        <v>88.37637718904513</v>
      </c>
      <c r="V24" s="97">
        <v>88.523793964215258</v>
      </c>
      <c r="W24" s="97">
        <v>88.671456638869984</v>
      </c>
      <c r="X24" s="97">
        <v>88.819365623183501</v>
      </c>
      <c r="Y24" s="97">
        <v>88.9675213280142</v>
      </c>
      <c r="Z24" s="97">
        <v>89.115924164905778</v>
      </c>
      <c r="AA24" s="97">
        <v>89.264574546088468</v>
      </c>
      <c r="AB24" s="97">
        <v>89.413472884480043</v>
      </c>
      <c r="AC24" s="97">
        <v>89.562619593687145</v>
      </c>
      <c r="AD24" s="97">
        <v>89.712015088006268</v>
      </c>
    </row>
    <row r="25" spans="1:30" x14ac:dyDescent="0.25">
      <c r="D25" s="97">
        <v>80.642501225819942</v>
      </c>
      <c r="E25" s="97">
        <v>80.777017460253646</v>
      </c>
      <c r="F25" s="97">
        <v>80.911758075343343</v>
      </c>
      <c r="G25" s="97">
        <v>81.046723445368627</v>
      </c>
      <c r="H25" s="97">
        <v>81.181913945233347</v>
      </c>
      <c r="I25" s="97">
        <v>81.317329950466799</v>
      </c>
      <c r="J25" s="97">
        <v>81.452971837224609</v>
      </c>
      <c r="K25" s="97">
        <v>81.588839982289898</v>
      </c>
      <c r="L25" s="97">
        <v>81.724934763074288</v>
      </c>
      <c r="M25" s="97">
        <v>81.861256557618887</v>
      </c>
      <c r="N25" s="97">
        <v>81.997805744595439</v>
      </c>
      <c r="O25" s="97">
        <v>82.134582703307373</v>
      </c>
      <c r="P25" s="97">
        <v>82.271587813690715</v>
      </c>
      <c r="Q25" s="97">
        <v>82.408821456315323</v>
      </c>
      <c r="R25" s="97">
        <v>82.546284012385868</v>
      </c>
      <c r="S25" s="97">
        <v>82.683975863742859</v>
      </c>
      <c r="T25" s="97">
        <v>82.821897392863747</v>
      </c>
      <c r="U25" s="97">
        <v>82.960048982863967</v>
      </c>
      <c r="V25" s="97">
        <v>83.098431017498058</v>
      </c>
      <c r="W25" s="97">
        <v>83.237043881160631</v>
      </c>
      <c r="X25" s="97">
        <v>83.375887958887503</v>
      </c>
      <c r="Y25" s="97">
        <v>83.514963636356768</v>
      </c>
      <c r="Z25" s="97">
        <v>83.654271299889814</v>
      </c>
      <c r="AA25" s="97">
        <v>83.793811336452507</v>
      </c>
      <c r="AB25" s="97">
        <v>83.933584133656083</v>
      </c>
      <c r="AC25" s="97">
        <v>84.073590079758475</v>
      </c>
      <c r="AD25" s="97">
        <v>84.213829563665158</v>
      </c>
    </row>
    <row r="26" spans="1:30" x14ac:dyDescent="0.25">
      <c r="E26" s="97">
        <v>75.826431658967905</v>
      </c>
      <c r="F26" s="97">
        <v>75.952914418087033</v>
      </c>
      <c r="G26" s="97">
        <v>76.079608157572835</v>
      </c>
      <c r="H26" s="97">
        <v>76.20651322935241</v>
      </c>
      <c r="I26" s="97">
        <v>76.333629985939979</v>
      </c>
      <c r="J26" s="97">
        <v>76.460958780437693</v>
      </c>
      <c r="K26" s="97">
        <v>76.58849996653673</v>
      </c>
      <c r="L26" s="97">
        <v>76.716253898518289</v>
      </c>
      <c r="M26" s="97">
        <v>76.844220931254426</v>
      </c>
      <c r="N26" s="97">
        <v>76.972401420209209</v>
      </c>
      <c r="O26" s="97">
        <v>77.100795721439695</v>
      </c>
      <c r="P26" s="97">
        <v>77.229404191596743</v>
      </c>
      <c r="Q26" s="97">
        <v>77.35822718792619</v>
      </c>
      <c r="R26" s="97">
        <v>77.487265068269807</v>
      </c>
      <c r="S26" s="97">
        <v>77.616518191066206</v>
      </c>
      <c r="T26" s="97">
        <v>77.745986915351935</v>
      </c>
      <c r="U26" s="97">
        <v>77.875671600762416</v>
      </c>
      <c r="V26" s="97">
        <v>78.005572607532983</v>
      </c>
      <c r="W26" s="97">
        <v>78.135690296499845</v>
      </c>
      <c r="X26" s="97">
        <v>78.266025029101101</v>
      </c>
      <c r="Y26" s="97">
        <v>78.396577167377771</v>
      </c>
      <c r="Z26" s="97">
        <v>78.527347073974738</v>
      </c>
      <c r="AA26" s="97">
        <v>78.65833511214187</v>
      </c>
      <c r="AB26" s="97">
        <v>78.789541645734857</v>
      </c>
      <c r="AC26" s="97">
        <v>78.920967039216436</v>
      </c>
      <c r="AD26" s="97">
        <v>79.052611657657209</v>
      </c>
    </row>
    <row r="27" spans="1:30" x14ac:dyDescent="0.25">
      <c r="F27" s="97">
        <v>71.297983702559321</v>
      </c>
      <c r="G27" s="97">
        <v>71.416912755411104</v>
      </c>
      <c r="H27" s="97">
        <v>71.536040188621982</v>
      </c>
      <c r="I27" s="97">
        <v>71.655366333101625</v>
      </c>
      <c r="J27" s="97">
        <v>71.774891520311598</v>
      </c>
      <c r="K27" s="97">
        <v>71.894616082266367</v>
      </c>
      <c r="L27" s="97">
        <v>72.014540351534308</v>
      </c>
      <c r="M27" s="97">
        <v>72.134664661238389</v>
      </c>
      <c r="N27" s="97">
        <v>72.254989345057339</v>
      </c>
      <c r="O27" s="97">
        <v>72.375514737226524</v>
      </c>
      <c r="P27" s="97">
        <v>72.496241172538731</v>
      </c>
      <c r="Q27" s="97">
        <v>72.617168986345234</v>
      </c>
      <c r="R27" s="97">
        <v>72.738298514556746</v>
      </c>
      <c r="S27" s="97">
        <v>72.859630093644213</v>
      </c>
      <c r="T27" s="97">
        <v>72.981164060639927</v>
      </c>
      <c r="U27" s="97">
        <v>73.102900753138272</v>
      </c>
      <c r="V27" s="97">
        <v>73.22484050929684</v>
      </c>
      <c r="W27" s="97">
        <v>73.346983667837236</v>
      </c>
      <c r="X27" s="97">
        <v>73.46933056804609</v>
      </c>
      <c r="Y27" s="97">
        <v>73.591881549776005</v>
      </c>
      <c r="Z27" s="97">
        <v>73.714636953446401</v>
      </c>
      <c r="AA27" s="97">
        <v>73.837597120044649</v>
      </c>
      <c r="AB27" s="97">
        <v>73.960762391126792</v>
      </c>
      <c r="AC27" s="97">
        <v>74.084133108818705</v>
      </c>
      <c r="AD27" s="97">
        <v>74.207709615816896</v>
      </c>
    </row>
    <row r="28" spans="1:30" x14ac:dyDescent="0.25">
      <c r="G28" s="97">
        <v>67.039980239518599</v>
      </c>
      <c r="H28" s="97">
        <v>67.151806702751387</v>
      </c>
      <c r="I28" s="97">
        <v>67.263819698823767</v>
      </c>
      <c r="J28" s="97">
        <v>67.376019538883</v>
      </c>
      <c r="K28" s="97">
        <v>67.488406534595356</v>
      </c>
      <c r="L28" s="97">
        <v>67.600980998147094</v>
      </c>
      <c r="M28" s="97">
        <v>67.713743242245044</v>
      </c>
      <c r="N28" s="97">
        <v>67.826693580117748</v>
      </c>
      <c r="O28" s="97">
        <v>67.939832325516264</v>
      </c>
      <c r="P28" s="97">
        <v>68.053159792714908</v>
      </c>
      <c r="Q28" s="97">
        <v>68.166676296512279</v>
      </c>
      <c r="R28" s="97">
        <v>68.280382152232107</v>
      </c>
      <c r="S28" s="97">
        <v>68.394277675724013</v>
      </c>
      <c r="T28" s="97">
        <v>68.50836318336458</v>
      </c>
      <c r="U28" s="97">
        <v>68.622638992058015</v>
      </c>
      <c r="V28" s="97">
        <v>68.737105419237238</v>
      </c>
      <c r="W28" s="97">
        <v>68.851762782864597</v>
      </c>
      <c r="X28" s="97">
        <v>68.966611401432843</v>
      </c>
      <c r="Y28" s="97">
        <v>69.081651593966015</v>
      </c>
      <c r="Z28" s="97">
        <v>69.196883680020221</v>
      </c>
      <c r="AA28" s="97">
        <v>69.312307979684732</v>
      </c>
      <c r="AB28" s="97">
        <v>69.427924813582607</v>
      </c>
      <c r="AC28" s="97">
        <v>69.543734502871843</v>
      </c>
      <c r="AD28" s="97">
        <v>69.659737369246102</v>
      </c>
    </row>
    <row r="29" spans="1:30" x14ac:dyDescent="0.25">
      <c r="H29" s="97">
        <v>63.036269991373018</v>
      </c>
      <c r="I29" s="97">
        <v>63.141418040392999</v>
      </c>
      <c r="J29" s="97">
        <v>63.246741482281465</v>
      </c>
      <c r="K29" s="97">
        <v>63.352240609603577</v>
      </c>
      <c r="L29" s="97">
        <v>63.457915715412611</v>
      </c>
      <c r="M29" s="97">
        <v>63.563767093250526</v>
      </c>
      <c r="N29" s="97">
        <v>63.669795037149001</v>
      </c>
      <c r="O29" s="97">
        <v>63.775999841630217</v>
      </c>
      <c r="P29" s="97">
        <v>63.882381801707538</v>
      </c>
      <c r="Q29" s="97">
        <v>63.988941212886488</v>
      </c>
      <c r="R29" s="97">
        <v>64.095678371165533</v>
      </c>
      <c r="S29" s="97">
        <v>64.202593573036793</v>
      </c>
      <c r="T29" s="97">
        <v>64.309687115487066</v>
      </c>
      <c r="U29" s="97">
        <v>64.416959295998424</v>
      </c>
      <c r="V29" s="97">
        <v>64.524410412549273</v>
      </c>
      <c r="W29" s="97">
        <v>64.632040763614981</v>
      </c>
      <c r="X29" s="97">
        <v>64.739850648168797</v>
      </c>
      <c r="Y29" s="97">
        <v>64.847840365682742</v>
      </c>
      <c r="Z29" s="97">
        <v>64.956010216128234</v>
      </c>
      <c r="AA29" s="97">
        <v>65.064360499977255</v>
      </c>
      <c r="AB29" s="97">
        <v>65.172891518202789</v>
      </c>
      <c r="AC29" s="97">
        <v>65.281603572280019</v>
      </c>
      <c r="AD29" s="97">
        <v>65.390496964186951</v>
      </c>
    </row>
    <row r="30" spans="1:30" x14ac:dyDescent="0.25">
      <c r="I30" s="97">
        <v>59.271666253907128</v>
      </c>
      <c r="J30" s="97">
        <v>59.370534731842362</v>
      </c>
      <c r="K30" s="97">
        <v>59.469568127967776</v>
      </c>
      <c r="L30" s="97">
        <v>59.568766717376278</v>
      </c>
      <c r="M30" s="97">
        <v>59.668130775619503</v>
      </c>
      <c r="N30" s="97">
        <v>59.767660578708785</v>
      </c>
      <c r="O30" s="97">
        <v>59.867356403115913</v>
      </c>
      <c r="P30" s="97">
        <v>59.967218525773745</v>
      </c>
      <c r="Q30" s="97">
        <v>60.06724722407715</v>
      </c>
      <c r="R30" s="97">
        <v>60.167442775883714</v>
      </c>
      <c r="S30" s="97">
        <v>60.267805459514427</v>
      </c>
      <c r="T30" s="97">
        <v>60.368335553754633</v>
      </c>
      <c r="U30" s="97">
        <v>60.469033337854611</v>
      </c>
      <c r="V30" s="97">
        <v>60.569899091530552</v>
      </c>
      <c r="W30" s="97">
        <v>60.670933094965136</v>
      </c>
      <c r="X30" s="97">
        <v>60.772135628808421</v>
      </c>
      <c r="Y30" s="97">
        <v>60.873506974178675</v>
      </c>
      <c r="Z30" s="97">
        <v>60.975047412662946</v>
      </c>
      <c r="AA30" s="97">
        <v>61.076757226318179</v>
      </c>
      <c r="AB30" s="97">
        <v>61.1786366976716</v>
      </c>
      <c r="AC30" s="97">
        <v>61.280686109721863</v>
      </c>
      <c r="AD30" s="97">
        <v>61.382905745939645</v>
      </c>
    </row>
    <row r="31" spans="1:30" x14ac:dyDescent="0.25">
      <c r="J31" s="97">
        <v>55.731889291599124</v>
      </c>
      <c r="K31" s="97">
        <v>55.824853222174475</v>
      </c>
      <c r="L31" s="97">
        <v>55.917972221822502</v>
      </c>
      <c r="M31" s="97">
        <v>56.01124654920708</v>
      </c>
      <c r="N31" s="97">
        <v>56.10467646342363</v>
      </c>
      <c r="O31" s="97">
        <v>56.198262223999784</v>
      </c>
      <c r="P31" s="97">
        <v>56.292004090896015</v>
      </c>
      <c r="Q31" s="97">
        <v>56.385902324506468</v>
      </c>
      <c r="R31" s="97">
        <v>56.479957185659664</v>
      </c>
      <c r="S31" s="97">
        <v>56.574168935619106</v>
      </c>
      <c r="T31" s="97">
        <v>56.668537836084205</v>
      </c>
      <c r="U31" s="97">
        <v>56.763064149190825</v>
      </c>
      <c r="V31" s="97">
        <v>56.857748137512161</v>
      </c>
      <c r="W31" s="97">
        <v>56.952590064059322</v>
      </c>
      <c r="X31" s="97">
        <v>57.047590192282158</v>
      </c>
      <c r="Y31" s="97">
        <v>57.142748786070015</v>
      </c>
      <c r="Z31" s="97">
        <v>57.23806610975231</v>
      </c>
      <c r="AA31" s="97">
        <v>57.333542428099541</v>
      </c>
      <c r="AB31" s="97">
        <v>57.429178006323667</v>
      </c>
      <c r="AC31" s="97">
        <v>57.524973110079195</v>
      </c>
      <c r="AD31" s="97">
        <v>57.620928005463718</v>
      </c>
    </row>
    <row r="32" spans="1:30" x14ac:dyDescent="0.25">
      <c r="K32" s="97">
        <v>52.403512172332633</v>
      </c>
      <c r="L32" s="97">
        <v>52.490924182393989</v>
      </c>
      <c r="M32" s="97">
        <v>52.578482000611814</v>
      </c>
      <c r="N32" s="97">
        <v>52.666185870202327</v>
      </c>
      <c r="O32" s="97">
        <v>52.754036034787468</v>
      </c>
      <c r="P32" s="97">
        <v>52.842032738395503</v>
      </c>
      <c r="Q32" s="97">
        <v>52.930176225461793</v>
      </c>
      <c r="R32" s="97">
        <v>53.018466740829432</v>
      </c>
      <c r="S32" s="97">
        <v>53.106904529749855</v>
      </c>
      <c r="T32" s="97">
        <v>53.195489837883692</v>
      </c>
      <c r="U32" s="97">
        <v>53.284222911301264</v>
      </c>
      <c r="V32" s="97">
        <v>53.37310399648343</v>
      </c>
      <c r="W32" s="97">
        <v>53.462133340322126</v>
      </c>
      <c r="X32" s="97">
        <v>53.551311190121133</v>
      </c>
      <c r="Y32" s="97">
        <v>53.640637793596788</v>
      </c>
      <c r="Z32" s="97">
        <v>53.730113398878544</v>
      </c>
      <c r="AA32" s="97">
        <v>53.819738254509893</v>
      </c>
      <c r="AB32" s="97">
        <v>53.909512609448733</v>
      </c>
      <c r="AC32" s="97">
        <v>53.999436713068384</v>
      </c>
      <c r="AD32" s="97">
        <v>54.089510815158107</v>
      </c>
    </row>
    <row r="33" spans="12:30" x14ac:dyDescent="0.25">
      <c r="L33" s="97">
        <v>49.27390983692635</v>
      </c>
      <c r="M33" s="97">
        <v>49.356101494009621</v>
      </c>
      <c r="N33" s="97">
        <v>49.438430251406537</v>
      </c>
      <c r="O33" s="97">
        <v>49.520896337808182</v>
      </c>
      <c r="P33" s="97">
        <v>49.60349998228704</v>
      </c>
      <c r="Q33" s="97">
        <v>49.68624141429774</v>
      </c>
      <c r="R33" s="97">
        <v>49.769120863677678</v>
      </c>
      <c r="S33" s="97">
        <v>49.852138560647539</v>
      </c>
      <c r="T33" s="97">
        <v>49.935294735812143</v>
      </c>
      <c r="U33" s="97">
        <v>50.018589620160881</v>
      </c>
      <c r="V33" s="97">
        <v>50.102023445068525</v>
      </c>
      <c r="W33" s="97">
        <v>50.185596442295726</v>
      </c>
      <c r="X33" s="97">
        <v>50.269308843989755</v>
      </c>
      <c r="Y33" s="97">
        <v>50.353160882685131</v>
      </c>
      <c r="Z33" s="97">
        <v>50.437152791304193</v>
      </c>
      <c r="AA33" s="97">
        <v>50.521284803157926</v>
      </c>
      <c r="AB33" s="97">
        <v>50.605557151946336</v>
      </c>
      <c r="AC33" s="97">
        <v>50.689970071759383</v>
      </c>
      <c r="AD33" s="97">
        <v>50.774523797077478</v>
      </c>
    </row>
    <row r="34" spans="12:30" x14ac:dyDescent="0.25">
      <c r="N34" s="97">
        <v>46.408494280313057</v>
      </c>
      <c r="O34" s="97">
        <v>46.485906262846257</v>
      </c>
      <c r="P34" s="97">
        <v>46.563447372926731</v>
      </c>
      <c r="Q34" s="97">
        <v>46.641117825946509</v>
      </c>
      <c r="R34" s="97">
        <v>46.718917837656932</v>
      </c>
      <c r="S34" s="97">
        <v>46.796847624169132</v>
      </c>
      <c r="T34" s="97">
        <v>46.874907401954843</v>
      </c>
      <c r="U34" s="97">
        <v>46.953097387846796</v>
      </c>
      <c r="V34" s="97">
        <v>47.031417799039481</v>
      </c>
      <c r="W34" s="97">
        <v>47.109868853089623</v>
      </c>
      <c r="X34" s="97">
        <v>47.188450767916869</v>
      </c>
      <c r="Y34" s="97">
        <v>47.267163761804376</v>
      </c>
      <c r="Z34" s="97">
        <v>47.346008053399359</v>
      </c>
      <c r="AA34" s="97">
        <v>47.424983861713869</v>
      </c>
      <c r="AB34" s="97">
        <v>47.504091406125113</v>
      </c>
      <c r="AC34" s="97">
        <v>47.583330906376375</v>
      </c>
      <c r="AD34" s="97">
        <v>47.662702582577452</v>
      </c>
    </row>
    <row r="35" spans="12:30" x14ac:dyDescent="0.25">
      <c r="P35" s="97">
        <v>43.709710645933164</v>
      </c>
      <c r="Q35" s="97">
        <v>43.782620905348509</v>
      </c>
      <c r="R35" s="97">
        <v>43.855652783183437</v>
      </c>
      <c r="S35" s="97">
        <v>43.928806482304267</v>
      </c>
      <c r="T35" s="97">
        <v>44.002082205915812</v>
      </c>
      <c r="U35" s="97">
        <v>44.075480157561763</v>
      </c>
      <c r="V35" s="97">
        <v>44.149000541125403</v>
      </c>
      <c r="W35" s="97">
        <v>44.222643560830036</v>
      </c>
      <c r="X35" s="97">
        <v>44.296409421239659</v>
      </c>
      <c r="Y35" s="97">
        <v>44.370298327259505</v>
      </c>
      <c r="Z35" s="97">
        <v>44.44431048413653</v>
      </c>
      <c r="AA35" s="97">
        <v>44.518446097460192</v>
      </c>
      <c r="AB35" s="97">
        <v>44.592705373162708</v>
      </c>
      <c r="AC35" s="97">
        <v>44.667088517519943</v>
      </c>
      <c r="AD35" s="97">
        <v>44.741595737151819</v>
      </c>
    </row>
    <row r="36" spans="12:30" x14ac:dyDescent="0.25">
      <c r="R36" s="97">
        <v>41.167868821843506</v>
      </c>
      <c r="S36" s="97">
        <v>41.236539145920723</v>
      </c>
      <c r="T36" s="97">
        <v>41.305324015966534</v>
      </c>
      <c r="U36" s="97">
        <v>41.374223623050057</v>
      </c>
      <c r="V36" s="97">
        <v>41.443238158559147</v>
      </c>
      <c r="W36" s="97">
        <v>41.512367814200879</v>
      </c>
      <c r="X36" s="97">
        <v>41.581612782002118</v>
      </c>
      <c r="Y36" s="97">
        <v>41.650973254310053</v>
      </c>
      <c r="Z36" s="97">
        <v>41.720449423792665</v>
      </c>
      <c r="AA36" s="97">
        <v>41.790041483439438</v>
      </c>
      <c r="AB36" s="97">
        <v>41.859749626561609</v>
      </c>
      <c r="AC36" s="97">
        <v>41.929574046793</v>
      </c>
      <c r="AD36" s="97">
        <v>41.9995149380904</v>
      </c>
    </row>
    <row r="37" spans="12:30" x14ac:dyDescent="0.25">
      <c r="T37" s="97">
        <v>38.773842203190171</v>
      </c>
      <c r="U37" s="97">
        <v>38.838519156017988</v>
      </c>
      <c r="V37" s="97">
        <v>38.903303993646219</v>
      </c>
      <c r="W37" s="97">
        <v>38.968196896032779</v>
      </c>
      <c r="X37" s="97">
        <v>39.033198043435775</v>
      </c>
      <c r="Y37" s="97">
        <v>39.098307616413997</v>
      </c>
      <c r="Z37" s="97">
        <v>39.163525795827368</v>
      </c>
      <c r="AA37" s="97">
        <v>39.228852762837626</v>
      </c>
      <c r="AB37" s="97">
        <v>39.294288698908524</v>
      </c>
      <c r="AC37" s="97">
        <v>39.359833785806636</v>
      </c>
      <c r="AD37" s="97">
        <v>39.42548820560171</v>
      </c>
    </row>
    <row r="38" spans="12:30" x14ac:dyDescent="0.25">
      <c r="W38" s="97">
        <v>36.57995072997285</v>
      </c>
      <c r="X38" s="97">
        <v>36.640968148246962</v>
      </c>
      <c r="Y38" s="97">
        <v>36.702087347011727</v>
      </c>
      <c r="Z38" s="97">
        <v>36.763308496042683</v>
      </c>
      <c r="AA38" s="97">
        <v>36.824631765398699</v>
      </c>
      <c r="AB38" s="97">
        <v>36.886057325422151</v>
      </c>
      <c r="AC38" s="97">
        <v>36.947585346739679</v>
      </c>
      <c r="AD38" s="97">
        <v>37.009216000262512</v>
      </c>
    </row>
    <row r="39" spans="12:30" x14ac:dyDescent="0.25">
      <c r="Y39" s="97">
        <v>34.452724369639242</v>
      </c>
      <c r="Z39" s="97">
        <v>34.510193454522991</v>
      </c>
      <c r="AA39" s="97">
        <v>34.567758401077455</v>
      </c>
      <c r="AB39" s="97">
        <v>34.625419369205225</v>
      </c>
      <c r="AC39" s="97">
        <v>34.683176519075744</v>
      </c>
      <c r="AD39" s="97">
        <v>34.741030011125581</v>
      </c>
    </row>
    <row r="40" spans="12:30" x14ac:dyDescent="0.25">
      <c r="AB40" s="97">
        <v>32.503329263847014</v>
      </c>
      <c r="AC40" s="97">
        <v>32.557546647889808</v>
      </c>
      <c r="AD40" s="97">
        <v>32.611854469583122</v>
      </c>
    </row>
  </sheetData>
  <mergeCells count="1">
    <mergeCell ref="A1:C3"/>
  </mergeCells>
  <conditionalFormatting sqref="A4:XFD1048576 D1:XFD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/>
  <dimension ref="A1:AD41"/>
  <sheetViews>
    <sheetView tabSelected="1" zoomScale="70" zoomScaleNormal="70" workbookViewId="0">
      <selection activeCell="A4" sqref="A4"/>
    </sheetView>
  </sheetViews>
  <sheetFormatPr baseColWidth="10" defaultRowHeight="15" x14ac:dyDescent="0.25"/>
  <cols>
    <col min="1" max="16384" width="11.42578125" style="97"/>
  </cols>
  <sheetData>
    <row r="1" spans="1:30" x14ac:dyDescent="0.25">
      <c r="A1" s="96" t="s">
        <v>64</v>
      </c>
      <c r="B1" s="96"/>
      <c r="C1" s="96"/>
    </row>
    <row r="2" spans="1:30" x14ac:dyDescent="0.25">
      <c r="A2" s="96"/>
      <c r="B2" s="96"/>
      <c r="C2" s="96"/>
    </row>
    <row r="3" spans="1:30" x14ac:dyDescent="0.25">
      <c r="A3" s="96"/>
      <c r="B3" s="96"/>
      <c r="C3" s="96"/>
    </row>
    <row r="5" spans="1:30" x14ac:dyDescent="0.25">
      <c r="AD5" s="97">
        <v>2.4986578312599935E-9</v>
      </c>
    </row>
    <row r="6" spans="1:30" x14ac:dyDescent="0.25">
      <c r="AA6" s="97">
        <v>2.9413781594349704E-9</v>
      </c>
      <c r="AB6" s="97">
        <v>7.6528477743355537E-9</v>
      </c>
      <c r="AC6" s="97">
        <v>1.547618613678598E-8</v>
      </c>
      <c r="AD6" s="97">
        <v>2.3104947077618427E-8</v>
      </c>
    </row>
    <row r="7" spans="1:30" x14ac:dyDescent="0.25">
      <c r="X7" s="97">
        <v>3.0424423983673895E-9</v>
      </c>
      <c r="Y7" s="97">
        <v>8.4534610674151498E-9</v>
      </c>
      <c r="Z7" s="97">
        <v>1.8218307174590014E-8</v>
      </c>
      <c r="AA7" s="97">
        <v>2.9181899108307853E-8</v>
      </c>
      <c r="AB7" s="97">
        <v>4.8456190837172976E-8</v>
      </c>
      <c r="AC7" s="97">
        <v>7.9213804842860398E-8</v>
      </c>
      <c r="AD7" s="97">
        <v>1.2842283024701241E-7</v>
      </c>
    </row>
    <row r="8" spans="1:30" x14ac:dyDescent="0.25">
      <c r="U8" s="97">
        <v>2.5062459725188362E-9</v>
      </c>
      <c r="V8" s="97">
        <v>7.8776546679676428E-9</v>
      </c>
      <c r="W8" s="97">
        <v>1.8844278827820085E-8</v>
      </c>
      <c r="X8" s="97">
        <v>3.3514765833132336E-8</v>
      </c>
      <c r="Y8" s="97">
        <v>6.0481500932632242E-8</v>
      </c>
      <c r="Z8" s="97">
        <v>1.0553235081008315E-7</v>
      </c>
      <c r="AA8" s="97">
        <v>1.7965013990143321E-7</v>
      </c>
      <c r="AB8" s="97">
        <v>2.905825089991905E-7</v>
      </c>
      <c r="AC8" s="97">
        <v>4.5190359719477574E-7</v>
      </c>
      <c r="AD8" s="97">
        <v>6.7966388392687754E-7</v>
      </c>
    </row>
    <row r="9" spans="1:30" x14ac:dyDescent="0.25">
      <c r="S9" s="97">
        <v>4.7978263553135306E-9</v>
      </c>
      <c r="T9" s="97">
        <v>1.5523185563870169E-8</v>
      </c>
      <c r="U9" s="97">
        <v>3.3269429590361979E-8</v>
      </c>
      <c r="V9" s="97">
        <v>6.792507348011787E-8</v>
      </c>
      <c r="W9" s="97">
        <v>1.297849283981594E-7</v>
      </c>
      <c r="X9" s="97">
        <v>2.3624421272826184E-7</v>
      </c>
      <c r="Y9" s="97">
        <v>4.0394768246896437E-7</v>
      </c>
      <c r="Z9" s="97">
        <v>6.5761772813045895E-7</v>
      </c>
      <c r="AA9" s="97">
        <v>1.0270350851291861E-6</v>
      </c>
      <c r="AB9" s="97">
        <v>1.5477073735454185E-6</v>
      </c>
      <c r="AC9" s="97">
        <v>2.2596273034868593E-6</v>
      </c>
      <c r="AD9" s="97">
        <v>3.2077511223948516E-6</v>
      </c>
    </row>
    <row r="10" spans="1:30" x14ac:dyDescent="0.25">
      <c r="P10" s="97">
        <v>2.3135314129972065E-9</v>
      </c>
      <c r="Q10" s="97">
        <v>9.7203792269486167E-9</v>
      </c>
      <c r="R10" s="97">
        <v>2.9716775461552099E-8</v>
      </c>
      <c r="S10" s="97">
        <v>6.64307266960965E-8</v>
      </c>
      <c r="T10" s="97">
        <v>1.4197653595978996E-7</v>
      </c>
      <c r="U10" s="97">
        <v>2.8336108362656369E-7</v>
      </c>
      <c r="V10" s="97">
        <v>5.2343241689954899E-7</v>
      </c>
      <c r="W10" s="97">
        <v>9.0735619841682663E-7</v>
      </c>
      <c r="X10" s="97">
        <v>1.4909312405568526E-6</v>
      </c>
      <c r="Y10" s="97">
        <v>2.3410196725829373E-6</v>
      </c>
      <c r="Z10" s="97">
        <v>3.533844988633327E-6</v>
      </c>
      <c r="AA10" s="97">
        <v>5.1546842970251891E-6</v>
      </c>
      <c r="AB10" s="97">
        <v>7.2963973508252736E-6</v>
      </c>
      <c r="AC10" s="97">
        <v>1.0057863413250317E-5</v>
      </c>
      <c r="AD10" s="97">
        <v>1.3542075608914246E-5</v>
      </c>
    </row>
    <row r="11" spans="1:30" x14ac:dyDescent="0.25">
      <c r="N11" s="97">
        <v>2.7580020312145724E-9</v>
      </c>
      <c r="O11" s="97">
        <v>1.4329550182062875E-8</v>
      </c>
      <c r="P11" s="97">
        <v>4.5876531800976511E-8</v>
      </c>
      <c r="Q11" s="97">
        <v>1.2385367308799166E-7</v>
      </c>
      <c r="R11" s="97">
        <v>2.8877257171701119E-7</v>
      </c>
      <c r="S11" s="97">
        <v>6.0511421981384096E-7</v>
      </c>
      <c r="T11" s="97">
        <v>1.1523933918307534E-6</v>
      </c>
      <c r="U11" s="97">
        <v>2.0367345727046534E-6</v>
      </c>
      <c r="V11" s="97">
        <v>3.3866261068516594E-6</v>
      </c>
      <c r="W11" s="97">
        <v>5.350240769926433E-6</v>
      </c>
      <c r="X11" s="97">
        <v>8.0928122460555251E-6</v>
      </c>
      <c r="Y11" s="97">
        <v>1.1792681068318985E-5</v>
      </c>
      <c r="Z11" s="97">
        <v>1.6637010531554893E-5</v>
      </c>
      <c r="AA11" s="97">
        <v>2.2817162768742812E-5</v>
      </c>
      <c r="AB11" s="97">
        <v>3.0524377734672413E-5</v>
      </c>
      <c r="AC11" s="97">
        <v>3.9945746287543466E-5</v>
      </c>
      <c r="AD11" s="97">
        <v>5.1260649615920112E-5</v>
      </c>
    </row>
    <row r="12" spans="1:30" x14ac:dyDescent="0.25">
      <c r="L12" s="97">
        <v>2.0648241463620907E-9</v>
      </c>
      <c r="M12" s="97">
        <v>1.7082512165816061E-8</v>
      </c>
      <c r="N12" s="97">
        <v>7.1671851516774891E-8</v>
      </c>
      <c r="O12" s="97">
        <v>2.2499033908249843E-7</v>
      </c>
      <c r="P12" s="97">
        <v>5.777230632555976E-7</v>
      </c>
      <c r="Q12" s="97">
        <v>1.27726817893399E-6</v>
      </c>
      <c r="R12" s="97">
        <v>2.5240985108607443E-6</v>
      </c>
      <c r="S12" s="97">
        <v>4.5687050659359952E-6</v>
      </c>
      <c r="T12" s="97">
        <v>7.7062108842987173E-6</v>
      </c>
      <c r="U12" s="97">
        <v>1.2265540782868613E-5</v>
      </c>
      <c r="V12" s="97">
        <v>1.859898902888446E-5</v>
      </c>
      <c r="W12" s="97">
        <v>2.7070132529659813E-5</v>
      </c>
      <c r="X12" s="97">
        <v>3.8041965865045493E-5</v>
      </c>
      <c r="Y12" s="97">
        <v>5.1866232636857763E-5</v>
      </c>
      <c r="Z12" s="97">
        <v>6.8874285784282298E-5</v>
      </c>
      <c r="AA12" s="97">
        <v>8.9369741838407141E-5</v>
      </c>
      <c r="AB12" s="97">
        <v>1.1362294536770319E-4</v>
      </c>
      <c r="AC12" s="97">
        <v>1.4186720586901257E-4</v>
      </c>
      <c r="AD12" s="97">
        <v>1.7429663259537891E-4</v>
      </c>
    </row>
    <row r="13" spans="1:30" x14ac:dyDescent="0.25">
      <c r="K13" s="97">
        <v>1.2789107187483305E-8</v>
      </c>
      <c r="L13" s="97">
        <v>9.3016551616432387E-8</v>
      </c>
      <c r="M13" s="97">
        <v>3.7339574802210923E-7</v>
      </c>
      <c r="N13" s="97">
        <v>1.0976470459491228E-6</v>
      </c>
      <c r="O13" s="97">
        <v>2.6341606749020524E-6</v>
      </c>
      <c r="P13" s="97">
        <v>5.4771353303298224E-6</v>
      </c>
      <c r="Q13" s="97">
        <v>1.0228604604674156E-5</v>
      </c>
      <c r="R13" s="97">
        <v>1.7569248762922019E-5</v>
      </c>
      <c r="S13" s="97">
        <v>2.8224154995818144E-5</v>
      </c>
      <c r="T13" s="97">
        <v>4.2927492761191257E-5</v>
      </c>
      <c r="U13" s="97">
        <v>6.2390279177882557E-5</v>
      </c>
      <c r="V13" s="97">
        <v>8.7273108777541949E-5</v>
      </c>
      <c r="W13" s="97">
        <v>1.1816541916886278E-4</v>
      </c>
      <c r="X13" s="97">
        <v>1.5557119101394936E-4</v>
      </c>
      <c r="Y13" s="97">
        <v>1.9990059651066078E-4</v>
      </c>
      <c r="Z13" s="97">
        <v>2.5146679839634816E-4</v>
      </c>
      <c r="AA13" s="97">
        <v>3.1048691663703771E-4</v>
      </c>
      <c r="AB13" s="97">
        <v>3.7708617721233015E-4</v>
      </c>
      <c r="AC13" s="97">
        <v>4.513043273397899E-4</v>
      </c>
      <c r="AD13" s="97">
        <v>5.3310353239110998E-4</v>
      </c>
    </row>
    <row r="14" spans="1:30" x14ac:dyDescent="0.25">
      <c r="J14" s="97">
        <v>7.921316831803199E-8</v>
      </c>
      <c r="K14" s="97">
        <v>5.2332591621246924E-7</v>
      </c>
      <c r="L14" s="97">
        <v>1.9287185881577382E-6</v>
      </c>
      <c r="M14" s="97">
        <v>5.2388395771786753E-6</v>
      </c>
      <c r="N14" s="97">
        <v>1.1707464172050636E-5</v>
      </c>
      <c r="O14" s="97">
        <v>2.2809437448780444E-5</v>
      </c>
      <c r="P14" s="97">
        <v>4.0126071333680453E-5</v>
      </c>
      <c r="Q14" s="97">
        <v>6.5230839010598177E-5</v>
      </c>
      <c r="R14" s="97">
        <v>9.9591027760034521E-5</v>
      </c>
      <c r="S14" s="97">
        <v>1.4449356032150405E-4</v>
      </c>
      <c r="T14" s="97">
        <v>2.0099691625487492E-4</v>
      </c>
      <c r="U14" s="97">
        <v>2.699068437671443E-4</v>
      </c>
      <c r="V14" s="97">
        <v>3.5177163435472496E-4</v>
      </c>
      <c r="W14" s="97">
        <v>4.4689202919907204E-4</v>
      </c>
      <c r="X14" s="97">
        <v>5.5534116896102854E-4</v>
      </c>
      <c r="Y14" s="97">
        <v>6.769906119758137E-4</v>
      </c>
      <c r="Z14" s="97">
        <v>8.1153927348128429E-4</v>
      </c>
      <c r="AA14" s="97">
        <v>9.5854295671076947E-4</v>
      </c>
      <c r="AB14" s="97">
        <v>1.1174428561646465E-3</v>
      </c>
      <c r="AC14" s="97">
        <v>1.2875919929973018E-3</v>
      </c>
      <c r="AD14" s="97">
        <v>1.4682789880412002E-3</v>
      </c>
    </row>
    <row r="15" spans="1:30" x14ac:dyDescent="0.25">
      <c r="I15" s="97">
        <v>4.9063049851692695E-7</v>
      </c>
      <c r="J15" s="97">
        <v>2.9143434436803266E-6</v>
      </c>
      <c r="K15" s="97">
        <v>9.7719155687389627E-6</v>
      </c>
      <c r="L15" s="97">
        <v>2.4386497062530066E-5</v>
      </c>
      <c r="M15" s="97">
        <v>5.0487305514693154E-5</v>
      </c>
      <c r="N15" s="97">
        <v>9.1773377998976253E-5</v>
      </c>
      <c r="O15" s="97">
        <v>1.5155768744169444E-4</v>
      </c>
      <c r="P15" s="97">
        <v>2.3253108327409941E-4</v>
      </c>
      <c r="Q15" s="97">
        <v>3.3664420778365664E-4</v>
      </c>
      <c r="R15" s="97">
        <v>4.6508516973294093E-4</v>
      </c>
      <c r="S15" s="97">
        <v>6.1832447745142709E-4</v>
      </c>
      <c r="T15" s="97">
        <v>7.9620072690707224E-4</v>
      </c>
      <c r="U15" s="97">
        <v>9.9802594693791636E-4</v>
      </c>
      <c r="V15" s="97">
        <v>1.2226955168524864E-3</v>
      </c>
      <c r="W15" s="97">
        <v>1.4687929208426244E-3</v>
      </c>
      <c r="X15" s="97">
        <v>1.7346837701675854E-3</v>
      </c>
      <c r="Y15" s="97">
        <v>2.0185965273022827E-3</v>
      </c>
      <c r="Z15" s="97">
        <v>2.3186893496610953E-3</v>
      </c>
      <c r="AA15" s="97">
        <v>2.633103683903174E-3</v>
      </c>
      <c r="AB15" s="97">
        <v>2.9600059056891716E-3</v>
      </c>
      <c r="AC15" s="97">
        <v>3.2976185921749618E-3</v>
      </c>
      <c r="AD15" s="97">
        <v>3.6442430719849607E-3</v>
      </c>
    </row>
    <row r="16" spans="1:30" x14ac:dyDescent="0.25">
      <c r="H16" s="97">
        <v>3.0388670367093987E-6</v>
      </c>
      <c r="I16" s="97">
        <v>1.6025285996825726E-5</v>
      </c>
      <c r="J16" s="97">
        <v>4.8409003017542044E-5</v>
      </c>
      <c r="K16" s="97">
        <v>1.1014412130574219E-4</v>
      </c>
      <c r="L16" s="97">
        <v>2.0997368746048379E-4</v>
      </c>
      <c r="M16" s="97">
        <v>3.5440763458910365E-4</v>
      </c>
      <c r="N16" s="97">
        <v>5.4735870475844481E-4</v>
      </c>
      <c r="O16" s="97">
        <v>7.9024469883681411E-4</v>
      </c>
      <c r="P16" s="97">
        <v>1.082353748891929E-3</v>
      </c>
      <c r="Q16" s="97">
        <v>1.4213153111578643E-3</v>
      </c>
      <c r="R16" s="97">
        <v>1.8035754154126509E-3</v>
      </c>
      <c r="S16" s="97">
        <v>2.2248209145929124E-3</v>
      </c>
      <c r="T16" s="97">
        <v>2.680329425503219E-3</v>
      </c>
      <c r="U16" s="97">
        <v>3.1652410913440812E-3</v>
      </c>
      <c r="V16" s="97">
        <v>3.6747586473754239E-3</v>
      </c>
      <c r="W16" s="97">
        <v>4.2042867425462205E-3</v>
      </c>
      <c r="X16" s="97">
        <v>4.7495225047670267E-3</v>
      </c>
      <c r="Y16" s="97">
        <v>5.3065085700995723E-3</v>
      </c>
      <c r="Z16" s="97">
        <v>5.8716582414642766E-3</v>
      </c>
      <c r="AA16" s="97">
        <v>6.4417606731215788E-3</v>
      </c>
      <c r="AB16" s="97">
        <v>7.0139722918247174E-3</v>
      </c>
      <c r="AC16" s="97">
        <v>7.5857991966842182E-3</v>
      </c>
      <c r="AD16" s="97">
        <v>8.1550740664624571E-3</v>
      </c>
    </row>
    <row r="17" spans="1:30" x14ac:dyDescent="0.25">
      <c r="G17" s="97">
        <v>1.8822133753840608E-5</v>
      </c>
      <c r="H17" s="97">
        <v>8.6711414733097586E-5</v>
      </c>
      <c r="I17" s="97">
        <v>2.3315243108632908E-4</v>
      </c>
      <c r="J17" s="97">
        <v>4.7924889317162698E-4</v>
      </c>
      <c r="K17" s="97">
        <v>8.3539380431113107E-4</v>
      </c>
      <c r="L17" s="97">
        <v>1.3022725061510338E-3</v>
      </c>
      <c r="M17" s="97">
        <v>1.8732707146622322E-3</v>
      </c>
      <c r="N17" s="97">
        <v>2.5370756633018906E-3</v>
      </c>
      <c r="O17" s="97">
        <v>3.2798955061568288E-3</v>
      </c>
      <c r="P17" s="97">
        <v>4.0871199940965778E-3</v>
      </c>
      <c r="Q17" s="97">
        <v>4.944445367580875E-3</v>
      </c>
      <c r="R17" s="97">
        <v>5.8385637853913082E-3</v>
      </c>
      <c r="S17" s="97">
        <v>6.7575314012732262E-3</v>
      </c>
      <c r="T17" s="97">
        <v>7.6909155899007545E-3</v>
      </c>
      <c r="U17" s="97">
        <v>8.6297999158118296E-3</v>
      </c>
      <c r="V17" s="97">
        <v>9.5667039963738213E-3</v>
      </c>
      <c r="W17" s="97">
        <v>1.0495457660355778E-2</v>
      </c>
      <c r="X17" s="97">
        <v>1.1411055339613278E-2</v>
      </c>
      <c r="Y17" s="97">
        <v>1.2309506970989615E-2</v>
      </c>
      <c r="Z17" s="97">
        <v>1.3187695032081118E-2</v>
      </c>
      <c r="AA17" s="97">
        <v>1.4043242908011191E-2</v>
      </c>
      <c r="AB17" s="97">
        <v>1.4874396939235091E-2</v>
      </c>
      <c r="AC17" s="97">
        <v>1.5679922738056833E-2</v>
      </c>
      <c r="AD17" s="97">
        <v>1.6459015324960122E-2</v>
      </c>
    </row>
    <row r="18" spans="1:30" x14ac:dyDescent="0.25">
      <c r="F18" s="97">
        <v>1.1658052648169248E-4</v>
      </c>
      <c r="G18" s="97">
        <v>4.5936574282111993E-4</v>
      </c>
      <c r="H18" s="97">
        <v>1.082873132339404E-3</v>
      </c>
      <c r="I18" s="97">
        <v>1.9887276524894046E-3</v>
      </c>
      <c r="J18" s="97">
        <v>3.1441078723620191E-3</v>
      </c>
      <c r="K18" s="97">
        <v>4.4997470384579834E-3</v>
      </c>
      <c r="L18" s="97">
        <v>6.0025342935193966E-3</v>
      </c>
      <c r="M18" s="97">
        <v>7.6027728177427535E-3</v>
      </c>
      <c r="N18" s="97">
        <v>9.2575753659294262E-3</v>
      </c>
      <c r="O18" s="97">
        <v>1.0931878406391182E-2</v>
      </c>
      <c r="P18" s="97">
        <v>1.2598164240978173E-2</v>
      </c>
      <c r="Q18" s="97">
        <v>1.4235585312505095E-2</v>
      </c>
      <c r="R18" s="97">
        <v>1.5828891405818078E-2</v>
      </c>
      <c r="S18" s="97">
        <v>1.7367369979118835E-2</v>
      </c>
      <c r="T18" s="97">
        <v>1.8843896328764063E-2</v>
      </c>
      <c r="U18" s="97">
        <v>2.0254127216717415E-2</v>
      </c>
      <c r="V18" s="97">
        <v>2.159583915299771E-2</v>
      </c>
      <c r="W18" s="97">
        <v>2.2868397646959977E-2</v>
      </c>
      <c r="X18" s="97">
        <v>2.4072338391012464E-2</v>
      </c>
      <c r="Y18" s="97">
        <v>2.5209040830552407E-2</v>
      </c>
      <c r="Z18" s="97">
        <v>2.6280476282345696E-2</v>
      </c>
      <c r="AA18" s="97">
        <v>2.7289015288508297E-2</v>
      </c>
      <c r="AB18" s="97">
        <v>2.8237281527719014E-2</v>
      </c>
      <c r="AC18" s="97">
        <v>2.9128042025363513E-2</v>
      </c>
      <c r="AD18" s="97">
        <v>2.9964125488399211E-2</v>
      </c>
    </row>
    <row r="19" spans="1:30" x14ac:dyDescent="0.25">
      <c r="E19" s="97">
        <v>7.2207643046706574E-4</v>
      </c>
      <c r="F19" s="97">
        <v>2.3639153797409946E-3</v>
      </c>
      <c r="G19" s="97">
        <v>4.790551620693877E-3</v>
      </c>
      <c r="H19" s="97">
        <v>7.7547541059358764E-3</v>
      </c>
      <c r="I19" s="97">
        <v>1.101511522167669E-2</v>
      </c>
      <c r="J19" s="97">
        <v>1.4379508675768442E-2</v>
      </c>
      <c r="K19" s="97">
        <v>1.771130325958295E-2</v>
      </c>
      <c r="L19" s="97">
        <v>2.0921225513796531E-2</v>
      </c>
      <c r="M19" s="97">
        <v>2.3955860434524894E-2</v>
      </c>
      <c r="N19" s="97">
        <v>2.678714336538145E-2</v>
      </c>
      <c r="O19" s="97">
        <v>2.9404087676315121E-2</v>
      </c>
      <c r="P19" s="97">
        <v>3.1806739030671966E-2</v>
      </c>
      <c r="Q19" s="97">
        <v>3.4001947655023998E-2</v>
      </c>
      <c r="R19" s="97">
        <v>3.600049958569701E-2</v>
      </c>
      <c r="S19" s="97">
        <v>3.7815216326145207E-2</v>
      </c>
      <c r="T19" s="97">
        <v>3.945972490414678E-2</v>
      </c>
      <c r="U19" s="97">
        <v>4.0947683150680932E-2</v>
      </c>
      <c r="V19" s="97">
        <v>4.2292309626091873E-2</v>
      </c>
      <c r="W19" s="97">
        <v>4.3506114815466131E-2</v>
      </c>
      <c r="X19" s="97">
        <v>4.460076348876825E-2</v>
      </c>
      <c r="Y19" s="97">
        <v>4.5587021099240094E-2</v>
      </c>
      <c r="Z19" s="97">
        <v>4.6474752766774846E-2</v>
      </c>
      <c r="AA19" s="97">
        <v>4.727295400193246E-2</v>
      </c>
      <c r="AB19" s="97">
        <v>4.7989799471790273E-2</v>
      </c>
      <c r="AC19" s="97">
        <v>4.8632700903882872E-2</v>
      </c>
      <c r="AD19" s="97">
        <v>4.9208368431762434E-2</v>
      </c>
    </row>
    <row r="20" spans="1:30" x14ac:dyDescent="0.25">
      <c r="D20" s="97">
        <v>4.4723967816188018E-3</v>
      </c>
      <c r="E20" s="97">
        <v>1.1660517668818452E-2</v>
      </c>
      <c r="F20" s="97">
        <v>1.9788073944090805E-2</v>
      </c>
      <c r="G20" s="97">
        <v>2.7764190137419032E-2</v>
      </c>
      <c r="H20" s="97">
        <v>3.5056255175626778E-2</v>
      </c>
      <c r="I20" s="97">
        <v>4.1469200303295199E-2</v>
      </c>
      <c r="J20" s="97">
        <v>4.6984919040699416E-2</v>
      </c>
      <c r="K20" s="97">
        <v>5.1667036252914675E-2</v>
      </c>
      <c r="L20" s="97">
        <v>5.5609854971139426E-2</v>
      </c>
      <c r="M20" s="97">
        <v>5.8913014227946252E-2</v>
      </c>
      <c r="N20" s="97">
        <v>6.1670017573270397E-2</v>
      </c>
      <c r="O20" s="97">
        <v>6.3963859036411108E-2</v>
      </c>
      <c r="P20" s="97">
        <v>6.5866093311523016E-2</v>
      </c>
      <c r="Q20" s="97">
        <v>6.7437454369974337E-2</v>
      </c>
      <c r="R20" s="97">
        <v>6.8729071640255601E-2</v>
      </c>
      <c r="S20" s="97">
        <v>6.9783826427359974E-2</v>
      </c>
      <c r="T20" s="97">
        <v>7.0637643126547661E-2</v>
      </c>
      <c r="U20" s="97">
        <v>7.1320635144272421E-2</v>
      </c>
      <c r="V20" s="97">
        <v>7.1858085601604504E-2</v>
      </c>
      <c r="W20" s="97">
        <v>7.2271269983593719E-2</v>
      </c>
      <c r="X20" s="97">
        <v>7.2578138549646024E-2</v>
      </c>
      <c r="Y20" s="97">
        <v>7.2793879073801096E-2</v>
      </c>
      <c r="Z20" s="97">
        <v>7.2931379666813734E-2</v>
      </c>
      <c r="AA20" s="97">
        <v>7.300160920102336E-2</v>
      </c>
      <c r="AB20" s="97">
        <v>7.3013930252316131E-2</v>
      </c>
      <c r="AC20" s="97">
        <v>7.2976356962978481E-2</v>
      </c>
      <c r="AD20" s="97">
        <v>7.2895768002732952E-2</v>
      </c>
    </row>
    <row r="21" spans="1:30" x14ac:dyDescent="0.25">
      <c r="C21" s="97">
        <v>2.7701129864182335E-2</v>
      </c>
      <c r="D21" s="97">
        <v>5.3758570184624148E-2</v>
      </c>
      <c r="E21" s="97">
        <v>7.3653567803354705E-2</v>
      </c>
      <c r="F21" s="97">
        <v>8.7752293925614983E-2</v>
      </c>
      <c r="G21" s="97">
        <v>9.7403330851948841E-2</v>
      </c>
      <c r="H21" s="97">
        <v>0.1038607249883638</v>
      </c>
      <c r="I21" s="97">
        <v>0.10807484071816846</v>
      </c>
      <c r="J21" s="97">
        <v>0.11071918042716324</v>
      </c>
      <c r="K21" s="97">
        <v>0.11226071386743977</v>
      </c>
      <c r="L21" s="97">
        <v>0.1130223560982674</v>
      </c>
      <c r="M21" s="97">
        <v>0.11322879089015885</v>
      </c>
      <c r="N21" s="97">
        <v>0.11303793312630003</v>
      </c>
      <c r="O21" s="97">
        <v>0.1125620403907573</v>
      </c>
      <c r="P21" s="97">
        <v>0.11188182372861633</v>
      </c>
      <c r="Q21" s="97">
        <v>0.11105593022415536</v>
      </c>
      <c r="R21" s="97">
        <v>0.11012737942843639</v>
      </c>
      <c r="S21" s="97">
        <v>0.10912798529866248</v>
      </c>
      <c r="T21" s="97">
        <v>0.10808143325603765</v>
      </c>
      <c r="U21" s="97">
        <v>0.10700544882051459</v>
      </c>
      <c r="V21" s="97">
        <v>0.10591334485463184</v>
      </c>
      <c r="W21" s="97">
        <v>0.10481513831470199</v>
      </c>
      <c r="X21" s="97">
        <v>0.10371836503804861</v>
      </c>
      <c r="Y21" s="97">
        <v>0.10262868019186862</v>
      </c>
      <c r="Z21" s="97">
        <v>0.10155030486562491</v>
      </c>
      <c r="AA21" s="97">
        <v>0.10048636105267522</v>
      </c>
      <c r="AB21" s="97">
        <v>9.9439124866702519E-2</v>
      </c>
      <c r="AC21" s="97">
        <v>9.8410219305732502E-2</v>
      </c>
      <c r="AD21" s="97">
        <v>9.7400761938505984E-2</v>
      </c>
    </row>
    <row r="22" spans="1:30" x14ac:dyDescent="0.25">
      <c r="B22" s="97">
        <v>0.17157524996575202</v>
      </c>
      <c r="C22" s="97">
        <v>0.21860538811191405</v>
      </c>
      <c r="D22" s="97">
        <v>0.22948818897252424</v>
      </c>
      <c r="E22" s="97">
        <v>0.22701873019137467</v>
      </c>
      <c r="F22" s="97">
        <v>0.21993037821171613</v>
      </c>
      <c r="G22" s="97">
        <v>0.21158490498425028</v>
      </c>
      <c r="H22" s="97">
        <v>0.20325871676585294</v>
      </c>
      <c r="I22" s="97">
        <v>0.19540756680822255</v>
      </c>
      <c r="J22" s="97">
        <v>0.18816249862769863</v>
      </c>
      <c r="K22" s="97">
        <v>0.18152791468868298</v>
      </c>
      <c r="L22" s="97">
        <v>0.17546184286313704</v>
      </c>
      <c r="M22" s="97">
        <v>0.16990862251469252</v>
      </c>
      <c r="N22" s="97">
        <v>0.16481199300622684</v>
      </c>
      <c r="O22" s="97">
        <v>0.16011999310353298</v>
      </c>
      <c r="P22" s="97">
        <v>0.15578642825181113</v>
      </c>
      <c r="Q22" s="97">
        <v>0.1517709285883812</v>
      </c>
      <c r="R22" s="97">
        <v>0.14803846910191726</v>
      </c>
      <c r="S22" s="97">
        <v>0.14455872730870406</v>
      </c>
      <c r="T22" s="97">
        <v>0.14130543615830604</v>
      </c>
      <c r="U22" s="97">
        <v>0.1382557933827078</v>
      </c>
      <c r="V22" s="97">
        <v>0.13538994588423042</v>
      </c>
      <c r="W22" s="97">
        <v>0.13269054948487985</v>
      </c>
      <c r="X22" s="97">
        <v>0.13014239716508158</v>
      </c>
      <c r="Y22" s="97">
        <v>0.1277321067263717</v>
      </c>
      <c r="Z22" s="97">
        <v>0.12544785879993192</v>
      </c>
      <c r="AA22" s="97">
        <v>0.12327917698067137</v>
      </c>
      <c r="AB22" s="97">
        <v>0.12121674298879093</v>
      </c>
      <c r="AC22" s="97">
        <v>0.11925224088279834</v>
      </c>
      <c r="AD22" s="97">
        <v>0.1173782253604031</v>
      </c>
    </row>
    <row r="23" spans="1:30" x14ac:dyDescent="0.25">
      <c r="A23" s="97">
        <v>1</v>
      </c>
      <c r="B23" s="97">
        <v>0.64564762787500185</v>
      </c>
      <c r="C23" s="97">
        <v>0.48937936717881397</v>
      </c>
      <c r="D23" s="97">
        <v>0.40139557894568456</v>
      </c>
      <c r="E23" s="97">
        <v>0.34649302503846297</v>
      </c>
      <c r="F23" s="97">
        <v>0.30904796748114816</v>
      </c>
      <c r="G23" s="97">
        <v>0.28165046837224023</v>
      </c>
      <c r="H23" s="97">
        <v>0.2605177933167937</v>
      </c>
      <c r="I23" s="97">
        <v>0.24356760500664157</v>
      </c>
      <c r="J23" s="97">
        <v>0.22956868251133999</v>
      </c>
      <c r="K23" s="97">
        <v>0.21774542579619485</v>
      </c>
      <c r="L23" s="97">
        <v>0.20758236876912872</v>
      </c>
      <c r="M23" s="97">
        <v>0.19872148686691476</v>
      </c>
      <c r="N23" s="97">
        <v>0.19090499039741263</v>
      </c>
      <c r="O23" s="97">
        <v>0.18394169538245111</v>
      </c>
      <c r="P23" s="97">
        <v>0.17768629318132609</v>
      </c>
      <c r="Q23" s="97">
        <v>0.17202603726581187</v>
      </c>
      <c r="R23" s="97">
        <v>0.16687188917237428</v>
      </c>
      <c r="S23" s="97">
        <v>0.16215245172945622</v>
      </c>
      <c r="T23" s="97">
        <v>0.15780970426681365</v>
      </c>
      <c r="U23" s="97">
        <v>0.15379593730472654</v>
      </c>
      <c r="V23" s="97">
        <v>0.15007150617897586</v>
      </c>
      <c r="W23" s="97">
        <v>0.14660315634413085</v>
      </c>
      <c r="X23" s="97">
        <v>0.14336275565540674</v>
      </c>
      <c r="Y23" s="97">
        <v>0.14032632148372082</v>
      </c>
      <c r="Z23" s="97">
        <v>0.13747326479443422</v>
      </c>
      <c r="AA23" s="97">
        <v>0.13478579616255038</v>
      </c>
      <c r="AB23" s="97">
        <v>0.13224845421823583</v>
      </c>
      <c r="AC23" s="97">
        <v>0.12984772774790737</v>
      </c>
      <c r="AD23" s="97">
        <v>0.12757175021508255</v>
      </c>
    </row>
    <row r="24" spans="1:30" x14ac:dyDescent="0.25">
      <c r="B24" s="97">
        <v>0.18277712215924616</v>
      </c>
      <c r="C24" s="97">
        <v>0.23287778240496709</v>
      </c>
      <c r="D24" s="97">
        <v>0.24447110383525522</v>
      </c>
      <c r="E24" s="97">
        <v>0.24184041806096274</v>
      </c>
      <c r="F24" s="97">
        <v>0.23428927897793839</v>
      </c>
      <c r="G24" s="97">
        <v>0.22539894322217693</v>
      </c>
      <c r="H24" s="97">
        <v>0.21652915156271366</v>
      </c>
      <c r="I24" s="97">
        <v>0.2081654126482686</v>
      </c>
      <c r="J24" s="97">
        <v>0.20044732561562784</v>
      </c>
      <c r="K24" s="97">
        <v>0.19337958035900474</v>
      </c>
      <c r="L24" s="97">
        <v>0.18691746445762861</v>
      </c>
      <c r="M24" s="97">
        <v>0.18100168328167732</v>
      </c>
      <c r="N24" s="97">
        <v>0.17557230302749627</v>
      </c>
      <c r="O24" s="97">
        <v>0.17057396999547714</v>
      </c>
      <c r="P24" s="97">
        <v>0.16595747366253816</v>
      </c>
      <c r="Q24" s="97">
        <v>0.16167980848263269</v>
      </c>
      <c r="R24" s="97">
        <v>0.15770366271773611</v>
      </c>
      <c r="S24" s="97">
        <v>0.15399673417793697</v>
      </c>
      <c r="T24" s="97">
        <v>0.15053104087930022</v>
      </c>
      <c r="U24" s="97">
        <v>0.14728229183042132</v>
      </c>
      <c r="V24" s="97">
        <v>0.14422933775679625</v>
      </c>
      <c r="W24" s="97">
        <v>0.14135370210690829</v>
      </c>
      <c r="X24" s="97">
        <v>0.13863918501934766</v>
      </c>
      <c r="Y24" s="97">
        <v>0.13607153059340421</v>
      </c>
      <c r="Z24" s="97">
        <v>0.13363814779270503</v>
      </c>
      <c r="AA24" s="97">
        <v>0.13132787622449626</v>
      </c>
      <c r="AB24" s="97">
        <v>0.12913078923348453</v>
      </c>
      <c r="AC24" s="97">
        <v>0.1270380279437196</v>
      </c>
      <c r="AD24" s="97">
        <v>0.1250416609611113</v>
      </c>
    </row>
    <row r="25" spans="1:30" x14ac:dyDescent="0.25">
      <c r="C25" s="97">
        <v>3.1436332440122547E-2</v>
      </c>
      <c r="D25" s="97">
        <v>6.1007341293134454E-2</v>
      </c>
      <c r="E25" s="97">
        <v>8.35849676247684E-2</v>
      </c>
      <c r="F25" s="97">
        <v>9.9584756930655091E-2</v>
      </c>
      <c r="G25" s="97">
        <v>0.11053713348337862</v>
      </c>
      <c r="H25" s="97">
        <v>0.11786523850165455</v>
      </c>
      <c r="I25" s="97">
        <v>0.12264758289238729</v>
      </c>
      <c r="J25" s="97">
        <v>0.12564848367094716</v>
      </c>
      <c r="K25" s="97">
        <v>0.12739787649117049</v>
      </c>
      <c r="L25" s="97">
        <v>0.12826221807168187</v>
      </c>
      <c r="M25" s="97">
        <v>0.12849648839845595</v>
      </c>
      <c r="N25" s="97">
        <v>0.12827989549619798</v>
      </c>
      <c r="O25" s="97">
        <v>0.12773983368953523</v>
      </c>
      <c r="P25" s="97">
        <v>0.12696789704915246</v>
      </c>
      <c r="Q25" s="97">
        <v>0.12603064059449026</v>
      </c>
      <c r="R25" s="97">
        <v>0.12497688460530042</v>
      </c>
      <c r="S25" s="97">
        <v>0.12384273281234813</v>
      </c>
      <c r="T25" s="97">
        <v>0.12265506436384659</v>
      </c>
      <c r="U25" s="97">
        <v>0.12143399487746281</v>
      </c>
      <c r="V25" s="97">
        <v>0.1201946323135714</v>
      </c>
      <c r="W25" s="97">
        <v>0.11894834430848705</v>
      </c>
      <c r="X25" s="97">
        <v>0.11770368282697047</v>
      </c>
      <c r="Y25" s="97">
        <v>0.11646706557534325</v>
      </c>
      <c r="Z25" s="97">
        <v>0.11524328281206563</v>
      </c>
      <c r="AA25" s="97">
        <v>0.11403587749808029</v>
      </c>
      <c r="AB25" s="97">
        <v>0.11284743265677391</v>
      </c>
      <c r="AC25" s="97">
        <v>0.11167979013017514</v>
      </c>
      <c r="AD25" s="97">
        <v>0.11053421817928373</v>
      </c>
    </row>
    <row r="26" spans="1:30" x14ac:dyDescent="0.25">
      <c r="D26" s="97">
        <v>5.4068199871585764E-3</v>
      </c>
      <c r="E26" s="97">
        <v>1.4096763563445948E-2</v>
      </c>
      <c r="F26" s="97">
        <v>2.3922419886362248E-2</v>
      </c>
      <c r="G26" s="97">
        <v>3.3564995569991318E-2</v>
      </c>
      <c r="H26" s="97">
        <v>4.2380600472999436E-2</v>
      </c>
      <c r="I26" s="97">
        <v>5.0133409891736029E-2</v>
      </c>
      <c r="J26" s="97">
        <v>5.6801534338011932E-2</v>
      </c>
      <c r="K26" s="97">
        <v>6.2461891896008093E-2</v>
      </c>
      <c r="L26" s="97">
        <v>6.7228488441977263E-2</v>
      </c>
      <c r="M26" s="97">
        <v>7.1221780710647539E-2</v>
      </c>
      <c r="N26" s="97">
        <v>7.4554808060411107E-2</v>
      </c>
      <c r="O26" s="97">
        <v>7.7327904562335528E-2</v>
      </c>
      <c r="P26" s="97">
        <v>7.9627574918335414E-2</v>
      </c>
      <c r="Q26" s="97">
        <v>8.1527242321019988E-2</v>
      </c>
      <c r="R26" s="97">
        <v>8.3088718731480021E-2</v>
      </c>
      <c r="S26" s="97">
        <v>8.4363844697024043E-2</v>
      </c>
      <c r="T26" s="97">
        <v>8.5396050339756599E-2</v>
      </c>
      <c r="U26" s="97">
        <v>8.6221740696137125E-2</v>
      </c>
      <c r="V26" s="97">
        <v>8.6871481319959906E-2</v>
      </c>
      <c r="W26" s="97">
        <v>8.7370992808757514E-2</v>
      </c>
      <c r="X26" s="97">
        <v>8.7741975791115423E-2</v>
      </c>
      <c r="Y26" s="97">
        <v>8.8002791240869779E-2</v>
      </c>
      <c r="Z26" s="97">
        <v>8.8169019997140011E-2</v>
      </c>
      <c r="AA26" s="97">
        <v>8.8253922671872542E-2</v>
      </c>
      <c r="AB26" s="97">
        <v>8.8268817975138011E-2</v>
      </c>
      <c r="AC26" s="97">
        <v>8.8223394453564002E-2</v>
      </c>
      <c r="AD26" s="97">
        <v>8.8125967945531E-2</v>
      </c>
    </row>
    <row r="27" spans="1:30" x14ac:dyDescent="0.25">
      <c r="E27" s="97">
        <v>9.2993361834511228E-4</v>
      </c>
      <c r="F27" s="97">
        <v>3.0443929337536065E-3</v>
      </c>
      <c r="G27" s="97">
        <v>6.1695615789852751E-3</v>
      </c>
      <c r="H27" s="97">
        <v>9.9870404860650085E-3</v>
      </c>
      <c r="I27" s="97">
        <v>1.4185930356367589E-2</v>
      </c>
      <c r="J27" s="97">
        <v>1.8518799352350627E-2</v>
      </c>
      <c r="K27" s="97">
        <v>2.2809685555225036E-2</v>
      </c>
      <c r="L27" s="97">
        <v>2.6943617214695421E-2</v>
      </c>
      <c r="M27" s="97">
        <v>3.0851803264149023E-2</v>
      </c>
      <c r="N27" s="97">
        <v>3.4498100344843581E-2</v>
      </c>
      <c r="O27" s="97">
        <v>3.7868359211345577E-2</v>
      </c>
      <c r="P27" s="97">
        <v>4.096263867166465E-2</v>
      </c>
      <c r="Q27" s="97">
        <v>4.3789760861132031E-2</v>
      </c>
      <c r="R27" s="97">
        <v>4.6363616688472581E-2</v>
      </c>
      <c r="S27" s="97">
        <v>4.8700718459855345E-2</v>
      </c>
      <c r="T27" s="97">
        <v>5.0818615884302247E-2</v>
      </c>
      <c r="U27" s="97">
        <v>5.2734898341068072E-2</v>
      </c>
      <c r="V27" s="97">
        <v>5.4466589490142735E-2</v>
      </c>
      <c r="W27" s="97">
        <v>5.6029801089495165E-2</v>
      </c>
      <c r="X27" s="97">
        <v>5.7439555734063757E-2</v>
      </c>
      <c r="Y27" s="97">
        <v>5.8709717824428756E-2</v>
      </c>
      <c r="Z27" s="97">
        <v>5.9852992257545382E-2</v>
      </c>
      <c r="AA27" s="97">
        <v>6.0880963994982898E-2</v>
      </c>
      <c r="AB27" s="97">
        <v>6.1804160866487642E-2</v>
      </c>
      <c r="AC27" s="97">
        <v>6.2632128142225324E-2</v>
      </c>
      <c r="AD27" s="97">
        <v>6.3373507537301574E-2</v>
      </c>
    </row>
    <row r="28" spans="1:30" x14ac:dyDescent="0.25">
      <c r="F28" s="97">
        <v>1.5994180249798157E-4</v>
      </c>
      <c r="G28" s="97">
        <v>6.3022347839705077E-4</v>
      </c>
      <c r="H28" s="97">
        <v>1.4856398910689272E-3</v>
      </c>
      <c r="I28" s="97">
        <v>2.7284203890320211E-3</v>
      </c>
      <c r="J28" s="97">
        <v>4.3135358496827142E-3</v>
      </c>
      <c r="K28" s="97">
        <v>6.1733951101080363E-3</v>
      </c>
      <c r="L28" s="97">
        <v>8.2351331172999444E-3</v>
      </c>
      <c r="M28" s="97">
        <v>1.043056868201383E-2</v>
      </c>
      <c r="N28" s="97">
        <v>1.27008629611958E-2</v>
      </c>
      <c r="O28" s="97">
        <v>1.4997910798436797E-2</v>
      </c>
      <c r="P28" s="97">
        <v>1.7283959488590316E-2</v>
      </c>
      <c r="Q28" s="97">
        <v>1.9530407377717874E-2</v>
      </c>
      <c r="R28" s="97">
        <v>2.1716332044436862E-2</v>
      </c>
      <c r="S28" s="97">
        <v>2.3827036495208904E-2</v>
      </c>
      <c r="T28" s="97">
        <v>2.5852746044867592E-2</v>
      </c>
      <c r="U28" s="97">
        <v>2.7787502019683049E-2</v>
      </c>
      <c r="V28" s="97">
        <v>2.9628253918808325E-2</v>
      </c>
      <c r="W28" s="97">
        <v>3.1374131257423866E-2</v>
      </c>
      <c r="X28" s="97">
        <v>3.302586897482674E-2</v>
      </c>
      <c r="Y28" s="97">
        <v>3.4585359591072264E-2</v>
      </c>
      <c r="Z28" s="97">
        <v>3.6055307639832251E-2</v>
      </c>
      <c r="AA28" s="97">
        <v>3.7438965369074061E-2</v>
      </c>
      <c r="AB28" s="97">
        <v>3.8739932315645778E-2</v>
      </c>
      <c r="AC28" s="97">
        <v>3.9962004679843288E-2</v>
      </c>
      <c r="AD28" s="97">
        <v>4.1109063285522079E-2</v>
      </c>
    </row>
    <row r="29" spans="1:30" x14ac:dyDescent="0.25">
      <c r="G29" s="97">
        <v>2.7508823943610617E-5</v>
      </c>
      <c r="H29" s="97">
        <v>1.2673000165609836E-4</v>
      </c>
      <c r="I29" s="97">
        <v>3.4075569022416595E-4</v>
      </c>
      <c r="J29" s="97">
        <v>7.0042927118941611E-4</v>
      </c>
      <c r="K29" s="97">
        <v>1.220940271008964E-3</v>
      </c>
      <c r="L29" s="97">
        <v>1.9032903265288564E-3</v>
      </c>
      <c r="M29" s="97">
        <v>2.7378125648406131E-3</v>
      </c>
      <c r="N29" s="97">
        <v>3.7079732120787997E-3</v>
      </c>
      <c r="O29" s="97">
        <v>4.7936152835983637E-3</v>
      </c>
      <c r="P29" s="97">
        <v>5.9733856864718484E-3</v>
      </c>
      <c r="Q29" s="97">
        <v>7.2263792667969584E-3</v>
      </c>
      <c r="R29" s="97">
        <v>8.5331464198711241E-3</v>
      </c>
      <c r="S29" s="97">
        <v>9.8762310395962977E-3</v>
      </c>
      <c r="T29" s="97">
        <v>1.1240385691375053E-2</v>
      </c>
      <c r="U29" s="97">
        <v>1.2612578874289218E-2</v>
      </c>
      <c r="V29" s="97">
        <v>1.3981877899643816E-2</v>
      </c>
      <c r="W29" s="97">
        <v>1.5339264971885879E-2</v>
      </c>
      <c r="X29" s="97">
        <v>1.6677424379978104E-2</v>
      </c>
      <c r="Y29" s="97">
        <v>1.7990524588307688E-2</v>
      </c>
      <c r="Z29" s="97">
        <v>1.927400929230973E-2</v>
      </c>
      <c r="AA29" s="97">
        <v>2.0524405034581434E-2</v>
      </c>
      <c r="AB29" s="97">
        <v>2.1739148816011682E-2</v>
      </c>
      <c r="AC29" s="97">
        <v>2.2916436560875258E-2</v>
      </c>
      <c r="AD29" s="97">
        <v>2.4055091779786191E-2</v>
      </c>
    </row>
    <row r="30" spans="1:30" x14ac:dyDescent="0.25">
      <c r="H30" s="97">
        <v>4.7313171600038289E-6</v>
      </c>
      <c r="I30" s="97">
        <v>2.4950321851822066E-5</v>
      </c>
      <c r="J30" s="97">
        <v>7.5369650566779067E-5</v>
      </c>
      <c r="K30" s="97">
        <v>1.714871907564126E-4</v>
      </c>
      <c r="L30" s="97">
        <v>3.2691529396659195E-4</v>
      </c>
      <c r="M30" s="97">
        <v>5.5178950013682281E-4</v>
      </c>
      <c r="N30" s="97">
        <v>8.5220169267625871E-4</v>
      </c>
      <c r="O30" s="97">
        <v>1.2303592947777798E-3</v>
      </c>
      <c r="P30" s="97">
        <v>1.685153974644916E-3</v>
      </c>
      <c r="Q30" s="97">
        <v>2.2128949507250347E-3</v>
      </c>
      <c r="R30" s="97">
        <v>2.8080489238996608E-3</v>
      </c>
      <c r="S30" s="97">
        <v>3.4639006063754431E-3</v>
      </c>
      <c r="T30" s="97">
        <v>4.1730975564773518E-3</v>
      </c>
      <c r="U30" s="97">
        <v>4.9280732951208026E-3</v>
      </c>
      <c r="V30" s="97">
        <v>5.7213587949647557E-3</v>
      </c>
      <c r="W30" s="97">
        <v>6.5457993954628575E-3</v>
      </c>
      <c r="X30" s="97">
        <v>7.3946958065452418E-3</v>
      </c>
      <c r="Y30" s="97">
        <v>8.261886671455514E-3</v>
      </c>
      <c r="Z30" s="97">
        <v>9.141787737345506E-3</v>
      </c>
      <c r="AA30" s="97">
        <v>1.0029399927266302E-2</v>
      </c>
      <c r="AB30" s="97">
        <v>1.0920295983521738E-2</v>
      </c>
      <c r="AC30" s="97">
        <v>1.18105930654352E-2</v>
      </c>
      <c r="AD30" s="97">
        <v>1.2696916795526144E-2</v>
      </c>
    </row>
    <row r="31" spans="1:30" x14ac:dyDescent="0.25">
      <c r="I31" s="97">
        <v>8.1375205695583982E-7</v>
      </c>
      <c r="J31" s="97">
        <v>4.8336843696841362E-6</v>
      </c>
      <c r="K31" s="97">
        <v>1.6207546042284037E-5</v>
      </c>
      <c r="L31" s="97">
        <v>4.0447061906201961E-5</v>
      </c>
      <c r="M31" s="97">
        <v>8.3737453821022768E-5</v>
      </c>
      <c r="N31" s="97">
        <v>1.5221388671556542E-4</v>
      </c>
      <c r="O31" s="97">
        <v>2.5137120557320545E-4</v>
      </c>
      <c r="P31" s="97">
        <v>3.8567241109650503E-4</v>
      </c>
      <c r="Q31" s="97">
        <v>5.583528080182192E-4</v>
      </c>
      <c r="R31" s="97">
        <v>7.7138297491481298E-4</v>
      </c>
      <c r="S31" s="97">
        <v>1.0255432895291904E-3</v>
      </c>
      <c r="T31" s="97">
        <v>1.3205660496627392E-3</v>
      </c>
      <c r="U31" s="97">
        <v>1.655310197126406E-3</v>
      </c>
      <c r="V31" s="97">
        <v>2.0279436277763287E-3</v>
      </c>
      <c r="W31" s="97">
        <v>2.4361169306876011E-3</v>
      </c>
      <c r="X31" s="97">
        <v>2.8771193330900894E-3</v>
      </c>
      <c r="Y31" s="97">
        <v>3.3480125895968349E-3</v>
      </c>
      <c r="Z31" s="97">
        <v>3.8457418483065727E-3</v>
      </c>
      <c r="AA31" s="97">
        <v>4.3672245414045872E-3</v>
      </c>
      <c r="AB31" s="97">
        <v>4.9094194481250414E-3</v>
      </c>
      <c r="AC31" s="97">
        <v>5.4693785628128697E-3</v>
      </c>
      <c r="AD31" s="97">
        <v>6.0442844958733411E-3</v>
      </c>
    </row>
    <row r="32" spans="1:30" x14ac:dyDescent="0.25">
      <c r="J32" s="97">
        <v>1.3995942098274214E-7</v>
      </c>
      <c r="K32" s="97">
        <v>9.2464919373408867E-7</v>
      </c>
      <c r="L32" s="97">
        <v>3.4077962360184053E-6</v>
      </c>
      <c r="M32" s="97">
        <v>9.2563518088282183E-6</v>
      </c>
      <c r="N32" s="97">
        <v>2.068557465240979E-5</v>
      </c>
      <c r="O32" s="97">
        <v>4.0301325222291764E-5</v>
      </c>
      <c r="P32" s="97">
        <v>7.0897577125402178E-5</v>
      </c>
      <c r="Q32" s="97">
        <v>1.1525445392472594E-4</v>
      </c>
      <c r="R32" s="97">
        <v>1.7596446242890306E-4</v>
      </c>
      <c r="S32" s="97">
        <v>2.5530142863547514E-4</v>
      </c>
      <c r="T32" s="97">
        <v>3.5513554899623819E-4</v>
      </c>
      <c r="U32" s="97">
        <v>4.7689049138598393E-4</v>
      </c>
      <c r="V32" s="97">
        <v>6.2153500592143217E-4</v>
      </c>
      <c r="W32" s="97">
        <v>7.8960045543198228E-4</v>
      </c>
      <c r="X32" s="97">
        <v>9.8121606849962072E-4</v>
      </c>
      <c r="Y32" s="97">
        <v>1.1961549054721786E-3</v>
      </c>
      <c r="Z32" s="97">
        <v>1.4338849891027781E-3</v>
      </c>
      <c r="AA32" s="97">
        <v>1.6936214818414478E-3</v>
      </c>
      <c r="AB32" s="97">
        <v>1.9743770477089039E-3</v>
      </c>
      <c r="AC32" s="97">
        <v>2.275008559662691E-3</v>
      </c>
      <c r="AD32" s="97">
        <v>2.5942591032816001E-3</v>
      </c>
    </row>
    <row r="33" spans="11:30" x14ac:dyDescent="0.25">
      <c r="K33" s="97">
        <v>2.407200000833516E-8</v>
      </c>
      <c r="L33" s="97">
        <v>1.7507824420131534E-7</v>
      </c>
      <c r="M33" s="97">
        <v>7.0281547552436516E-7</v>
      </c>
      <c r="N33" s="97">
        <v>2.0660206621075672E-6</v>
      </c>
      <c r="O33" s="97">
        <v>4.9580877584854344E-6</v>
      </c>
      <c r="P33" s="97">
        <v>1.0309210782625677E-5</v>
      </c>
      <c r="Q33" s="97">
        <v>1.9252553483172165E-5</v>
      </c>
      <c r="R33" s="97">
        <v>3.306931048177958E-5</v>
      </c>
      <c r="S33" s="97">
        <v>5.3124260304877549E-5</v>
      </c>
      <c r="T33" s="97">
        <v>8.0799369451383532E-5</v>
      </c>
      <c r="U33" s="97">
        <v>1.1743280922534129E-4</v>
      </c>
      <c r="V33" s="97">
        <v>1.6426795802446437E-4</v>
      </c>
      <c r="W33" s="97">
        <v>2.2241429453613194E-4</v>
      </c>
      <c r="X33" s="97">
        <v>2.9282043311206613E-4</v>
      </c>
      <c r="Y33" s="97">
        <v>3.7625841486470631E-4</v>
      </c>
      <c r="Z33" s="97">
        <v>4.7331768555879008E-4</v>
      </c>
      <c r="AA33" s="97">
        <v>5.8440691831341933E-4</v>
      </c>
      <c r="AB33" s="97">
        <v>7.0976181813033523E-4</v>
      </c>
      <c r="AC33" s="97">
        <v>8.4945719796643727E-4</v>
      </c>
      <c r="AD33" s="97">
        <v>1.0034218439100022E-3</v>
      </c>
    </row>
    <row r="34" spans="11:30" x14ac:dyDescent="0.25">
      <c r="L34" s="97">
        <v>4.1402084999526932E-9</v>
      </c>
      <c r="M34" s="97">
        <v>3.4252390061442122E-8</v>
      </c>
      <c r="N34" s="97">
        <v>1.4371025705992127E-7</v>
      </c>
      <c r="O34" s="97">
        <v>4.5113135465711104E-7</v>
      </c>
      <c r="P34" s="97">
        <v>1.1584007971454561E-6</v>
      </c>
      <c r="Q34" s="97">
        <v>2.5610687382068402E-6</v>
      </c>
      <c r="R34" s="97">
        <v>5.0611061129817542E-6</v>
      </c>
      <c r="S34" s="97">
        <v>9.1613525880155935E-6</v>
      </c>
      <c r="T34" s="97">
        <v>1.5452410295634379E-5</v>
      </c>
      <c r="U34" s="97">
        <v>2.4594243760475738E-5</v>
      </c>
      <c r="V34" s="97">
        <v>3.7293441713495496E-5</v>
      </c>
      <c r="W34" s="97">
        <v>5.4278981480218798E-5</v>
      </c>
      <c r="X34" s="97">
        <v>7.6278700284869078E-5</v>
      </c>
      <c r="Y34" s="97">
        <v>1.0399788284108175E-4</v>
      </c>
      <c r="Z34" s="97">
        <v>1.3810094427123889E-4</v>
      </c>
      <c r="AA34" s="97">
        <v>1.7919666088224022E-4</v>
      </c>
      <c r="AB34" s="97">
        <v>2.2782709593588798E-4</v>
      </c>
      <c r="AC34" s="97">
        <v>2.8446005855769764E-4</v>
      </c>
      <c r="AD34" s="97">
        <v>3.4948476132497746E-4</v>
      </c>
    </row>
    <row r="35" spans="11:30" x14ac:dyDescent="0.25">
      <c r="N35" s="97">
        <v>5.8911613670231964E-9</v>
      </c>
      <c r="O35" s="97">
        <v>3.0608277834452931E-8</v>
      </c>
      <c r="P35" s="97">
        <v>9.7993420142590781E-8</v>
      </c>
      <c r="Q35" s="97">
        <v>2.6455454557398621E-7</v>
      </c>
      <c r="R35" s="97">
        <v>6.2039652073359935E-7</v>
      </c>
      <c r="S35" s="97">
        <v>1.293728684659231E-6</v>
      </c>
      <c r="T35" s="97">
        <v>2.4617386610067331E-6</v>
      </c>
      <c r="U35" s="97">
        <v>4.3506861602257769E-6</v>
      </c>
      <c r="V35" s="97">
        <v>7.2339945826784384E-6</v>
      </c>
      <c r="W35" s="97">
        <v>1.1428236010836098E-5</v>
      </c>
      <c r="X35" s="97">
        <v>1.7286370624303959E-5</v>
      </c>
      <c r="Y35" s="97">
        <v>2.5189430257769807E-5</v>
      </c>
      <c r="Z35" s="97">
        <v>3.5537078341250718E-5</v>
      </c>
      <c r="AA35" s="97">
        <v>4.8738051545854187E-5</v>
      </c>
      <c r="AB35" s="97">
        <v>6.5200857784100178E-5</v>
      </c>
      <c r="AC35" s="97">
        <v>8.5325149160950031E-5</v>
      </c>
      <c r="AD35" s="97">
        <v>1.094940804530749E-4</v>
      </c>
    </row>
    <row r="36" spans="11:30" x14ac:dyDescent="0.25">
      <c r="P36" s="97">
        <v>5.2644006320728549E-9</v>
      </c>
      <c r="Q36" s="97">
        <v>2.2118554456989999E-8</v>
      </c>
      <c r="R36" s="97">
        <v>6.0244697369912451E-8</v>
      </c>
      <c r="S36" s="97">
        <v>1.46860113345425E-7</v>
      </c>
      <c r="T36" s="97">
        <v>3.226894255170221E-7</v>
      </c>
      <c r="U36" s="97">
        <v>6.440940888112683E-7</v>
      </c>
      <c r="V36" s="97">
        <v>1.190305799555163E-6</v>
      </c>
      <c r="W36" s="97">
        <v>2.0639467072418897E-6</v>
      </c>
      <c r="X36" s="97">
        <v>3.3924950363217276E-6</v>
      </c>
      <c r="Y36" s="97">
        <v>5.3269601630510113E-6</v>
      </c>
      <c r="Z36" s="97">
        <v>8.0411664508452231E-6</v>
      </c>
      <c r="AA36" s="97">
        <v>1.1729333783902276E-5</v>
      </c>
      <c r="AB36" s="97">
        <v>1.6602844013195574E-5</v>
      </c>
      <c r="AC36" s="97">
        <v>2.2886561213875479E-5</v>
      </c>
      <c r="AD36" s="97">
        <v>3.0814833441069936E-5</v>
      </c>
    </row>
    <row r="37" spans="11:30" x14ac:dyDescent="0.25">
      <c r="R37" s="97">
        <v>3.804230107087029E-9</v>
      </c>
      <c r="S37" s="97">
        <v>1.4165878829322736E-8</v>
      </c>
      <c r="T37" s="97">
        <v>3.470121335218722E-8</v>
      </c>
      <c r="U37" s="97">
        <v>7.8630513476551382E-8</v>
      </c>
      <c r="V37" s="97">
        <v>1.6319108928970941E-7</v>
      </c>
      <c r="W37" s="97">
        <v>3.1704025991244567E-7</v>
      </c>
      <c r="X37" s="97">
        <v>5.7320018144651172E-7</v>
      </c>
      <c r="Y37" s="97">
        <v>9.7895143598220456E-7</v>
      </c>
      <c r="Z37" s="97">
        <v>1.5938604213986355E-6</v>
      </c>
      <c r="AA37" s="97">
        <v>2.4899225636304075E-6</v>
      </c>
      <c r="AB37" s="97">
        <v>3.7520298046201407E-6</v>
      </c>
      <c r="AC37" s="97">
        <v>5.4775884326899103E-6</v>
      </c>
      <c r="AD37" s="97">
        <v>7.7757734748852734E-6</v>
      </c>
    </row>
    <row r="38" spans="11:30" x14ac:dyDescent="0.25">
      <c r="T38" s="97">
        <v>2.4364278796183108E-9</v>
      </c>
      <c r="U38" s="97">
        <v>8.4047835804185325E-9</v>
      </c>
      <c r="V38" s="97">
        <v>2.1928658627717745E-8</v>
      </c>
      <c r="W38" s="97">
        <v>4.2684345787437781E-8</v>
      </c>
      <c r="X38" s="97">
        <v>8.29800990797329E-8</v>
      </c>
      <c r="Y38" s="97">
        <v>1.5569130244648131E-7</v>
      </c>
      <c r="Z38" s="97">
        <v>2.7564957967395814E-7</v>
      </c>
      <c r="AA38" s="97">
        <v>4.6452449711178748E-7</v>
      </c>
      <c r="AB38" s="97">
        <v>7.499711198144285E-7</v>
      </c>
      <c r="AC38" s="97">
        <v>1.1665096457329324E-6</v>
      </c>
      <c r="AD38" s="97">
        <v>1.7552225512539552E-6</v>
      </c>
    </row>
    <row r="39" spans="11:30" x14ac:dyDescent="0.25">
      <c r="W39" s="97">
        <v>3.7715694089234911E-9</v>
      </c>
      <c r="X39" s="97">
        <v>1.1112965686046382E-8</v>
      </c>
      <c r="Y39" s="97">
        <v>2.167938055482646E-8</v>
      </c>
      <c r="Z39" s="97">
        <v>4.122827945635153E-8</v>
      </c>
      <c r="AA39" s="97">
        <v>7.4890654811399457E-8</v>
      </c>
      <c r="AB39" s="97">
        <v>1.3186904923110317E-7</v>
      </c>
      <c r="AC39" s="97">
        <v>2.2033727680476832E-7</v>
      </c>
      <c r="AD39" s="97">
        <v>3.5345938667861435E-7</v>
      </c>
    </row>
    <row r="40" spans="11:30" x14ac:dyDescent="0.25">
      <c r="Y40" s="97">
        <v>1.9113490768164602E-9</v>
      </c>
      <c r="Z40" s="97">
        <v>5.6400444746121599E-9</v>
      </c>
      <c r="AA40" s="97">
        <v>1.2731007958515413E-8</v>
      </c>
      <c r="AB40" s="97">
        <v>2.1366570108210025E-8</v>
      </c>
      <c r="AC40" s="97">
        <v>3.6922520057610216E-8</v>
      </c>
      <c r="AD40" s="97">
        <v>6.2507314336656268E-8</v>
      </c>
    </row>
    <row r="41" spans="11:30" x14ac:dyDescent="0.25">
      <c r="AB41" s="97">
        <v>2.1896405510374839E-9</v>
      </c>
      <c r="AC41" s="97">
        <v>5.8645348326186785E-9</v>
      </c>
      <c r="AD41" s="97">
        <v>1.2214939091894243E-8</v>
      </c>
    </row>
  </sheetData>
  <mergeCells count="1">
    <mergeCell ref="A1:C3"/>
  </mergeCells>
  <conditionalFormatting sqref="A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B9AF4-0E1A-4C29-B593-BA10D47D6D0D}">
  <sheetPr codeName="Feuil2"/>
  <dimension ref="B2:R80"/>
  <sheetViews>
    <sheetView zoomScale="85" zoomScaleNormal="85" workbookViewId="0">
      <selection activeCell="K52" sqref="K52"/>
    </sheetView>
  </sheetViews>
  <sheetFormatPr baseColWidth="10" defaultColWidth="10.85546875" defaultRowHeight="15" x14ac:dyDescent="0.25"/>
  <cols>
    <col min="5" max="5" width="14.85546875" customWidth="1"/>
  </cols>
  <sheetData>
    <row r="2" spans="2:18" ht="38.25" customHeight="1" x14ac:dyDescent="0.25">
      <c r="B2" s="86" t="s">
        <v>10</v>
      </c>
      <c r="C2" s="86"/>
      <c r="D2" s="86"/>
      <c r="E2" s="86"/>
      <c r="F2" s="86"/>
      <c r="G2" s="86"/>
      <c r="H2" s="86"/>
      <c r="L2" s="86" t="s">
        <v>11</v>
      </c>
      <c r="M2" s="86"/>
      <c r="N2" s="86"/>
      <c r="O2" s="86"/>
      <c r="P2" s="86"/>
      <c r="Q2" s="86"/>
      <c r="R2" s="86"/>
    </row>
    <row r="3" spans="2:18" x14ac:dyDescent="0.25">
      <c r="B3" s="87"/>
      <c r="C3" s="87"/>
      <c r="D3" s="87"/>
      <c r="E3" s="87"/>
      <c r="F3" s="87"/>
      <c r="G3" s="87"/>
      <c r="H3" s="87"/>
      <c r="L3" s="87"/>
      <c r="M3" s="87"/>
      <c r="N3" s="87"/>
      <c r="O3" s="87"/>
      <c r="P3" s="87"/>
      <c r="Q3" s="87"/>
      <c r="R3" s="87"/>
    </row>
    <row r="4" spans="2:18" x14ac:dyDescent="0.25">
      <c r="B4" s="87"/>
      <c r="C4" s="87"/>
      <c r="D4" s="87"/>
      <c r="E4" s="87"/>
      <c r="F4" s="87"/>
      <c r="G4" s="87"/>
      <c r="H4" s="87"/>
      <c r="L4" s="87"/>
      <c r="M4" s="87"/>
      <c r="N4" s="87"/>
      <c r="O4" s="87"/>
      <c r="P4" s="87"/>
      <c r="Q4" s="87"/>
      <c r="R4" s="87"/>
    </row>
    <row r="5" spans="2:18" x14ac:dyDescent="0.25">
      <c r="B5" s="87"/>
      <c r="C5" s="87"/>
      <c r="D5" s="87"/>
      <c r="E5" s="87"/>
      <c r="F5" s="87"/>
      <c r="G5" s="87"/>
      <c r="H5" s="87"/>
      <c r="L5" s="87"/>
      <c r="M5" s="87"/>
      <c r="N5" s="87"/>
      <c r="O5" s="87"/>
      <c r="P5" s="87"/>
      <c r="Q5" s="87"/>
      <c r="R5" s="87"/>
    </row>
    <row r="6" spans="2:18" x14ac:dyDescent="0.25">
      <c r="B6" s="87"/>
      <c r="C6" s="87"/>
      <c r="D6" s="87"/>
      <c r="E6" s="87"/>
      <c r="F6" s="87"/>
      <c r="G6" s="87"/>
      <c r="H6" s="87"/>
      <c r="L6" s="87"/>
      <c r="M6" s="87"/>
      <c r="N6" s="87"/>
      <c r="O6" s="87"/>
      <c r="P6" s="87"/>
      <c r="Q6" s="87"/>
      <c r="R6" s="87"/>
    </row>
    <row r="7" spans="2:18" x14ac:dyDescent="0.25">
      <c r="B7" s="87"/>
      <c r="C7" s="87"/>
      <c r="D7" s="87"/>
      <c r="E7" s="87"/>
      <c r="F7" s="87"/>
      <c r="G7" s="87"/>
      <c r="H7" s="87"/>
      <c r="L7" s="87"/>
      <c r="M7" s="87"/>
      <c r="N7" s="87"/>
      <c r="O7" s="87"/>
      <c r="P7" s="87"/>
      <c r="Q7" s="87"/>
      <c r="R7" s="87"/>
    </row>
    <row r="8" spans="2:18" x14ac:dyDescent="0.25">
      <c r="B8" s="87"/>
      <c r="C8" s="87"/>
      <c r="D8" s="87"/>
      <c r="E8" s="87"/>
      <c r="F8" s="87"/>
      <c r="G8" s="87"/>
      <c r="H8" s="87"/>
      <c r="L8" s="87"/>
      <c r="M8" s="87"/>
      <c r="N8" s="87"/>
      <c r="O8" s="87"/>
      <c r="P8" s="87"/>
      <c r="Q8" s="87"/>
      <c r="R8" s="87"/>
    </row>
    <row r="9" spans="2:18" x14ac:dyDescent="0.25">
      <c r="B9" s="87"/>
      <c r="C9" s="87"/>
      <c r="D9" s="87"/>
      <c r="E9" s="87"/>
      <c r="F9" s="87"/>
      <c r="G9" s="87"/>
      <c r="H9" s="87"/>
      <c r="L9" s="87"/>
      <c r="M9" s="87"/>
      <c r="N9" s="87"/>
      <c r="O9" s="87"/>
      <c r="P9" s="87"/>
      <c r="Q9" s="87"/>
      <c r="R9" s="87"/>
    </row>
    <row r="10" spans="2:18" x14ac:dyDescent="0.25">
      <c r="B10" s="87"/>
      <c r="C10" s="87"/>
      <c r="D10" s="87"/>
      <c r="E10" s="87"/>
      <c r="F10" s="87"/>
      <c r="G10" s="87"/>
      <c r="H10" s="87"/>
      <c r="L10" s="87"/>
      <c r="M10" s="87"/>
      <c r="N10" s="87"/>
      <c r="O10" s="87"/>
      <c r="P10" s="87"/>
      <c r="Q10" s="87"/>
      <c r="R10" s="87"/>
    </row>
    <row r="11" spans="2:18" x14ac:dyDescent="0.25">
      <c r="B11" s="87"/>
      <c r="C11" s="87"/>
      <c r="D11" s="87"/>
      <c r="E11" s="87"/>
      <c r="F11" s="87"/>
      <c r="G11" s="87"/>
      <c r="H11" s="87"/>
      <c r="L11" s="87"/>
      <c r="M11" s="87"/>
      <c r="N11" s="87"/>
      <c r="O11" s="87"/>
      <c r="P11" s="87"/>
      <c r="Q11" s="87"/>
      <c r="R11" s="87"/>
    </row>
    <row r="12" spans="2:18" x14ac:dyDescent="0.25">
      <c r="B12" s="87"/>
      <c r="C12" s="87"/>
      <c r="D12" s="87"/>
      <c r="E12" s="87"/>
      <c r="F12" s="87"/>
      <c r="G12" s="87"/>
      <c r="H12" s="87"/>
      <c r="L12" s="87"/>
      <c r="M12" s="87"/>
      <c r="N12" s="87"/>
      <c r="O12" s="87"/>
      <c r="P12" s="87"/>
      <c r="Q12" s="87"/>
      <c r="R12" s="87"/>
    </row>
    <row r="13" spans="2:18" x14ac:dyDescent="0.25">
      <c r="B13" s="87"/>
      <c r="C13" s="87"/>
      <c r="D13" s="87"/>
      <c r="E13" s="87"/>
      <c r="F13" s="87"/>
      <c r="G13" s="87"/>
      <c r="H13" s="87"/>
      <c r="L13" s="87"/>
      <c r="M13" s="87"/>
      <c r="N13" s="87"/>
      <c r="O13" s="87"/>
      <c r="P13" s="87"/>
      <c r="Q13" s="87"/>
      <c r="R13" s="87"/>
    </row>
    <row r="14" spans="2:18" x14ac:dyDescent="0.25">
      <c r="B14" s="87"/>
      <c r="C14" s="87"/>
      <c r="D14" s="87"/>
      <c r="E14" s="87"/>
      <c r="F14" s="87"/>
      <c r="G14" s="87"/>
      <c r="H14" s="87"/>
      <c r="L14" s="87"/>
      <c r="M14" s="87"/>
      <c r="N14" s="87"/>
      <c r="O14" s="87"/>
      <c r="P14" s="87"/>
      <c r="Q14" s="87"/>
      <c r="R14" s="87"/>
    </row>
    <row r="15" spans="2:18" x14ac:dyDescent="0.25">
      <c r="B15" s="87"/>
      <c r="C15" s="87"/>
      <c r="D15" s="87"/>
      <c r="E15" s="87"/>
      <c r="F15" s="87"/>
      <c r="G15" s="87"/>
      <c r="H15" s="87"/>
      <c r="L15" s="87"/>
      <c r="M15" s="87"/>
      <c r="N15" s="87"/>
      <c r="O15" s="87"/>
      <c r="P15" s="87"/>
      <c r="Q15" s="87"/>
      <c r="R15" s="87"/>
    </row>
    <row r="16" spans="2:18" x14ac:dyDescent="0.25">
      <c r="B16" s="87"/>
      <c r="C16" s="87"/>
      <c r="D16" s="87"/>
      <c r="E16" s="87"/>
      <c r="F16" s="87"/>
      <c r="G16" s="87"/>
      <c r="H16" s="87"/>
      <c r="L16" s="87"/>
      <c r="M16" s="87"/>
      <c r="N16" s="87"/>
      <c r="O16" s="87"/>
      <c r="P16" s="87"/>
      <c r="Q16" s="87"/>
      <c r="R16" s="87"/>
    </row>
    <row r="17" spans="2:18" x14ac:dyDescent="0.25">
      <c r="B17" s="87"/>
      <c r="C17" s="87"/>
      <c r="D17" s="87"/>
      <c r="E17" s="87"/>
      <c r="F17" s="87"/>
      <c r="G17" s="87"/>
      <c r="H17" s="87"/>
      <c r="L17" s="87"/>
      <c r="M17" s="87"/>
      <c r="N17" s="87"/>
      <c r="O17" s="87"/>
      <c r="P17" s="87"/>
      <c r="Q17" s="87"/>
      <c r="R17" s="87"/>
    </row>
    <row r="18" spans="2:18" x14ac:dyDescent="0.25">
      <c r="B18" s="87"/>
      <c r="C18" s="87"/>
      <c r="D18" s="87"/>
      <c r="E18" s="87"/>
      <c r="F18" s="87"/>
      <c r="G18" s="87"/>
      <c r="H18" s="87"/>
      <c r="L18" s="87"/>
      <c r="M18" s="87"/>
      <c r="N18" s="87"/>
      <c r="O18" s="87"/>
      <c r="P18" s="87"/>
      <c r="Q18" s="87"/>
      <c r="R18" s="87"/>
    </row>
    <row r="19" spans="2:18" x14ac:dyDescent="0.25">
      <c r="B19" s="87"/>
      <c r="C19" s="87"/>
      <c r="D19" s="87"/>
      <c r="E19" s="87"/>
      <c r="F19" s="87"/>
      <c r="G19" s="87"/>
      <c r="H19" s="87"/>
      <c r="L19" s="87"/>
      <c r="M19" s="87"/>
      <c r="N19" s="87"/>
      <c r="O19" s="87"/>
      <c r="P19" s="87"/>
      <c r="Q19" s="87"/>
      <c r="R19" s="87"/>
    </row>
    <row r="20" spans="2:18" x14ac:dyDescent="0.25">
      <c r="B20" s="87"/>
      <c r="C20" s="87"/>
      <c r="D20" s="87"/>
      <c r="E20" s="87"/>
      <c r="F20" s="87"/>
      <c r="G20" s="87"/>
      <c r="H20" s="87"/>
      <c r="L20" s="87"/>
      <c r="M20" s="87"/>
      <c r="N20" s="87"/>
      <c r="O20" s="87"/>
      <c r="P20" s="87"/>
      <c r="Q20" s="87"/>
      <c r="R20" s="87"/>
    </row>
    <row r="21" spans="2:18" x14ac:dyDescent="0.25">
      <c r="B21" s="87"/>
      <c r="C21" s="87"/>
      <c r="D21" s="87"/>
      <c r="E21" s="87"/>
      <c r="F21" s="87"/>
      <c r="G21" s="87"/>
      <c r="H21" s="87"/>
      <c r="L21" s="87"/>
      <c r="M21" s="87"/>
      <c r="N21" s="87"/>
      <c r="O21" s="87"/>
      <c r="P21" s="87"/>
      <c r="Q21" s="87"/>
      <c r="R21" s="87"/>
    </row>
    <row r="22" spans="2:18" x14ac:dyDescent="0.25">
      <c r="B22" s="87"/>
      <c r="C22" s="87"/>
      <c r="D22" s="87"/>
      <c r="E22" s="87"/>
      <c r="F22" s="87"/>
      <c r="G22" s="87"/>
      <c r="H22" s="87"/>
      <c r="L22" s="87"/>
      <c r="M22" s="87"/>
      <c r="N22" s="87"/>
      <c r="O22" s="87"/>
      <c r="P22" s="87"/>
      <c r="Q22" s="87"/>
      <c r="R22" s="87"/>
    </row>
    <row r="23" spans="2:18" x14ac:dyDescent="0.25">
      <c r="B23" s="87"/>
      <c r="C23" s="87"/>
      <c r="D23" s="87"/>
      <c r="E23" s="87"/>
      <c r="F23" s="87"/>
      <c r="G23" s="87"/>
      <c r="H23" s="87"/>
      <c r="L23" s="87"/>
      <c r="M23" s="87"/>
      <c r="N23" s="87"/>
      <c r="O23" s="87"/>
      <c r="P23" s="87"/>
      <c r="Q23" s="87"/>
      <c r="R23" s="87"/>
    </row>
    <row r="24" spans="2:18" x14ac:dyDescent="0.25">
      <c r="B24" s="87"/>
      <c r="C24" s="87"/>
      <c r="D24" s="87"/>
      <c r="E24" s="87"/>
      <c r="F24" s="87"/>
      <c r="G24" s="87"/>
      <c r="H24" s="87"/>
      <c r="J24" t="s">
        <v>19</v>
      </c>
      <c r="L24" s="87"/>
      <c r="M24" s="87"/>
      <c r="N24" s="87"/>
      <c r="O24" s="87"/>
      <c r="P24" s="87"/>
      <c r="Q24" s="87"/>
      <c r="R24" s="87"/>
    </row>
    <row r="25" spans="2:18" x14ac:dyDescent="0.25">
      <c r="B25" s="87"/>
      <c r="C25" s="87"/>
      <c r="D25" s="87"/>
      <c r="E25" s="87"/>
      <c r="F25" s="87"/>
      <c r="G25" s="87"/>
      <c r="H25" s="87"/>
      <c r="L25" s="87"/>
      <c r="M25" s="87"/>
      <c r="N25" s="87"/>
      <c r="O25" s="87"/>
      <c r="P25" s="87"/>
      <c r="Q25" s="87"/>
      <c r="R25" s="87"/>
    </row>
    <row r="26" spans="2:18" x14ac:dyDescent="0.25">
      <c r="B26" s="87"/>
      <c r="C26" s="87"/>
      <c r="D26" s="87"/>
      <c r="E26" s="87"/>
      <c r="F26" s="87"/>
      <c r="G26" s="87"/>
      <c r="H26" s="87"/>
      <c r="L26" s="87"/>
      <c r="M26" s="87"/>
      <c r="N26" s="87"/>
      <c r="O26" s="87"/>
      <c r="P26" s="87"/>
      <c r="Q26" s="87"/>
      <c r="R26" s="87"/>
    </row>
    <row r="27" spans="2:18" x14ac:dyDescent="0.25">
      <c r="B27" s="87"/>
      <c r="C27" s="87"/>
      <c r="D27" s="87"/>
      <c r="E27" s="87"/>
      <c r="F27" s="87"/>
      <c r="G27" s="87"/>
      <c r="H27" s="87"/>
      <c r="L27" s="87"/>
      <c r="M27" s="87"/>
      <c r="N27" s="87"/>
      <c r="O27" s="87"/>
      <c r="P27" s="87"/>
      <c r="Q27" s="87"/>
      <c r="R27" s="87"/>
    </row>
    <row r="28" spans="2:18" x14ac:dyDescent="0.25">
      <c r="B28" s="87"/>
      <c r="C28" s="87"/>
      <c r="D28" s="87"/>
      <c r="E28" s="87"/>
      <c r="F28" s="87"/>
      <c r="G28" s="87"/>
      <c r="H28" s="87"/>
      <c r="L28" s="87"/>
      <c r="M28" s="87"/>
      <c r="N28" s="87"/>
      <c r="O28" s="87"/>
      <c r="P28" s="87"/>
      <c r="Q28" s="87"/>
      <c r="R28" s="87"/>
    </row>
    <row r="29" spans="2:18" x14ac:dyDescent="0.25">
      <c r="B29" s="87"/>
      <c r="C29" s="87"/>
      <c r="D29" s="87"/>
      <c r="E29" s="87"/>
      <c r="F29" s="87"/>
      <c r="G29" s="87"/>
      <c r="H29" s="87"/>
      <c r="L29" s="87"/>
      <c r="M29" s="87"/>
      <c r="N29" s="87"/>
      <c r="O29" s="87"/>
      <c r="P29" s="87"/>
      <c r="Q29" s="87"/>
      <c r="R29" s="87"/>
    </row>
    <row r="30" spans="2:18" x14ac:dyDescent="0.25">
      <c r="B30" s="87"/>
      <c r="C30" s="87"/>
      <c r="D30" s="87"/>
      <c r="E30" s="87"/>
      <c r="F30" s="87"/>
      <c r="G30" s="87"/>
      <c r="H30" s="87"/>
      <c r="L30" s="87"/>
      <c r="M30" s="87"/>
      <c r="N30" s="87"/>
      <c r="O30" s="87"/>
      <c r="P30" s="87"/>
      <c r="Q30" s="87"/>
      <c r="R30" s="87"/>
    </row>
    <row r="31" spans="2:18" x14ac:dyDescent="0.25">
      <c r="B31" s="87"/>
      <c r="C31" s="87"/>
      <c r="D31" s="87"/>
      <c r="E31" s="87"/>
      <c r="F31" s="87"/>
      <c r="G31" s="87"/>
      <c r="H31" s="87"/>
      <c r="L31" s="87"/>
      <c r="M31" s="87"/>
      <c r="N31" s="87"/>
      <c r="O31" s="87"/>
      <c r="P31" s="87"/>
      <c r="Q31" s="87"/>
      <c r="R31" s="87"/>
    </row>
    <row r="32" spans="2:18" x14ac:dyDescent="0.25">
      <c r="B32" s="87"/>
      <c r="C32" s="87"/>
      <c r="D32" s="87"/>
      <c r="E32" s="87"/>
      <c r="F32" s="87"/>
      <c r="G32" s="87"/>
      <c r="H32" s="87"/>
      <c r="L32" s="87"/>
      <c r="M32" s="87"/>
      <c r="N32" s="87"/>
      <c r="O32" s="87"/>
      <c r="P32" s="87"/>
      <c r="Q32" s="87"/>
      <c r="R32" s="87"/>
    </row>
    <row r="33" spans="2:18" x14ac:dyDescent="0.25">
      <c r="B33" s="87"/>
      <c r="C33" s="87"/>
      <c r="D33" s="87"/>
      <c r="E33" s="87"/>
      <c r="F33" s="87"/>
      <c r="G33" s="87"/>
      <c r="H33" s="87"/>
      <c r="L33" s="87"/>
      <c r="M33" s="87"/>
      <c r="N33" s="87"/>
      <c r="O33" s="87"/>
      <c r="P33" s="87"/>
      <c r="Q33" s="87"/>
      <c r="R33" s="87"/>
    </row>
    <row r="34" spans="2:18" x14ac:dyDescent="0.25">
      <c r="B34" s="87"/>
      <c r="C34" s="87"/>
      <c r="D34" s="87"/>
      <c r="E34" s="87"/>
      <c r="F34" s="87"/>
      <c r="G34" s="87"/>
      <c r="H34" s="87"/>
      <c r="L34" s="87"/>
      <c r="M34" s="87"/>
      <c r="N34" s="87"/>
      <c r="O34" s="87"/>
      <c r="P34" s="87"/>
      <c r="Q34" s="87"/>
      <c r="R34" s="87"/>
    </row>
    <row r="35" spans="2:18" x14ac:dyDescent="0.25">
      <c r="B35" s="87"/>
      <c r="C35" s="87"/>
      <c r="D35" s="87"/>
      <c r="E35" s="87"/>
      <c r="F35" s="87"/>
      <c r="G35" s="87"/>
      <c r="H35" s="87"/>
      <c r="L35" s="87"/>
      <c r="M35" s="87"/>
      <c r="N35" s="87"/>
      <c r="O35" s="87"/>
      <c r="P35" s="87"/>
      <c r="Q35" s="87"/>
      <c r="R35" s="87"/>
    </row>
    <row r="36" spans="2:18" x14ac:dyDescent="0.25">
      <c r="B36" s="87"/>
      <c r="C36" s="87"/>
      <c r="D36" s="87"/>
      <c r="E36" s="87"/>
      <c r="F36" s="87"/>
      <c r="G36" s="87"/>
      <c r="H36" s="87"/>
      <c r="L36" s="87"/>
      <c r="M36" s="87"/>
      <c r="N36" s="87"/>
      <c r="O36" s="87"/>
      <c r="P36" s="87"/>
      <c r="Q36" s="87"/>
      <c r="R36" s="87"/>
    </row>
    <row r="37" spans="2:18" x14ac:dyDescent="0.25">
      <c r="B37" s="87"/>
      <c r="C37" s="87"/>
      <c r="D37" s="87"/>
      <c r="E37" s="87"/>
      <c r="F37" s="87"/>
      <c r="G37" s="87"/>
      <c r="H37" s="87"/>
      <c r="L37" s="87"/>
      <c r="M37" s="87"/>
      <c r="N37" s="87"/>
      <c r="O37" s="87"/>
      <c r="P37" s="87"/>
      <c r="Q37" s="87"/>
      <c r="R37" s="87"/>
    </row>
    <row r="38" spans="2:18" x14ac:dyDescent="0.25">
      <c r="B38" s="87"/>
      <c r="C38" s="87"/>
      <c r="D38" s="87"/>
      <c r="E38" s="87"/>
      <c r="F38" s="87"/>
      <c r="G38" s="87"/>
      <c r="H38" s="87"/>
      <c r="L38" s="87"/>
      <c r="M38" s="87"/>
      <c r="N38" s="87"/>
      <c r="O38" s="87"/>
      <c r="P38" s="87"/>
      <c r="Q38" s="87"/>
      <c r="R38" s="87"/>
    </row>
    <row r="39" spans="2:18" x14ac:dyDescent="0.25">
      <c r="B39" s="87"/>
      <c r="C39" s="87"/>
      <c r="D39" s="87"/>
      <c r="E39" s="87"/>
      <c r="F39" s="87"/>
      <c r="G39" s="87"/>
      <c r="H39" s="87"/>
      <c r="L39" s="87"/>
      <c r="M39" s="87"/>
      <c r="N39" s="87"/>
      <c r="O39" s="87"/>
      <c r="P39" s="87"/>
      <c r="Q39" s="87"/>
      <c r="R39" s="87"/>
    </row>
    <row r="40" spans="2:18" x14ac:dyDescent="0.25">
      <c r="B40" s="87"/>
      <c r="C40" s="87"/>
      <c r="D40" s="87"/>
      <c r="E40" s="87"/>
      <c r="F40" s="87"/>
      <c r="G40" s="87"/>
      <c r="H40" s="87"/>
      <c r="L40" s="87"/>
      <c r="M40" s="87"/>
      <c r="N40" s="87"/>
      <c r="O40" s="87"/>
      <c r="P40" s="87"/>
      <c r="Q40" s="87"/>
      <c r="R40" s="87"/>
    </row>
    <row r="41" spans="2:18" x14ac:dyDescent="0.25">
      <c r="B41" s="87"/>
      <c r="C41" s="87"/>
      <c r="D41" s="87"/>
      <c r="E41" s="87"/>
      <c r="F41" s="87"/>
      <c r="G41" s="87"/>
      <c r="H41" s="87"/>
      <c r="L41" s="87"/>
      <c r="M41" s="87"/>
      <c r="N41" s="87"/>
      <c r="O41" s="87"/>
      <c r="P41" s="87"/>
      <c r="Q41" s="87"/>
      <c r="R41" s="87"/>
    </row>
    <row r="42" spans="2:18" x14ac:dyDescent="0.25">
      <c r="B42" s="87"/>
      <c r="C42" s="87"/>
      <c r="D42" s="87"/>
      <c r="E42" s="87"/>
      <c r="F42" s="87"/>
      <c r="G42" s="87"/>
      <c r="H42" s="87"/>
      <c r="L42" s="87"/>
      <c r="M42" s="87"/>
      <c r="N42" s="87"/>
      <c r="O42" s="87"/>
      <c r="P42" s="87"/>
      <c r="Q42" s="87"/>
      <c r="R42" s="87"/>
    </row>
    <row r="43" spans="2:18" x14ac:dyDescent="0.25">
      <c r="B43" s="87"/>
      <c r="C43" s="87"/>
      <c r="D43" s="87"/>
      <c r="E43" s="87"/>
      <c r="F43" s="87"/>
      <c r="G43" s="87"/>
      <c r="H43" s="87"/>
      <c r="L43" s="87"/>
      <c r="M43" s="87"/>
      <c r="N43" s="87"/>
      <c r="O43" s="87"/>
      <c r="P43" s="87"/>
      <c r="Q43" s="87"/>
      <c r="R43" s="87"/>
    </row>
    <row r="44" spans="2:18" x14ac:dyDescent="0.25">
      <c r="B44" s="87"/>
      <c r="C44" s="87"/>
      <c r="D44" s="87"/>
      <c r="E44" s="87"/>
      <c r="F44" s="87"/>
      <c r="G44" s="87"/>
      <c r="H44" s="87"/>
      <c r="L44" s="87"/>
      <c r="M44" s="87"/>
      <c r="N44" s="87"/>
      <c r="O44" s="87"/>
      <c r="P44" s="87"/>
      <c r="Q44" s="87"/>
      <c r="R44" s="87"/>
    </row>
    <row r="45" spans="2:18" x14ac:dyDescent="0.25">
      <c r="B45" s="87"/>
      <c r="C45" s="87"/>
      <c r="D45" s="87"/>
      <c r="E45" s="87"/>
      <c r="F45" s="87"/>
      <c r="G45" s="87"/>
      <c r="H45" s="87"/>
      <c r="L45" s="87"/>
      <c r="M45" s="87"/>
      <c r="N45" s="87"/>
      <c r="O45" s="87"/>
      <c r="P45" s="87"/>
      <c r="Q45" s="87"/>
      <c r="R45" s="87"/>
    </row>
    <row r="46" spans="2:18" x14ac:dyDescent="0.25">
      <c r="B46" s="87"/>
      <c r="C46" s="87"/>
      <c r="D46" s="87"/>
      <c r="E46" s="87"/>
      <c r="F46" s="87"/>
      <c r="G46" s="87"/>
      <c r="H46" s="87"/>
      <c r="L46" s="87"/>
      <c r="M46" s="87"/>
      <c r="N46" s="87"/>
      <c r="O46" s="87"/>
      <c r="P46" s="87"/>
      <c r="Q46" s="87"/>
      <c r="R46" s="87"/>
    </row>
    <row r="47" spans="2:18" x14ac:dyDescent="0.25">
      <c r="B47" s="87"/>
      <c r="C47" s="87"/>
      <c r="D47" s="87"/>
      <c r="E47" s="87"/>
      <c r="F47" s="87"/>
      <c r="G47" s="87"/>
      <c r="H47" s="87"/>
      <c r="L47" s="87"/>
      <c r="M47" s="87"/>
      <c r="N47" s="87"/>
      <c r="O47" s="87"/>
      <c r="P47" s="87"/>
      <c r="Q47" s="87"/>
      <c r="R47" s="87"/>
    </row>
    <row r="48" spans="2:18" x14ac:dyDescent="0.25">
      <c r="B48" s="87"/>
      <c r="C48" s="87"/>
      <c r="D48" s="87"/>
      <c r="E48" s="87"/>
      <c r="F48" s="87"/>
      <c r="G48" s="87"/>
      <c r="H48" s="87"/>
      <c r="L48" s="87"/>
      <c r="M48" s="87"/>
      <c r="N48" s="87"/>
      <c r="O48" s="87"/>
      <c r="P48" s="87"/>
      <c r="Q48" s="87"/>
      <c r="R48" s="87"/>
    </row>
    <row r="49" spans="2:18" x14ac:dyDescent="0.25">
      <c r="B49" s="87"/>
      <c r="C49" s="87"/>
      <c r="D49" s="87"/>
      <c r="E49" s="87"/>
      <c r="F49" s="87"/>
      <c r="G49" s="87"/>
      <c r="H49" s="87"/>
      <c r="L49" s="87"/>
      <c r="M49" s="87"/>
      <c r="N49" s="87"/>
      <c r="O49" s="87"/>
      <c r="P49" s="87"/>
      <c r="Q49" s="87"/>
      <c r="R49" s="87"/>
    </row>
    <row r="50" spans="2:18" x14ac:dyDescent="0.25">
      <c r="B50" s="87"/>
      <c r="C50" s="87"/>
      <c r="D50" s="87"/>
      <c r="E50" s="87"/>
      <c r="F50" s="87"/>
      <c r="G50" s="87"/>
      <c r="H50" s="87"/>
      <c r="L50" s="87"/>
      <c r="M50" s="87"/>
      <c r="N50" s="87"/>
      <c r="O50" s="87"/>
      <c r="P50" s="87"/>
      <c r="Q50" s="87"/>
      <c r="R50" s="87"/>
    </row>
    <row r="51" spans="2:18" x14ac:dyDescent="0.25">
      <c r="B51" s="87"/>
      <c r="C51" s="87"/>
      <c r="D51" s="87"/>
      <c r="E51" s="87"/>
      <c r="F51" s="87"/>
      <c r="G51" s="87"/>
      <c r="H51" s="87"/>
      <c r="L51" s="87"/>
      <c r="M51" s="87"/>
      <c r="N51" s="87"/>
      <c r="O51" s="87"/>
      <c r="P51" s="87"/>
      <c r="Q51" s="87"/>
      <c r="R51" s="87"/>
    </row>
    <row r="52" spans="2:18" x14ac:dyDescent="0.25">
      <c r="B52" s="87"/>
      <c r="C52" s="87"/>
      <c r="D52" s="87"/>
      <c r="E52" s="87"/>
      <c r="F52" s="87"/>
      <c r="G52" s="87"/>
      <c r="H52" s="87"/>
      <c r="L52" s="87"/>
      <c r="M52" s="87"/>
      <c r="N52" s="87"/>
      <c r="O52" s="87"/>
      <c r="P52" s="87"/>
      <c r="Q52" s="87"/>
      <c r="R52" s="87"/>
    </row>
    <row r="53" spans="2:18" x14ac:dyDescent="0.25">
      <c r="B53" s="87"/>
      <c r="C53" s="87"/>
      <c r="D53" s="87"/>
      <c r="E53" s="87"/>
      <c r="F53" s="87"/>
      <c r="G53" s="87"/>
      <c r="H53" s="87"/>
      <c r="L53" s="87"/>
      <c r="M53" s="87"/>
      <c r="N53" s="87"/>
      <c r="O53" s="87"/>
      <c r="P53" s="87"/>
      <c r="Q53" s="87"/>
      <c r="R53" s="87"/>
    </row>
    <row r="54" spans="2:18" x14ac:dyDescent="0.25">
      <c r="B54" s="87"/>
      <c r="C54" s="87"/>
      <c r="D54" s="87"/>
      <c r="E54" s="87"/>
      <c r="F54" s="87"/>
      <c r="G54" s="87"/>
      <c r="H54" s="87"/>
      <c r="L54" s="87"/>
      <c r="M54" s="87"/>
      <c r="N54" s="87"/>
      <c r="O54" s="87"/>
      <c r="P54" s="87"/>
      <c r="Q54" s="87"/>
      <c r="R54" s="87"/>
    </row>
    <row r="55" spans="2:18" x14ac:dyDescent="0.25">
      <c r="B55" s="87"/>
      <c r="C55" s="87"/>
      <c r="D55" s="87"/>
      <c r="E55" s="87"/>
      <c r="F55" s="87"/>
      <c r="G55" s="87"/>
      <c r="H55" s="87"/>
      <c r="L55" s="87"/>
      <c r="M55" s="87"/>
      <c r="N55" s="87"/>
      <c r="O55" s="87"/>
      <c r="P55" s="87"/>
      <c r="Q55" s="87"/>
      <c r="R55" s="87"/>
    </row>
    <row r="56" spans="2:18" x14ac:dyDescent="0.25">
      <c r="B56" s="87"/>
      <c r="C56" s="87"/>
      <c r="D56" s="87"/>
      <c r="E56" s="87"/>
      <c r="F56" s="87"/>
      <c r="G56" s="87"/>
      <c r="H56" s="87"/>
      <c r="L56" s="87"/>
      <c r="M56" s="87"/>
      <c r="N56" s="87"/>
      <c r="O56" s="87"/>
      <c r="P56" s="87"/>
      <c r="Q56" s="87"/>
      <c r="R56" s="87"/>
    </row>
    <row r="57" spans="2:18" x14ac:dyDescent="0.25">
      <c r="B57" s="87"/>
      <c r="C57" s="87"/>
      <c r="D57" s="87"/>
      <c r="E57" s="87"/>
      <c r="F57" s="87"/>
      <c r="G57" s="87"/>
      <c r="H57" s="87"/>
      <c r="L57" s="87"/>
      <c r="M57" s="87"/>
      <c r="N57" s="87"/>
      <c r="O57" s="87"/>
      <c r="P57" s="87"/>
      <c r="Q57" s="87"/>
      <c r="R57" s="87"/>
    </row>
    <row r="58" spans="2:18" x14ac:dyDescent="0.25">
      <c r="B58" s="87"/>
      <c r="C58" s="87"/>
      <c r="D58" s="87"/>
      <c r="E58" s="87"/>
      <c r="F58" s="87"/>
      <c r="G58" s="87"/>
      <c r="H58" s="87"/>
      <c r="L58" s="87"/>
      <c r="M58" s="87"/>
      <c r="N58" s="87"/>
      <c r="O58" s="87"/>
      <c r="P58" s="87"/>
      <c r="Q58" s="87"/>
      <c r="R58" s="87"/>
    </row>
    <row r="59" spans="2:18" x14ac:dyDescent="0.25">
      <c r="B59" s="87"/>
      <c r="C59" s="87"/>
      <c r="D59" s="87"/>
      <c r="E59" s="87"/>
      <c r="F59" s="87"/>
      <c r="G59" s="87"/>
      <c r="H59" s="87"/>
      <c r="L59" s="87"/>
      <c r="M59" s="87"/>
      <c r="N59" s="87"/>
      <c r="O59" s="87"/>
      <c r="P59" s="87"/>
      <c r="Q59" s="87"/>
      <c r="R59" s="87"/>
    </row>
    <row r="60" spans="2:18" x14ac:dyDescent="0.25">
      <c r="B60" s="87"/>
      <c r="C60" s="87"/>
      <c r="D60" s="87"/>
      <c r="E60" s="87"/>
      <c r="F60" s="87"/>
      <c r="G60" s="87"/>
      <c r="H60" s="87"/>
      <c r="L60" s="87"/>
      <c r="M60" s="87"/>
      <c r="N60" s="87"/>
      <c r="O60" s="87"/>
      <c r="P60" s="87"/>
      <c r="Q60" s="87"/>
      <c r="R60" s="87"/>
    </row>
    <row r="61" spans="2:18" x14ac:dyDescent="0.25">
      <c r="B61" s="87"/>
      <c r="C61" s="87"/>
      <c r="D61" s="87"/>
      <c r="E61" s="87"/>
      <c r="F61" s="87"/>
      <c r="G61" s="87"/>
      <c r="H61" s="87"/>
      <c r="L61" s="87"/>
      <c r="M61" s="87"/>
      <c r="N61" s="87"/>
      <c r="O61" s="87"/>
      <c r="P61" s="87"/>
      <c r="Q61" s="87"/>
      <c r="R61" s="87"/>
    </row>
    <row r="62" spans="2:18" x14ac:dyDescent="0.25">
      <c r="B62" s="87"/>
      <c r="C62" s="87"/>
      <c r="D62" s="87"/>
      <c r="E62" s="87"/>
      <c r="F62" s="87"/>
      <c r="G62" s="87"/>
      <c r="H62" s="87"/>
      <c r="L62" s="87"/>
      <c r="M62" s="87"/>
      <c r="N62" s="87"/>
      <c r="O62" s="87"/>
      <c r="P62" s="87"/>
      <c r="Q62" s="87"/>
      <c r="R62" s="87"/>
    </row>
    <row r="63" spans="2:18" x14ac:dyDescent="0.25">
      <c r="B63" s="87"/>
      <c r="C63" s="87"/>
      <c r="D63" s="87"/>
      <c r="E63" s="87"/>
      <c r="F63" s="87"/>
      <c r="G63" s="87"/>
      <c r="H63" s="87"/>
      <c r="L63" s="87"/>
      <c r="M63" s="87"/>
      <c r="N63" s="87"/>
      <c r="O63" s="87"/>
      <c r="P63" s="87"/>
      <c r="Q63" s="87"/>
      <c r="R63" s="87"/>
    </row>
    <row r="64" spans="2:18" x14ac:dyDescent="0.25">
      <c r="B64" s="87"/>
      <c r="C64" s="87"/>
      <c r="D64" s="87"/>
      <c r="E64" s="87"/>
      <c r="F64" s="87"/>
      <c r="G64" s="87"/>
      <c r="H64" s="87"/>
      <c r="L64" s="87"/>
      <c r="M64" s="87"/>
      <c r="N64" s="87"/>
      <c r="O64" s="87"/>
      <c r="P64" s="87"/>
      <c r="Q64" s="87"/>
      <c r="R64" s="87"/>
    </row>
    <row r="65" spans="2:18" x14ac:dyDescent="0.25">
      <c r="B65" s="87"/>
      <c r="C65" s="87"/>
      <c r="D65" s="87"/>
      <c r="E65" s="87"/>
      <c r="F65" s="87"/>
      <c r="G65" s="87"/>
      <c r="H65" s="87"/>
      <c r="L65" s="87"/>
      <c r="M65" s="87"/>
      <c r="N65" s="87"/>
      <c r="O65" s="87"/>
      <c r="P65" s="87"/>
      <c r="Q65" s="87"/>
      <c r="R65" s="87"/>
    </row>
    <row r="66" spans="2:18" x14ac:dyDescent="0.25">
      <c r="B66" s="87"/>
      <c r="C66" s="87"/>
      <c r="D66" s="87"/>
      <c r="E66" s="87"/>
      <c r="F66" s="87"/>
      <c r="G66" s="87"/>
      <c r="H66" s="87"/>
      <c r="L66" s="87"/>
      <c r="M66" s="87"/>
      <c r="N66" s="87"/>
      <c r="O66" s="87"/>
      <c r="P66" s="87"/>
      <c r="Q66" s="87"/>
      <c r="R66" s="87"/>
    </row>
    <row r="67" spans="2:18" x14ac:dyDescent="0.25">
      <c r="B67" s="87"/>
      <c r="C67" s="87"/>
      <c r="D67" s="87"/>
      <c r="E67" s="87"/>
      <c r="F67" s="87"/>
      <c r="G67" s="87"/>
      <c r="H67" s="87"/>
      <c r="L67" s="87"/>
      <c r="M67" s="87"/>
      <c r="N67" s="87"/>
      <c r="O67" s="87"/>
      <c r="P67" s="87"/>
      <c r="Q67" s="87"/>
      <c r="R67" s="87"/>
    </row>
    <row r="68" spans="2:18" x14ac:dyDescent="0.25">
      <c r="B68" s="87"/>
      <c r="C68" s="87"/>
      <c r="D68" s="87"/>
      <c r="E68" s="87"/>
      <c r="F68" s="87"/>
      <c r="G68" s="87"/>
      <c r="H68" s="87"/>
      <c r="L68" s="87"/>
      <c r="M68" s="87"/>
      <c r="N68" s="87"/>
      <c r="O68" s="87"/>
      <c r="P68" s="87"/>
      <c r="Q68" s="87"/>
      <c r="R68" s="87"/>
    </row>
    <row r="69" spans="2:18" x14ac:dyDescent="0.25">
      <c r="B69" s="87"/>
      <c r="C69" s="87"/>
      <c r="D69" s="87"/>
      <c r="E69" s="87"/>
      <c r="F69" s="87"/>
      <c r="G69" s="87"/>
      <c r="H69" s="87"/>
      <c r="L69" s="87"/>
      <c r="M69" s="87"/>
      <c r="N69" s="87"/>
      <c r="O69" s="87"/>
      <c r="P69" s="87"/>
      <c r="Q69" s="87"/>
      <c r="R69" s="87"/>
    </row>
    <row r="70" spans="2:18" x14ac:dyDescent="0.25">
      <c r="B70" s="87"/>
      <c r="C70" s="87"/>
      <c r="D70" s="87"/>
      <c r="E70" s="87"/>
      <c r="F70" s="87"/>
      <c r="G70" s="87"/>
      <c r="H70" s="87"/>
      <c r="L70" s="87"/>
      <c r="M70" s="87"/>
      <c r="N70" s="87"/>
      <c r="O70" s="87"/>
      <c r="P70" s="87"/>
      <c r="Q70" s="87"/>
      <c r="R70" s="87"/>
    </row>
    <row r="71" spans="2:18" x14ac:dyDescent="0.25">
      <c r="B71" s="87"/>
      <c r="C71" s="87"/>
      <c r="D71" s="87"/>
      <c r="E71" s="87"/>
      <c r="F71" s="87"/>
      <c r="G71" s="87"/>
      <c r="H71" s="87"/>
      <c r="L71" s="87"/>
      <c r="M71" s="87"/>
      <c r="N71" s="87"/>
      <c r="O71" s="87"/>
      <c r="P71" s="87"/>
      <c r="Q71" s="87"/>
      <c r="R71" s="87"/>
    </row>
    <row r="72" spans="2:18" x14ac:dyDescent="0.25">
      <c r="B72" s="87"/>
      <c r="C72" s="87"/>
      <c r="D72" s="87"/>
      <c r="E72" s="87"/>
      <c r="F72" s="87"/>
      <c r="G72" s="87"/>
      <c r="H72" s="87"/>
      <c r="L72" s="87"/>
      <c r="M72" s="87"/>
      <c r="N72" s="87"/>
      <c r="O72" s="87"/>
      <c r="P72" s="87"/>
      <c r="Q72" s="87"/>
      <c r="R72" s="87"/>
    </row>
    <row r="73" spans="2:18" x14ac:dyDescent="0.25">
      <c r="B73" s="87"/>
      <c r="C73" s="87"/>
      <c r="D73" s="87"/>
      <c r="E73" s="87"/>
      <c r="F73" s="87"/>
      <c r="G73" s="87"/>
      <c r="H73" s="87"/>
      <c r="L73" s="87"/>
      <c r="M73" s="87"/>
      <c r="N73" s="87"/>
      <c r="O73" s="87"/>
      <c r="P73" s="87"/>
      <c r="Q73" s="87"/>
      <c r="R73" s="87"/>
    </row>
    <row r="74" spans="2:18" x14ac:dyDescent="0.25">
      <c r="B74" s="87"/>
      <c r="C74" s="87"/>
      <c r="D74" s="87"/>
      <c r="E74" s="87"/>
      <c r="F74" s="87"/>
      <c r="G74" s="87"/>
      <c r="H74" s="87"/>
      <c r="L74" s="87"/>
      <c r="M74" s="87"/>
      <c r="N74" s="87"/>
      <c r="O74" s="87"/>
      <c r="P74" s="87"/>
      <c r="Q74" s="87"/>
      <c r="R74" s="87"/>
    </row>
    <row r="75" spans="2:18" x14ac:dyDescent="0.25">
      <c r="B75" s="87"/>
      <c r="C75" s="87"/>
      <c r="D75" s="87"/>
      <c r="E75" s="87"/>
      <c r="F75" s="87"/>
      <c r="G75" s="87"/>
      <c r="H75" s="87"/>
      <c r="L75" s="87"/>
      <c r="M75" s="87"/>
      <c r="N75" s="87"/>
      <c r="O75" s="87"/>
      <c r="P75" s="87"/>
      <c r="Q75" s="87"/>
      <c r="R75" s="87"/>
    </row>
    <row r="76" spans="2:18" x14ac:dyDescent="0.25">
      <c r="B76" s="87"/>
      <c r="C76" s="87"/>
      <c r="D76" s="87"/>
      <c r="E76" s="87"/>
      <c r="F76" s="87"/>
      <c r="G76" s="87"/>
      <c r="H76" s="87"/>
      <c r="L76" s="87"/>
      <c r="M76" s="87"/>
      <c r="N76" s="87"/>
      <c r="O76" s="87"/>
      <c r="P76" s="87"/>
      <c r="Q76" s="87"/>
      <c r="R76" s="87"/>
    </row>
    <row r="77" spans="2:18" x14ac:dyDescent="0.25">
      <c r="B77" s="87"/>
      <c r="C77" s="87"/>
      <c r="D77" s="87"/>
      <c r="E77" s="87"/>
      <c r="F77" s="87"/>
      <c r="G77" s="87"/>
      <c r="H77" s="87"/>
      <c r="L77" s="87"/>
      <c r="M77" s="87"/>
      <c r="N77" s="87"/>
      <c r="O77" s="87"/>
      <c r="P77" s="87"/>
      <c r="Q77" s="87"/>
      <c r="R77" s="87"/>
    </row>
    <row r="78" spans="2:18" x14ac:dyDescent="0.25">
      <c r="L78" s="87"/>
      <c r="M78" s="87"/>
      <c r="N78" s="87"/>
      <c r="O78" s="87"/>
      <c r="P78" s="87"/>
      <c r="Q78" s="87"/>
      <c r="R78" s="87"/>
    </row>
    <row r="79" spans="2:18" x14ac:dyDescent="0.25">
      <c r="L79" s="87"/>
      <c r="M79" s="87"/>
      <c r="N79" s="87"/>
      <c r="O79" s="87"/>
      <c r="P79" s="87"/>
      <c r="Q79" s="87"/>
      <c r="R79" s="87"/>
    </row>
    <row r="80" spans="2:18" x14ac:dyDescent="0.25">
      <c r="L80" s="87"/>
      <c r="M80" s="87"/>
      <c r="N80" s="87"/>
      <c r="O80" s="87"/>
      <c r="P80" s="87"/>
      <c r="Q80" s="87"/>
      <c r="R80" s="87"/>
    </row>
  </sheetData>
  <mergeCells count="5">
    <mergeCell ref="B2:H2"/>
    <mergeCell ref="L2:R2"/>
    <mergeCell ref="L3:R41"/>
    <mergeCell ref="B3:H77"/>
    <mergeCell ref="L42:R8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/>
  <dimension ref="A1:I51"/>
  <sheetViews>
    <sheetView zoomScale="85" zoomScaleNormal="85" workbookViewId="0">
      <selection activeCell="A30" sqref="A30"/>
    </sheetView>
  </sheetViews>
  <sheetFormatPr baseColWidth="10" defaultColWidth="9.140625" defaultRowHeight="15" x14ac:dyDescent="0.25"/>
  <cols>
    <col min="1" max="1" width="14.28515625" bestFit="1" customWidth="1"/>
    <col min="2" max="2" width="13.140625" bestFit="1" customWidth="1"/>
    <col min="6" max="7" width="13.28515625" customWidth="1"/>
    <col min="8" max="8" width="15.7109375" customWidth="1"/>
    <col min="9" max="9" width="17.140625" customWidth="1"/>
  </cols>
  <sheetData>
    <row r="1" spans="1:9" ht="14.45" customHeight="1" x14ac:dyDescent="0.25">
      <c r="A1" s="90" t="s">
        <v>22</v>
      </c>
      <c r="B1" s="91"/>
      <c r="D1" s="88" t="s">
        <v>20</v>
      </c>
      <c r="E1" s="88" t="s">
        <v>21</v>
      </c>
      <c r="F1" s="88" t="s">
        <v>7</v>
      </c>
      <c r="G1" s="88" t="s">
        <v>63</v>
      </c>
      <c r="H1" s="88" t="s">
        <v>23</v>
      </c>
      <c r="I1" s="88" t="s">
        <v>24</v>
      </c>
    </row>
    <row r="2" spans="1:9" ht="14.45" customHeight="1" thickBot="1" x14ac:dyDescent="0.3">
      <c r="A2" s="92"/>
      <c r="B2" s="93"/>
      <c r="D2" s="89"/>
      <c r="E2" s="89"/>
      <c r="F2" s="89"/>
      <c r="G2" s="89"/>
      <c r="H2" s="89"/>
      <c r="I2" s="89"/>
    </row>
    <row r="3" spans="1:9" x14ac:dyDescent="0.25">
      <c r="A3" s="1" t="s">
        <v>1</v>
      </c>
      <c r="B3" s="1" t="s">
        <v>17</v>
      </c>
      <c r="D3" s="6">
        <f>1</f>
        <v>1</v>
      </c>
      <c r="E3" s="6">
        <v>5</v>
      </c>
      <c r="F3" s="6">
        <v>0</v>
      </c>
      <c r="G3" s="6">
        <f t="shared" ref="G3:G34" si="0">GBSPrice</f>
        <v>13.346464945879582</v>
      </c>
      <c r="H3" s="7">
        <f t="shared" ref="H3:H34" si="1">IF(GBSPrice&lt;&gt;"" &amp; E3&lt;&gt;"",ABS(E3-GBSPrice),"")</f>
        <v>8.3464649458795819</v>
      </c>
      <c r="I3" s="7">
        <f>IF($H3&lt;&gt;"", $H3*$D3, "")</f>
        <v>8.3464649458795819</v>
      </c>
    </row>
    <row r="4" spans="1:9" x14ac:dyDescent="0.25">
      <c r="A4" s="1" t="s">
        <v>2</v>
      </c>
      <c r="B4" s="1" t="s">
        <v>18</v>
      </c>
      <c r="D4" s="4">
        <v>5</v>
      </c>
      <c r="E4" s="6">
        <v>12.233802874789152</v>
      </c>
      <c r="F4" s="4">
        <v>0</v>
      </c>
      <c r="G4" s="6">
        <f t="shared" si="0"/>
        <v>13.346464945879582</v>
      </c>
      <c r="H4" s="7">
        <f t="shared" si="1"/>
        <v>1.1126620710904298</v>
      </c>
      <c r="I4" s="5">
        <f t="shared" ref="I4:I51" si="2">IF($H4&lt;&gt;"", $H4*$D4, "")</f>
        <v>5.563310355452149</v>
      </c>
    </row>
    <row r="5" spans="1:9" x14ac:dyDescent="0.25">
      <c r="A5" s="1" t="s">
        <v>15</v>
      </c>
      <c r="B5" s="1">
        <v>100</v>
      </c>
      <c r="D5" s="4">
        <v>10</v>
      </c>
      <c r="E5" s="6">
        <v>12.649620027924502</v>
      </c>
      <c r="F5" s="4">
        <v>0</v>
      </c>
      <c r="G5" s="6">
        <f t="shared" si="0"/>
        <v>13.346464945879582</v>
      </c>
      <c r="H5" s="7">
        <f t="shared" si="1"/>
        <v>0.69684491795507952</v>
      </c>
      <c r="I5" s="5">
        <f t="shared" si="2"/>
        <v>6.9684491795507952</v>
      </c>
    </row>
    <row r="6" spans="1:9" x14ac:dyDescent="0.25">
      <c r="A6" s="1" t="s">
        <v>16</v>
      </c>
      <c r="B6" s="1">
        <v>95</v>
      </c>
      <c r="D6" s="4">
        <v>20</v>
      </c>
      <c r="E6" s="6">
        <v>13.042881644990647</v>
      </c>
      <c r="F6" s="4">
        <v>7.8125E-3</v>
      </c>
      <c r="G6" s="6">
        <f t="shared" si="0"/>
        <v>13.346464945879582</v>
      </c>
      <c r="H6" s="7">
        <f t="shared" si="1"/>
        <v>0.30358330088893482</v>
      </c>
      <c r="I6" s="5">
        <f t="shared" si="2"/>
        <v>6.0716660177786963</v>
      </c>
    </row>
    <row r="7" spans="1:9" x14ac:dyDescent="0.25">
      <c r="A7" s="1" t="s">
        <v>3</v>
      </c>
      <c r="B7" s="3">
        <v>0.2</v>
      </c>
      <c r="D7" s="4">
        <v>30</v>
      </c>
      <c r="E7" s="6">
        <v>13.162633736050946</v>
      </c>
      <c r="F7" s="4">
        <v>1.5625E-2</v>
      </c>
      <c r="G7" s="6">
        <f t="shared" si="0"/>
        <v>13.346464945879582</v>
      </c>
      <c r="H7" s="7">
        <f t="shared" si="1"/>
        <v>0.18383120982863588</v>
      </c>
      <c r="I7" s="5">
        <f t="shared" si="2"/>
        <v>5.5149362948590763</v>
      </c>
    </row>
    <row r="8" spans="1:9" x14ac:dyDescent="0.25">
      <c r="A8" s="1" t="s">
        <v>5</v>
      </c>
      <c r="B8" s="1">
        <v>1</v>
      </c>
      <c r="D8" s="4">
        <v>50</v>
      </c>
      <c r="E8" s="6">
        <v>13.195291663783172</v>
      </c>
      <c r="F8" s="4">
        <v>1.5625E-2</v>
      </c>
      <c r="G8" s="6">
        <f t="shared" si="0"/>
        <v>13.346464945879582</v>
      </c>
      <c r="H8" s="7">
        <f t="shared" si="1"/>
        <v>0.15117328209641023</v>
      </c>
      <c r="I8" s="5">
        <f t="shared" si="2"/>
        <v>7.5586641048205117</v>
      </c>
    </row>
    <row r="9" spans="1:9" x14ac:dyDescent="0.25">
      <c r="A9" s="1" t="s">
        <v>4</v>
      </c>
      <c r="B9" s="3">
        <v>0.05</v>
      </c>
      <c r="D9" s="4">
        <v>75</v>
      </c>
      <c r="E9" s="6">
        <v>13.273560995150662</v>
      </c>
      <c r="F9" s="4">
        <v>2.34375E-2</v>
      </c>
      <c r="G9" s="6">
        <f t="shared" si="0"/>
        <v>13.346464945879582</v>
      </c>
      <c r="H9" s="7">
        <f t="shared" si="1"/>
        <v>7.2903950728919753E-2</v>
      </c>
      <c r="I9" s="5">
        <f t="shared" si="2"/>
        <v>5.4677963046689815</v>
      </c>
    </row>
    <row r="10" spans="1:9" x14ac:dyDescent="0.25">
      <c r="A10" s="1" t="s">
        <v>14</v>
      </c>
      <c r="B10" s="1">
        <v>0</v>
      </c>
      <c r="D10" s="4">
        <v>100</v>
      </c>
      <c r="E10" s="6">
        <v>13.275168625709995</v>
      </c>
      <c r="F10" s="4">
        <v>3.90625E-2</v>
      </c>
      <c r="G10" s="6">
        <f t="shared" si="0"/>
        <v>13.346464945879582</v>
      </c>
      <c r="H10" s="7">
        <f t="shared" si="1"/>
        <v>7.1296320169587091E-2</v>
      </c>
      <c r="I10" s="5">
        <f t="shared" si="2"/>
        <v>7.1296320169587091</v>
      </c>
    </row>
    <row r="11" spans="1:9" x14ac:dyDescent="0.25">
      <c r="A11" s="1" t="s">
        <v>13</v>
      </c>
      <c r="B11" s="2">
        <v>45292</v>
      </c>
      <c r="D11" s="4">
        <v>125</v>
      </c>
      <c r="E11" s="6">
        <v>13.297785474379225</v>
      </c>
      <c r="F11" s="4">
        <v>5.46875E-2</v>
      </c>
      <c r="G11" s="6">
        <f t="shared" si="0"/>
        <v>13.346464945879582</v>
      </c>
      <c r="H11" s="7">
        <f t="shared" si="1"/>
        <v>4.8679471500356897E-2</v>
      </c>
      <c r="I11" s="5">
        <f t="shared" si="2"/>
        <v>6.0849339375446121</v>
      </c>
    </row>
    <row r="12" spans="1:9" x14ac:dyDescent="0.25">
      <c r="A12" s="1" t="s">
        <v>12</v>
      </c>
      <c r="B12" s="2"/>
      <c r="D12" s="4">
        <f>D11+25</f>
        <v>150</v>
      </c>
      <c r="E12" s="6">
        <v>13.309765247556847</v>
      </c>
      <c r="F12" s="4">
        <v>7.8125E-2</v>
      </c>
      <c r="G12" s="6">
        <f t="shared" si="0"/>
        <v>13.346464945879582</v>
      </c>
      <c r="H12" s="7">
        <f t="shared" si="1"/>
        <v>3.669969832273523E-2</v>
      </c>
      <c r="I12" s="5">
        <f t="shared" si="2"/>
        <v>5.5049547484102845</v>
      </c>
    </row>
    <row r="13" spans="1:9" x14ac:dyDescent="0.25">
      <c r="D13" s="4">
        <f t="shared" ref="D13:D26" si="3">D12+25</f>
        <v>175</v>
      </c>
      <c r="E13" s="6">
        <v>13.30805630686049</v>
      </c>
      <c r="F13" s="4">
        <v>9.375E-2</v>
      </c>
      <c r="G13" s="6">
        <f t="shared" si="0"/>
        <v>13.346464945879582</v>
      </c>
      <c r="H13" s="7">
        <f t="shared" si="1"/>
        <v>3.8408639019092305E-2</v>
      </c>
      <c r="I13" s="5">
        <f t="shared" si="2"/>
        <v>6.7215118283411535</v>
      </c>
    </row>
    <row r="14" spans="1:9" ht="14.45" customHeight="1" x14ac:dyDescent="0.25">
      <c r="A14" s="94" t="s">
        <v>8</v>
      </c>
      <c r="B14" s="95"/>
      <c r="D14" s="4">
        <f t="shared" si="3"/>
        <v>200</v>
      </c>
      <c r="E14" s="6">
        <v>13.312035407263924</v>
      </c>
      <c r="F14" s="4">
        <v>0.1171875</v>
      </c>
      <c r="G14" s="6">
        <f t="shared" si="0"/>
        <v>13.346464945879582</v>
      </c>
      <c r="H14" s="7">
        <f t="shared" si="1"/>
        <v>3.4429538615658117E-2</v>
      </c>
      <c r="I14" s="5">
        <f t="shared" si="2"/>
        <v>6.8859077231316235</v>
      </c>
    </row>
    <row r="15" spans="1:9" ht="14.45" customHeight="1" x14ac:dyDescent="0.25">
      <c r="A15" s="94"/>
      <c r="B15" s="95"/>
      <c r="D15" s="4">
        <f t="shared" si="3"/>
        <v>225</v>
      </c>
      <c r="E15" s="6">
        <v>13.321453893289123</v>
      </c>
      <c r="F15" s="4">
        <v>0.1328125</v>
      </c>
      <c r="G15" s="6">
        <f t="shared" si="0"/>
        <v>13.346464945879582</v>
      </c>
      <c r="H15" s="7">
        <f t="shared" si="1"/>
        <v>2.5011052590459215E-2</v>
      </c>
      <c r="I15" s="5">
        <f t="shared" si="2"/>
        <v>5.6274868328533234</v>
      </c>
    </row>
    <row r="16" spans="1:9" ht="15" customHeight="1" x14ac:dyDescent="0.25">
      <c r="A16" s="9" t="s">
        <v>9</v>
      </c>
      <c r="B16" s="10"/>
      <c r="D16" s="4">
        <f>D15+25</f>
        <v>250</v>
      </c>
      <c r="E16" s="6">
        <v>13.324129272967527</v>
      </c>
      <c r="F16" s="4">
        <v>0.1640625</v>
      </c>
      <c r="G16" s="6">
        <f t="shared" si="0"/>
        <v>13.346464945879582</v>
      </c>
      <c r="H16" s="7">
        <f t="shared" si="1"/>
        <v>2.233567291205496E-2</v>
      </c>
      <c r="I16" s="5">
        <f>IF($H16&lt;&gt;"", $H16*$D16, "")</f>
        <v>5.58391822801374</v>
      </c>
    </row>
    <row r="17" spans="1:9" x14ac:dyDescent="0.25">
      <c r="A17">
        <v>13.346464945879582</v>
      </c>
      <c r="D17" s="4">
        <f>D16+25</f>
        <v>275</v>
      </c>
      <c r="E17" s="6">
        <v>13.322451060626781</v>
      </c>
      <c r="F17" s="4">
        <v>0.1875</v>
      </c>
      <c r="G17" s="6">
        <f t="shared" si="0"/>
        <v>13.346464945879582</v>
      </c>
      <c r="H17" s="7">
        <f t="shared" si="1"/>
        <v>2.4013885252800904E-2</v>
      </c>
      <c r="I17" s="5">
        <f t="shared" si="2"/>
        <v>6.6038184445202486</v>
      </c>
    </row>
    <row r="18" spans="1:9" x14ac:dyDescent="0.25">
      <c r="D18" s="4">
        <f t="shared" si="3"/>
        <v>300</v>
      </c>
      <c r="E18" s="6">
        <v>13.321678719298442</v>
      </c>
      <c r="F18" s="4">
        <v>0.2109375</v>
      </c>
      <c r="G18" s="6">
        <f t="shared" si="0"/>
        <v>13.346464945879582</v>
      </c>
      <c r="H18" s="7">
        <f t="shared" si="1"/>
        <v>2.4786226581140269E-2</v>
      </c>
      <c r="I18" s="5">
        <f t="shared" si="2"/>
        <v>7.4358679743420808</v>
      </c>
    </row>
    <row r="19" spans="1:9" x14ac:dyDescent="0.25">
      <c r="D19" s="4">
        <f t="shared" si="3"/>
        <v>325</v>
      </c>
      <c r="E19" s="6">
        <v>13.327891226129612</v>
      </c>
      <c r="F19" s="4">
        <v>0.234375</v>
      </c>
      <c r="G19" s="6">
        <f t="shared" si="0"/>
        <v>13.346464945879582</v>
      </c>
      <c r="H19" s="7">
        <f t="shared" si="1"/>
        <v>1.8573719749969797E-2</v>
      </c>
      <c r="I19" s="5">
        <f t="shared" si="2"/>
        <v>6.036458918740184</v>
      </c>
    </row>
    <row r="20" spans="1:9" x14ac:dyDescent="0.25">
      <c r="D20" s="4">
        <f t="shared" si="3"/>
        <v>350</v>
      </c>
      <c r="E20" s="6">
        <v>13.330808547412669</v>
      </c>
      <c r="F20" s="4">
        <v>0.265625</v>
      </c>
      <c r="G20" s="6">
        <f t="shared" si="0"/>
        <v>13.346464945879582</v>
      </c>
      <c r="H20" s="7">
        <f t="shared" si="1"/>
        <v>1.5656398466912691E-2</v>
      </c>
      <c r="I20" s="5">
        <f t="shared" si="2"/>
        <v>5.4797394634194418</v>
      </c>
    </row>
    <row r="21" spans="1:9" x14ac:dyDescent="0.25">
      <c r="D21" s="4">
        <f t="shared" si="3"/>
        <v>375</v>
      </c>
      <c r="E21" s="6">
        <v>13.331285975268786</v>
      </c>
      <c r="F21" s="4">
        <v>0.296875</v>
      </c>
      <c r="G21" s="6">
        <f t="shared" si="0"/>
        <v>13.346464945879582</v>
      </c>
      <c r="H21" s="7">
        <f t="shared" si="1"/>
        <v>1.5178970610795872E-2</v>
      </c>
      <c r="I21" s="5">
        <f t="shared" si="2"/>
        <v>5.6921139790484521</v>
      </c>
    </row>
    <row r="22" spans="1:9" x14ac:dyDescent="0.25">
      <c r="D22" s="4">
        <f t="shared" si="3"/>
        <v>400</v>
      </c>
      <c r="E22" s="6">
        <v>13.329941832740159</v>
      </c>
      <c r="F22" s="4">
        <v>0.3203125</v>
      </c>
      <c r="G22" s="6">
        <f t="shared" si="0"/>
        <v>13.346464945879582</v>
      </c>
      <c r="H22" s="7">
        <f t="shared" si="1"/>
        <v>1.6523113139422563E-2</v>
      </c>
      <c r="I22" s="5">
        <f t="shared" si="2"/>
        <v>6.6092452557690251</v>
      </c>
    </row>
    <row r="23" spans="1:9" x14ac:dyDescent="0.25">
      <c r="D23" s="4">
        <f t="shared" si="3"/>
        <v>425</v>
      </c>
      <c r="E23" s="6">
        <v>13.328223839195781</v>
      </c>
      <c r="F23" s="4">
        <v>0.3515625</v>
      </c>
      <c r="G23" s="6">
        <f t="shared" si="0"/>
        <v>13.346464945879582</v>
      </c>
      <c r="H23" s="7">
        <f t="shared" si="1"/>
        <v>1.8241106683801078E-2</v>
      </c>
      <c r="I23" s="5">
        <f t="shared" si="2"/>
        <v>7.7524703406154583</v>
      </c>
    </row>
    <row r="24" spans="1:9" x14ac:dyDescent="0.25">
      <c r="D24" s="4">
        <f t="shared" si="3"/>
        <v>450</v>
      </c>
      <c r="E24" s="6">
        <v>13.332249427111936</v>
      </c>
      <c r="F24" s="4">
        <v>0.375</v>
      </c>
      <c r="G24" s="6">
        <f t="shared" si="0"/>
        <v>13.346464945879582</v>
      </c>
      <c r="H24" s="7">
        <f t="shared" si="1"/>
        <v>1.4215518767645818E-2</v>
      </c>
      <c r="I24" s="5">
        <f t="shared" si="2"/>
        <v>6.3969834454406183</v>
      </c>
    </row>
    <row r="25" spans="1:9" x14ac:dyDescent="0.25">
      <c r="D25" s="4">
        <f t="shared" si="3"/>
        <v>475</v>
      </c>
      <c r="E25" s="6">
        <v>13.334571611379317</v>
      </c>
      <c r="F25" s="4">
        <v>0.4140625</v>
      </c>
      <c r="G25" s="6">
        <f t="shared" si="0"/>
        <v>13.346464945879582</v>
      </c>
      <c r="H25" s="7">
        <f t="shared" si="1"/>
        <v>1.189333450026453E-2</v>
      </c>
      <c r="I25" s="5">
        <f t="shared" si="2"/>
        <v>5.6493338876256516</v>
      </c>
    </row>
    <row r="26" spans="1:9" x14ac:dyDescent="0.25">
      <c r="D26" s="4">
        <f t="shared" si="3"/>
        <v>500</v>
      </c>
      <c r="E26" s="6">
        <v>13.335523495052209</v>
      </c>
      <c r="F26" s="4">
        <v>0.4375</v>
      </c>
      <c r="G26" s="6">
        <f t="shared" si="0"/>
        <v>13.346464945879582</v>
      </c>
      <c r="H26" s="7">
        <f t="shared" si="1"/>
        <v>1.0941450827372634E-2</v>
      </c>
      <c r="I26" s="5">
        <f t="shared" si="2"/>
        <v>5.470725413686317</v>
      </c>
    </row>
    <row r="27" spans="1:9" x14ac:dyDescent="0.25">
      <c r="D27" s="4">
        <f>D26+50</f>
        <v>550</v>
      </c>
      <c r="E27" s="6">
        <v>13.334314138758428</v>
      </c>
      <c r="F27" s="4">
        <v>0.5</v>
      </c>
      <c r="G27" s="6">
        <f t="shared" si="0"/>
        <v>13.346464945879582</v>
      </c>
      <c r="H27" s="7">
        <f t="shared" si="1"/>
        <v>1.2150807121154017E-2</v>
      </c>
      <c r="I27" s="5">
        <f t="shared" si="2"/>
        <v>6.6829439166347093</v>
      </c>
    </row>
    <row r="28" spans="1:9" x14ac:dyDescent="0.25">
      <c r="D28" s="4">
        <f t="shared" ref="D28:D36" si="4">D27+50</f>
        <v>600</v>
      </c>
      <c r="E28" s="6">
        <v>13.335383621662331</v>
      </c>
      <c r="F28" s="4">
        <v>0.5703125</v>
      </c>
      <c r="G28" s="6">
        <f t="shared" si="0"/>
        <v>13.346464945879582</v>
      </c>
      <c r="H28" s="7">
        <f t="shared" si="1"/>
        <v>1.1081324217251165E-2</v>
      </c>
      <c r="I28" s="5">
        <f t="shared" si="2"/>
        <v>6.648794530350699</v>
      </c>
    </row>
    <row r="29" spans="1:9" x14ac:dyDescent="0.25">
      <c r="D29" s="4">
        <f t="shared" si="4"/>
        <v>650</v>
      </c>
      <c r="E29" s="6">
        <v>13.338017463193999</v>
      </c>
      <c r="F29" s="4">
        <v>0.6484375</v>
      </c>
      <c r="G29" s="6">
        <f t="shared" si="0"/>
        <v>13.346464945879582</v>
      </c>
      <c r="H29" s="7">
        <f t="shared" si="1"/>
        <v>8.4474826855824858E-3</v>
      </c>
      <c r="I29" s="5">
        <f t="shared" si="2"/>
        <v>5.4908637456286158</v>
      </c>
    </row>
    <row r="30" spans="1:9" x14ac:dyDescent="0.25">
      <c r="D30" s="4">
        <f t="shared" si="4"/>
        <v>700</v>
      </c>
      <c r="E30" s="6">
        <v>13.337916327904633</v>
      </c>
      <c r="F30" s="4">
        <v>0.71875</v>
      </c>
      <c r="G30" s="6">
        <f t="shared" si="0"/>
        <v>13.346464945879582</v>
      </c>
      <c r="H30" s="7">
        <f t="shared" si="1"/>
        <v>8.548617974948769E-3</v>
      </c>
      <c r="I30" s="5">
        <f t="shared" si="2"/>
        <v>5.9840325824641383</v>
      </c>
    </row>
    <row r="31" spans="1:9" x14ac:dyDescent="0.25">
      <c r="D31" s="4">
        <f t="shared" si="4"/>
        <v>750</v>
      </c>
      <c r="E31" s="6">
        <v>13.335894615674485</v>
      </c>
      <c r="F31" s="4">
        <v>0.8046875</v>
      </c>
      <c r="G31" s="6">
        <f t="shared" si="0"/>
        <v>13.346464945879582</v>
      </c>
      <c r="H31" s="7">
        <f t="shared" si="1"/>
        <v>1.0570330205096568E-2</v>
      </c>
      <c r="I31" s="5">
        <f t="shared" si="2"/>
        <v>7.9277476538224256</v>
      </c>
    </row>
    <row r="32" spans="1:9" x14ac:dyDescent="0.25">
      <c r="D32" s="4">
        <f t="shared" si="4"/>
        <v>800</v>
      </c>
      <c r="E32" s="6">
        <v>13.338939936224589</v>
      </c>
      <c r="F32" s="4">
        <v>0.8828125</v>
      </c>
      <c r="G32" s="6">
        <f t="shared" si="0"/>
        <v>13.346464945879582</v>
      </c>
      <c r="H32" s="7">
        <f t="shared" si="1"/>
        <v>7.5250096549925871E-3</v>
      </c>
      <c r="I32" s="5">
        <f t="shared" si="2"/>
        <v>6.0200077239940697</v>
      </c>
    </row>
    <row r="33" spans="4:9" x14ac:dyDescent="0.25">
      <c r="D33" s="4">
        <f t="shared" si="4"/>
        <v>850</v>
      </c>
      <c r="E33" s="6">
        <v>13.340035194952302</v>
      </c>
      <c r="F33" s="4">
        <v>0.9765625</v>
      </c>
      <c r="G33" s="6">
        <f t="shared" si="0"/>
        <v>13.346464945879582</v>
      </c>
      <c r="H33" s="7">
        <f t="shared" si="1"/>
        <v>6.4297509272801534E-3</v>
      </c>
      <c r="I33" s="5">
        <f t="shared" si="2"/>
        <v>5.4652882881881304</v>
      </c>
    </row>
    <row r="34" spans="4:9" x14ac:dyDescent="0.25">
      <c r="D34" s="4">
        <f t="shared" si="4"/>
        <v>900</v>
      </c>
      <c r="E34" s="6">
        <v>13.339614049538303</v>
      </c>
      <c r="F34" s="4">
        <v>1.046875</v>
      </c>
      <c r="G34" s="6">
        <f t="shared" si="0"/>
        <v>13.346464945879582</v>
      </c>
      <c r="H34" s="7">
        <f t="shared" si="1"/>
        <v>6.8508963412785562E-3</v>
      </c>
      <c r="I34" s="5">
        <f t="shared" si="2"/>
        <v>6.1658067071507006</v>
      </c>
    </row>
    <row r="35" spans="4:9" x14ac:dyDescent="0.25">
      <c r="D35" s="4">
        <f>D34+50</f>
        <v>950</v>
      </c>
      <c r="E35" s="6">
        <v>13.338174913472741</v>
      </c>
      <c r="F35" s="4">
        <v>1.125</v>
      </c>
      <c r="G35" s="6">
        <f t="shared" ref="G35:G51" si="5">GBSPrice</f>
        <v>13.346464945879582</v>
      </c>
      <c r="H35" s="7">
        <f t="shared" ref="H35:H51" si="6">IF(GBSPrice&lt;&gt;"" &amp; E35&lt;&gt;"",ABS(E35-GBSPrice),"")</f>
        <v>8.2900324068404529E-3</v>
      </c>
      <c r="I35" s="5">
        <f t="shared" si="2"/>
        <v>7.8755307864984303</v>
      </c>
    </row>
    <row r="36" spans="4:9" x14ac:dyDescent="0.25">
      <c r="D36" s="4">
        <f t="shared" si="4"/>
        <v>1000</v>
      </c>
      <c r="E36" s="6">
        <v>13.340331743102258</v>
      </c>
      <c r="F36" s="4">
        <v>1.21875</v>
      </c>
      <c r="G36" s="6">
        <f t="shared" si="5"/>
        <v>13.346464945879582</v>
      </c>
      <c r="H36" s="7">
        <f t="shared" si="6"/>
        <v>6.1332027773239872E-3</v>
      </c>
      <c r="I36" s="5">
        <f t="shared" si="2"/>
        <v>6.1332027773239872</v>
      </c>
    </row>
    <row r="37" spans="4:9" x14ac:dyDescent="0.25">
      <c r="D37" s="4">
        <f>D36+100</f>
        <v>1100</v>
      </c>
      <c r="E37" s="6">
        <v>13.341165870154837</v>
      </c>
      <c r="F37" s="4">
        <v>1.40625</v>
      </c>
      <c r="G37" s="6">
        <f t="shared" si="5"/>
        <v>13.346464945879582</v>
      </c>
      <c r="H37" s="7">
        <f t="shared" si="6"/>
        <v>5.2990757247446396E-3</v>
      </c>
      <c r="I37" s="5">
        <f t="shared" si="2"/>
        <v>5.8289832972191036</v>
      </c>
    </row>
    <row r="38" spans="4:9" x14ac:dyDescent="0.25">
      <c r="D38" s="4">
        <f t="shared" ref="D38:D51" si="7">D37+100</f>
        <v>1200</v>
      </c>
      <c r="E38" s="6">
        <v>13.340740754000239</v>
      </c>
      <c r="F38" s="4">
        <v>1.5859375</v>
      </c>
      <c r="G38" s="6">
        <f t="shared" si="5"/>
        <v>13.346464945879582</v>
      </c>
      <c r="H38" s="7">
        <f t="shared" si="6"/>
        <v>5.7241918793433655E-3</v>
      </c>
      <c r="I38" s="5">
        <f t="shared" si="2"/>
        <v>6.8690302552120386</v>
      </c>
    </row>
    <row r="39" spans="4:9" x14ac:dyDescent="0.25">
      <c r="D39" s="4">
        <f t="shared" si="7"/>
        <v>1300</v>
      </c>
      <c r="E39" s="6">
        <v>13.342252859759325</v>
      </c>
      <c r="F39" s="4">
        <v>1.7890625</v>
      </c>
      <c r="G39" s="6">
        <f t="shared" si="5"/>
        <v>13.346464945879582</v>
      </c>
      <c r="H39" s="7">
        <f t="shared" si="6"/>
        <v>4.2120861202565862E-3</v>
      </c>
      <c r="I39" s="5">
        <f t="shared" si="2"/>
        <v>5.4757119563335621</v>
      </c>
    </row>
    <row r="40" spans="4:9" x14ac:dyDescent="0.25">
      <c r="D40" s="4">
        <f t="shared" si="7"/>
        <v>1400</v>
      </c>
      <c r="E40" s="6">
        <v>13.3412068435105</v>
      </c>
      <c r="F40" s="4">
        <v>2</v>
      </c>
      <c r="G40" s="6">
        <f t="shared" si="5"/>
        <v>13.346464945879582</v>
      </c>
      <c r="H40" s="7">
        <f t="shared" si="6"/>
        <v>5.2581023690816409E-3</v>
      </c>
      <c r="I40" s="5">
        <f t="shared" si="2"/>
        <v>7.3613433167142972</v>
      </c>
    </row>
    <row r="41" spans="4:9" x14ac:dyDescent="0.25">
      <c r="D41" s="4">
        <f t="shared" si="7"/>
        <v>1500</v>
      </c>
      <c r="E41" s="6">
        <v>13.342607251679269</v>
      </c>
      <c r="F41" s="4">
        <v>2.2265625</v>
      </c>
      <c r="G41" s="6">
        <f t="shared" si="5"/>
        <v>13.346464945879582</v>
      </c>
      <c r="H41" s="7">
        <f t="shared" si="6"/>
        <v>3.8576942003132331E-3</v>
      </c>
      <c r="I41" s="5">
        <f t="shared" si="2"/>
        <v>5.7865413004698496</v>
      </c>
    </row>
    <row r="42" spans="4:9" x14ac:dyDescent="0.25">
      <c r="D42" s="4">
        <f t="shared" si="7"/>
        <v>1600</v>
      </c>
      <c r="E42" s="6">
        <v>13.342823503705954</v>
      </c>
      <c r="F42" s="4">
        <v>2.65625</v>
      </c>
      <c r="G42" s="6">
        <f t="shared" si="5"/>
        <v>13.346464945879582</v>
      </c>
      <c r="H42" s="7">
        <f t="shared" si="6"/>
        <v>3.641442173627496E-3</v>
      </c>
      <c r="I42" s="5">
        <f t="shared" si="2"/>
        <v>5.8263074778039936</v>
      </c>
    </row>
    <row r="43" spans="4:9" x14ac:dyDescent="0.25">
      <c r="D43" s="4">
        <f t="shared" si="7"/>
        <v>1700</v>
      </c>
      <c r="E43" s="6">
        <v>13.342078156988489</v>
      </c>
      <c r="F43" s="4">
        <v>2.6796875</v>
      </c>
      <c r="G43" s="6">
        <f t="shared" si="5"/>
        <v>13.346464945879582</v>
      </c>
      <c r="H43" s="7">
        <f t="shared" si="6"/>
        <v>4.3867888910931185E-3</v>
      </c>
      <c r="I43" s="5">
        <f t="shared" si="2"/>
        <v>7.4575411148583015</v>
      </c>
    </row>
    <row r="44" spans="4:9" x14ac:dyDescent="0.25">
      <c r="D44" s="4">
        <f t="shared" si="7"/>
        <v>1800</v>
      </c>
      <c r="E44" s="6">
        <v>13.343375885472927</v>
      </c>
      <c r="F44" s="4">
        <v>2.9140625</v>
      </c>
      <c r="G44" s="6">
        <f t="shared" si="5"/>
        <v>13.346464945879582</v>
      </c>
      <c r="H44" s="7">
        <f t="shared" si="6"/>
        <v>3.0890604066549088E-3</v>
      </c>
      <c r="I44" s="5">
        <f t="shared" si="2"/>
        <v>5.5603087319788358</v>
      </c>
    </row>
    <row r="45" spans="4:9" x14ac:dyDescent="0.25">
      <c r="D45" s="4">
        <f t="shared" si="7"/>
        <v>1900</v>
      </c>
      <c r="E45" s="4">
        <v>13.343285032161814</v>
      </c>
      <c r="F45" s="4">
        <v>3.15625</v>
      </c>
      <c r="G45" s="6">
        <f t="shared" si="5"/>
        <v>13.346464945879582</v>
      </c>
      <c r="H45" s="7">
        <f t="shared" si="6"/>
        <v>3.1799137177674908E-3</v>
      </c>
      <c r="I45" s="5">
        <f t="shared" si="2"/>
        <v>6.0418360637582325</v>
      </c>
    </row>
    <row r="46" spans="4:9" x14ac:dyDescent="0.25">
      <c r="D46" s="4">
        <f t="shared" si="7"/>
        <v>2000</v>
      </c>
      <c r="E46" s="4">
        <v>13.342826650934926</v>
      </c>
      <c r="F46" s="4">
        <v>3.390625</v>
      </c>
      <c r="G46" s="6">
        <f t="shared" si="5"/>
        <v>13.346464945879582</v>
      </c>
      <c r="H46" s="7">
        <f t="shared" si="6"/>
        <v>3.6382949446558399E-3</v>
      </c>
      <c r="I46" s="5">
        <f t="shared" si="2"/>
        <v>7.2765898893116798</v>
      </c>
    </row>
    <row r="47" spans="4:9" x14ac:dyDescent="0.25">
      <c r="D47" s="4">
        <f t="shared" si="7"/>
        <v>2100</v>
      </c>
      <c r="E47" s="4">
        <v>13.343811683800432</v>
      </c>
      <c r="F47" s="4">
        <v>3.65625</v>
      </c>
      <c r="G47" s="6">
        <f t="shared" si="5"/>
        <v>13.346464945879582</v>
      </c>
      <c r="H47" s="7">
        <f t="shared" si="6"/>
        <v>2.6532620791499539E-3</v>
      </c>
      <c r="I47" s="5">
        <f t="shared" si="2"/>
        <v>5.5718503662149033</v>
      </c>
    </row>
    <row r="48" spans="4:9" x14ac:dyDescent="0.25">
      <c r="D48" s="4">
        <f t="shared" si="7"/>
        <v>2200</v>
      </c>
      <c r="E48" s="4">
        <v>13.343780780643071</v>
      </c>
      <c r="F48" s="4">
        <v>3.9375</v>
      </c>
      <c r="G48" s="6">
        <f t="shared" si="5"/>
        <v>13.346464945879582</v>
      </c>
      <c r="H48" s="7">
        <f t="shared" si="6"/>
        <v>2.6841652365110491E-3</v>
      </c>
      <c r="I48" s="5">
        <f t="shared" si="2"/>
        <v>5.905163520324308</v>
      </c>
    </row>
    <row r="49" spans="4:9" x14ac:dyDescent="0.25">
      <c r="D49" s="4">
        <f t="shared" si="7"/>
        <v>2300</v>
      </c>
      <c r="E49" s="4">
        <v>13.343093345744586</v>
      </c>
      <c r="F49" s="4">
        <v>4.21875</v>
      </c>
      <c r="G49" s="6">
        <f t="shared" si="5"/>
        <v>13.346464945879582</v>
      </c>
      <c r="H49" s="7">
        <f t="shared" si="6"/>
        <v>3.3716001349954894E-3</v>
      </c>
      <c r="I49" s="5">
        <f t="shared" si="2"/>
        <v>7.7546803104896256</v>
      </c>
    </row>
    <row r="50" spans="4:9" x14ac:dyDescent="0.25">
      <c r="D50" s="4">
        <f t="shared" si="7"/>
        <v>2400</v>
      </c>
      <c r="E50" s="4">
        <v>13.344055583499308</v>
      </c>
      <c r="F50" s="4">
        <v>4.3828125</v>
      </c>
      <c r="G50" s="6">
        <f t="shared" si="5"/>
        <v>13.346464945879582</v>
      </c>
      <c r="H50" s="7">
        <f t="shared" si="6"/>
        <v>2.4093623802734498E-3</v>
      </c>
      <c r="I50" s="5">
        <f t="shared" si="2"/>
        <v>5.7824697126562796</v>
      </c>
    </row>
    <row r="51" spans="4:9" x14ac:dyDescent="0.25">
      <c r="D51" s="4">
        <f t="shared" si="7"/>
        <v>2500</v>
      </c>
      <c r="E51" s="4">
        <v>13.344226146280239</v>
      </c>
      <c r="F51" s="4">
        <v>4.7109375</v>
      </c>
      <c r="G51" s="6">
        <f t="shared" si="5"/>
        <v>13.346464945879582</v>
      </c>
      <c r="H51" s="7">
        <f t="shared" si="6"/>
        <v>2.2387995993433663E-3</v>
      </c>
      <c r="I51" s="5">
        <f t="shared" si="2"/>
        <v>5.5969989983584156</v>
      </c>
    </row>
  </sheetData>
  <mergeCells count="8">
    <mergeCell ref="H1:H2"/>
    <mergeCell ref="I1:I2"/>
    <mergeCell ref="A1:B2"/>
    <mergeCell ref="A14:B15"/>
    <mergeCell ref="D1:D2"/>
    <mergeCell ref="E1:E2"/>
    <mergeCell ref="F1:F2"/>
    <mergeCell ref="G1:G2"/>
  </mergeCells>
  <conditionalFormatting sqref="B12">
    <cfRule type="expression" dxfId="0" priority="1">
      <formula>B10&lt;=0</formula>
    </cfRule>
  </conditionalFormatting>
  <dataValidations count="4">
    <dataValidation type="custom" allowBlank="1" showInputMessage="1" showErrorMessage="1" errorTitle="Erreur de saisie" error="La cellule ne peut être remplie que si le dividende est supérieur à 0" sqref="B12" xr:uid="{CA3CA7C8-4D77-4548-B74F-77407BA5BF80}">
      <formula1>B10&gt;0</formula1>
    </dataValidation>
    <dataValidation type="decimal" allowBlank="1" showInputMessage="1" showErrorMessage="1" sqref="B7 B9" xr:uid="{947771DC-E105-4D01-8C76-5ADCF5AFB5B5}">
      <formula1>0</formula1>
      <formula2>1</formula2>
    </dataValidation>
    <dataValidation type="list" allowBlank="1" showInputMessage="1" showErrorMessage="1" sqref="B4" xr:uid="{33F57626-A7C0-484C-B8FE-2386567617DB}">
      <formula1>"European, American, Bermudean"</formula1>
    </dataValidation>
    <dataValidation type="list" allowBlank="1" showInputMessage="1" showErrorMessage="1" sqref="B3" xr:uid="{88248351-440F-4E37-81DF-A017428AA8CC}">
      <formula1>"Call, Put"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PriceTreeStep">
                <anchor moveWithCells="1" sizeWithCells="1">
                  <from>
                    <xdr:col>0</xdr:col>
                    <xdr:colOff>209550</xdr:colOff>
                    <xdr:row>17</xdr:row>
                    <xdr:rowOff>142875</xdr:rowOff>
                  </from>
                  <to>
                    <xdr:col>2</xdr:col>
                    <xdr:colOff>66675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40</vt:i4>
      </vt:variant>
    </vt:vector>
  </HeadingPairs>
  <TitlesOfParts>
    <vt:vector size="46" baseType="lpstr">
      <vt:lpstr>Pricer</vt:lpstr>
      <vt:lpstr>OptionPricePlot</vt:lpstr>
      <vt:lpstr>UnderlyingPlot</vt:lpstr>
      <vt:lpstr>NodeProbaPlot</vt:lpstr>
      <vt:lpstr>Graphs</vt:lpstr>
      <vt:lpstr>Graphique</vt:lpstr>
      <vt:lpstr>begin_plot</vt:lpstr>
      <vt:lpstr>begin_proba_plot</vt:lpstr>
      <vt:lpstr>begin_undl_plot</vt:lpstr>
      <vt:lpstr>GBSPrice</vt:lpstr>
      <vt:lpstr>Gdiv</vt:lpstr>
      <vt:lpstr>GexType</vt:lpstr>
      <vt:lpstr>Gmat</vt:lpstr>
      <vt:lpstr>Grate</vt:lpstr>
      <vt:lpstr>Gspot</vt:lpstr>
      <vt:lpstr>GstartDate</vt:lpstr>
      <vt:lpstr>Gstrike</vt:lpstr>
      <vt:lpstr>Gtype</vt:lpstr>
      <vt:lpstr>Gvol</vt:lpstr>
      <vt:lpstr>IBSPrice</vt:lpstr>
      <vt:lpstr>IDelta</vt:lpstr>
      <vt:lpstr>IDiv</vt:lpstr>
      <vt:lpstr>IDivDate</vt:lpstr>
      <vt:lpstr>IExerciseType</vt:lpstr>
      <vt:lpstr>IGamma</vt:lpstr>
      <vt:lpstr>IGreeks</vt:lpstr>
      <vt:lpstr>IMaturity</vt:lpstr>
      <vt:lpstr>INbSteps</vt:lpstr>
      <vt:lpstr>IOptionPrice</vt:lpstr>
      <vt:lpstr>IOptionType</vt:lpstr>
      <vt:lpstr>IPricingMethod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ITimePrice</vt:lpstr>
      <vt:lpstr>ITimeTotal</vt:lpstr>
      <vt:lpstr>ITimeTree</vt:lpstr>
      <vt:lpstr>IVega</vt:lpstr>
      <vt:lpstr>IVOl</vt:lpstr>
      <vt:lpstr>Spot</vt:lpstr>
      <vt:lpstr>StepRange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CHARBONNIER Thibault</cp:lastModifiedBy>
  <dcterms:created xsi:type="dcterms:W3CDTF">2024-09-02T18:05:29Z</dcterms:created>
  <dcterms:modified xsi:type="dcterms:W3CDTF">2024-10-08T16:52:46Z</dcterms:modified>
</cp:coreProperties>
</file>