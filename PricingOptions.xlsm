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apdu\COMMUN\Dauphine\Trinomial-Tree\"/>
    </mc:Choice>
  </mc:AlternateContent>
  <xr:revisionPtr revIDLastSave="0" documentId="13_ncr:1_{0CCAC69B-1D6B-4122-B64C-412516A3A862}" xr6:coauthVersionLast="47" xr6:coauthVersionMax="47" xr10:uidLastSave="{00000000-0000-0000-0000-000000000000}"/>
  <bookViews>
    <workbookView xWindow="-108" yWindow="-108" windowWidth="23256" windowHeight="12456" tabRatio="708" xr2:uid="{50F7F52E-ED77-47DB-83CE-AA249E62083E}"/>
  </bookViews>
  <sheets>
    <sheet name="Interface" sheetId="10" r:id="rId1"/>
    <sheet name="UnderlyingPlot" sheetId="7" r:id="rId2"/>
    <sheet name="OptionPricePlot" sheetId="8" r:id="rId3"/>
    <sheet name="NodeProbaPlot" sheetId="9" r:id="rId4"/>
    <sheet name="Convergence Study" sheetId="3" r:id="rId5"/>
    <sheet name="Gap Study" sheetId="11" r:id="rId6"/>
  </sheets>
  <functionGroups builtInGroupCount="19">
    <functionGroup name="MyCSharpTools Add-In"/>
  </functionGroups>
  <definedNames>
    <definedName name="begin_plot">OptionPricePlot!$A$3</definedName>
    <definedName name="begin_proba_plot">NodeProbaPlot!$A$4</definedName>
    <definedName name="begin_undl_plot">UnderlyingPlot!$A$3</definedName>
    <definedName name="GBSPrice">'Convergence Study'!#REF!</definedName>
    <definedName name="Gdiv">'Convergence Study'!#REF!</definedName>
    <definedName name="GexType">'Convergence Study'!#REF!</definedName>
    <definedName name="Gmat">'Convergence Study'!#REF!</definedName>
    <definedName name="Grate">'Convergence Study'!#REF!</definedName>
    <definedName name="Gspot">'Convergence Study'!#REF!</definedName>
    <definedName name="GstartDate">'Convergence Study'!#REF!</definedName>
    <definedName name="Gstrike">'Convergence Study'!#REF!</definedName>
    <definedName name="Gtype">'Convergence Study'!#REF!</definedName>
    <definedName name="Gvol">'Convergence Study'!#REF!</definedName>
    <definedName name="IBSPrice">Interface!$E$21</definedName>
    <definedName name="IDelta">Interface!$M$16</definedName>
    <definedName name="IDiv">Interface!$E$9</definedName>
    <definedName name="IDivDate">Interface!$E$10</definedName>
    <definedName name="IEndDate">Interface!$E$12</definedName>
    <definedName name="IExerciseType">Interface!$E$16</definedName>
    <definedName name="IGamma">Interface!$M$18</definedName>
    <definedName name="IGreeks">Interface!$M$8</definedName>
    <definedName name="IMaturity">Interface!$E$13</definedName>
    <definedName name="INbSteps">Interface!$E$17</definedName>
    <definedName name="IOptionType">Interface!$E$15</definedName>
    <definedName name="IPriceTime">Interface!$E$24</definedName>
    <definedName name="IPrunning">Interface!$E$18</definedName>
    <definedName name="IRate">Interface!$E$8</definedName>
    <definedName name="IRho">Interface!$M$24</definedName>
    <definedName name="IShowTree">Interface!$M$6</definedName>
    <definedName name="ISpot">Interface!$E$6</definedName>
    <definedName name="IStartDate">Interface!$E$11</definedName>
    <definedName name="IStrike">Interface!$E$14</definedName>
    <definedName name="ITheta">Interface!$M$22</definedName>
    <definedName name="ITimeTree">Interface!$E$23</definedName>
    <definedName name="ITotalTime">Interface!$E$25</definedName>
    <definedName name="ITreePrice">Interface!$E$20</definedName>
    <definedName name="IVega">Interface!$M$20</definedName>
    <definedName name="IVol">Interface!$E$7</definedName>
    <definedName name="Spot">'Convergence Study'!#REF!</definedName>
    <definedName name="StepRange">'Convergence Study'!$A$8:$A$56</definedName>
    <definedName name="StrikeRange">'Gap Study'!$A$7:$A$37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  <x14:definedName name="udf_tree_pric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udf_tree_price2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" i="10" l="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8" i="11"/>
  <c r="D9" i="11"/>
  <c r="D10" i="11"/>
  <c r="D11" i="11"/>
  <c r="D12" i="11"/>
  <c r="D13" i="11"/>
  <c r="D14" i="11"/>
  <c r="D15" i="11"/>
  <c r="D16" i="11"/>
  <c r="D17" i="11"/>
  <c r="D18" i="11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8" i="3"/>
  <c r="E22" i="10"/>
  <c r="E25" i="10"/>
  <c r="A8" i="3"/>
  <c r="F8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F56" i="3"/>
  <c r="F55" i="3"/>
  <c r="F54" i="3"/>
  <c r="F53" i="3"/>
  <c r="F52" i="3"/>
  <c r="F51" i="3"/>
  <c r="F50" i="3"/>
  <c r="F18" i="3"/>
  <c r="F30" i="3"/>
  <c r="F42" i="3"/>
  <c r="F44" i="3"/>
  <c r="F23" i="3"/>
  <c r="F35" i="3"/>
  <c r="F47" i="3"/>
  <c r="F10" i="3"/>
  <c r="F13" i="3"/>
  <c r="F16" i="3"/>
  <c r="F28" i="3"/>
  <c r="F40" i="3"/>
  <c r="F21" i="3"/>
  <c r="F33" i="3"/>
  <c r="F45" i="3"/>
  <c r="F9" i="3"/>
  <c r="F26" i="3"/>
  <c r="F38" i="3"/>
  <c r="F19" i="3"/>
  <c r="F31" i="3"/>
  <c r="F43" i="3"/>
  <c r="F11" i="3"/>
  <c r="F14" i="3"/>
  <c r="F24" i="3"/>
  <c r="F36" i="3"/>
  <c r="F48" i="3"/>
  <c r="F32" i="3"/>
  <c r="F17" i="3"/>
  <c r="F29" i="3"/>
  <c r="F41" i="3"/>
  <c r="F15" i="3"/>
  <c r="F22" i="3"/>
  <c r="F34" i="3"/>
  <c r="F46" i="3"/>
  <c r="F12" i="3"/>
  <c r="F27" i="3"/>
  <c r="F39" i="3"/>
  <c r="F20" i="3"/>
  <c r="F25" i="3"/>
  <c r="F37" i="3"/>
  <c r="F49" i="3"/>
</calcChain>
</file>

<file path=xl/sharedStrings.xml><?xml version="1.0" encoding="utf-8"?>
<sst xmlns="http://schemas.openxmlformats.org/spreadsheetml/2006/main" count="66" uniqueCount="56">
  <si>
    <t>Inputs</t>
  </si>
  <si>
    <t>Type</t>
  </si>
  <si>
    <t>Execution Time</t>
  </si>
  <si>
    <t>Div Date</t>
  </si>
  <si>
    <t>Start Date</t>
  </si>
  <si>
    <t>Call</t>
  </si>
  <si>
    <t>European</t>
  </si>
  <si>
    <t>Step</t>
  </si>
  <si>
    <t>Price</t>
  </si>
  <si>
    <t>Gap</t>
  </si>
  <si>
    <t>Gap * N</t>
  </si>
  <si>
    <t>Market</t>
  </si>
  <si>
    <t>Option</t>
  </si>
  <si>
    <t>Spot</t>
  </si>
  <si>
    <t>Dividend</t>
  </si>
  <si>
    <t>Strike</t>
  </si>
  <si>
    <t>Compute Greeks ?</t>
  </si>
  <si>
    <t>Show Tree ?</t>
  </si>
  <si>
    <t>Output</t>
  </si>
  <si>
    <t>Delta</t>
  </si>
  <si>
    <t>Gamma</t>
  </si>
  <si>
    <t>Vega</t>
  </si>
  <si>
    <t>Theta</t>
  </si>
  <si>
    <t>Rho</t>
  </si>
  <si>
    <t>Option Prices</t>
  </si>
  <si>
    <t>Underlying Prices</t>
  </si>
  <si>
    <t>BS Price</t>
  </si>
  <si>
    <t>Node Probabilities</t>
  </si>
  <si>
    <t>Volatility</t>
  </si>
  <si>
    <t>Rate</t>
  </si>
  <si>
    <t>Maturity</t>
  </si>
  <si>
    <t>Exercise</t>
  </si>
  <si>
    <t>Model</t>
  </si>
  <si>
    <t>NbSteps</t>
  </si>
  <si>
    <t>Prunning</t>
  </si>
  <si>
    <t>Performance</t>
  </si>
  <si>
    <t>Tree Price</t>
  </si>
  <si>
    <t>B&amp;S Price</t>
  </si>
  <si>
    <t>Tree Generation</t>
  </si>
  <si>
    <t>Option Pricing</t>
  </si>
  <si>
    <t>Total time</t>
  </si>
  <si>
    <t xml:space="preserve">*  : </t>
  </si>
  <si>
    <t>Convergence Study</t>
  </si>
  <si>
    <t>Trinomial Tree Option Pricer</t>
  </si>
  <si>
    <t>* The sheet uses the parameters from the "Interface" sheet</t>
  </si>
  <si>
    <t>VBA Graphs</t>
  </si>
  <si>
    <t>Python Graphs</t>
  </si>
  <si>
    <t>* Not updaded, the values can be different</t>
  </si>
  <si>
    <t>Relative Error *</t>
  </si>
  <si>
    <t>Gap Study</t>
  </si>
  <si>
    <t>Slope Tree</t>
  </si>
  <si>
    <t>Slope B&amp;S</t>
  </si>
  <si>
    <t>Tree - B&amp;S</t>
  </si>
  <si>
    <t>No</t>
  </si>
  <si>
    <t>N/A</t>
  </si>
  <si>
    <t>End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</si>
</sst>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%"/>
    <numFmt numFmtId="166" formatCode="0.000000"/>
  </numFmts>
  <fonts count="10" x14ac:knownFonts="1"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i/>
      <sz val="1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i/>
      <sz val="20"/>
      <color theme="1"/>
      <name val="Aptos Narrow"/>
      <family val="2"/>
      <scheme val="minor"/>
    </font>
    <font>
      <sz val="16"/>
      <color rgb="FF000000"/>
      <name val="Aptos Narrow"/>
      <family val="2"/>
    </font>
    <font>
      <b/>
      <i/>
      <sz val="12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2C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60">
    <xf numFmtId="0" fontId="0" fillId="0" borderId="0" xfId="0"/>
    <xf numFmtId="0" fontId="0" fillId="5" borderId="1" xfId="0" applyFill="1" applyBorder="1" applyAlignment="1">
      <alignment horizontal="right"/>
    </xf>
    <xf numFmtId="9" fontId="0" fillId="5" borderId="1" xfId="1" applyFont="1" applyFill="1" applyBorder="1" applyAlignment="1">
      <alignment horizontal="right"/>
    </xf>
    <xf numFmtId="14" fontId="0" fillId="5" borderId="1" xfId="0" applyNumberFormat="1" applyFill="1" applyBorder="1" applyAlignment="1">
      <alignment horizontal="right"/>
    </xf>
    <xf numFmtId="11" fontId="0" fillId="5" borderId="1" xfId="0" applyNumberFormat="1" applyFill="1" applyBorder="1" applyAlignment="1">
      <alignment horizontal="right"/>
    </xf>
    <xf numFmtId="0" fontId="0" fillId="5" borderId="1" xfId="0" applyFill="1" applyBorder="1" applyAlignment="1">
      <alignment vertical="center"/>
    </xf>
    <xf numFmtId="0" fontId="0" fillId="5" borderId="1" xfId="0" applyFill="1" applyBorder="1"/>
    <xf numFmtId="0" fontId="0" fillId="5" borderId="0" xfId="0" applyFill="1"/>
    <xf numFmtId="0" fontId="0" fillId="5" borderId="7" xfId="0" applyFill="1" applyBorder="1"/>
    <xf numFmtId="0" fontId="0" fillId="5" borderId="7" xfId="0" applyFill="1" applyBorder="1" applyAlignment="1">
      <alignment vertical="center"/>
    </xf>
    <xf numFmtId="0" fontId="0" fillId="12" borderId="0" xfId="0" applyFill="1"/>
    <xf numFmtId="0" fontId="0" fillId="7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vertical="center"/>
    </xf>
    <xf numFmtId="2" fontId="0" fillId="5" borderId="1" xfId="0" applyNumberFormat="1" applyFill="1" applyBorder="1" applyAlignment="1">
      <alignment vertical="center"/>
    </xf>
    <xf numFmtId="2" fontId="1" fillId="3" borderId="1" xfId="0" applyNumberFormat="1" applyFont="1" applyFill="1" applyBorder="1" applyAlignment="1">
      <alignment vertical="center"/>
    </xf>
    <xf numFmtId="165" fontId="0" fillId="5" borderId="1" xfId="1" applyNumberFormat="1" applyFont="1" applyFill="1" applyBorder="1" applyAlignment="1">
      <alignment horizontal="right" vertical="center"/>
    </xf>
    <xf numFmtId="0" fontId="0" fillId="12" borderId="0" xfId="0" applyFill="1" applyAlignment="1">
      <alignment vertical="top"/>
    </xf>
    <xf numFmtId="0" fontId="4" fillId="5" borderId="0" xfId="0" applyFont="1" applyFill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right" vertical="center"/>
    </xf>
    <xf numFmtId="166" fontId="0" fillId="5" borderId="1" xfId="0" applyNumberFormat="1" applyFill="1" applyBorder="1" applyAlignment="1">
      <alignment horizontal="center" vertical="center"/>
    </xf>
    <xf numFmtId="0" fontId="0" fillId="13" borderId="0" xfId="0" applyFill="1"/>
    <xf numFmtId="20" fontId="0" fillId="5" borderId="0" xfId="0" applyNumberFormat="1" applyFill="1"/>
    <xf numFmtId="0" fontId="0" fillId="13" borderId="1" xfId="0" applyFill="1" applyBorder="1"/>
    <xf numFmtId="0" fontId="0" fillId="12" borderId="0" xfId="0" applyFill="1" applyAlignment="1">
      <alignment wrapText="1"/>
    </xf>
    <xf numFmtId="164" fontId="0" fillId="12" borderId="1" xfId="0" applyNumberFormat="1" applyFill="1" applyBorder="1" applyAlignment="1">
      <alignment horizontal="right"/>
    </xf>
    <xf numFmtId="2" fontId="0" fillId="5" borderId="3" xfId="0" applyNumberFormat="1" applyFill="1" applyBorder="1" applyAlignment="1">
      <alignment horizontal="center" vertical="center"/>
    </xf>
    <xf numFmtId="2" fontId="0" fillId="5" borderId="9" xfId="0" applyNumberFormat="1" applyFill="1" applyBorder="1" applyAlignment="1">
      <alignment horizontal="center" vertical="center"/>
    </xf>
    <xf numFmtId="2" fontId="0" fillId="5" borderId="2" xfId="0" applyNumberFormat="1" applyFill="1" applyBorder="1" applyAlignment="1">
      <alignment horizontal="center" vertical="center"/>
    </xf>
    <xf numFmtId="2" fontId="0" fillId="5" borderId="4" xfId="0" applyNumberFormat="1" applyFill="1" applyBorder="1" applyAlignment="1">
      <alignment horizontal="center" vertical="center"/>
    </xf>
    <xf numFmtId="2" fontId="0" fillId="5" borderId="10" xfId="0" applyNumberFormat="1" applyFill="1" applyBorder="1" applyAlignment="1">
      <alignment horizontal="center" vertical="center"/>
    </xf>
    <xf numFmtId="2" fontId="0" fillId="5" borderId="5" xfId="0" applyNumberFormat="1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0" fontId="0" fillId="11" borderId="9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5" fillId="6" borderId="13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5" fillId="6" borderId="7" xfId="0" applyFont="1" applyFill="1" applyBorder="1" applyAlignment="1">
      <alignment horizontal="center" vertical="center"/>
    </xf>
    <xf numFmtId="0" fontId="4" fillId="1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8" fillId="5" borderId="11" xfId="0" applyFont="1" applyFill="1" applyBorder="1" applyAlignment="1">
      <alignment horizontal="center"/>
    </xf>
    <xf numFmtId="0" fontId="9" fillId="5" borderId="12" xfId="0" applyFont="1" applyFill="1" applyBorder="1" applyAlignment="1">
      <alignment horizontal="center"/>
    </xf>
    <xf numFmtId="0" fontId="9" fillId="5" borderId="0" xfId="0" applyFont="1" applyFill="1" applyAlignment="1">
      <alignment horizontal="center"/>
    </xf>
    <xf numFmtId="0" fontId="0" fillId="6" borderId="6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</cellXfs>
  <cellStyles count="2">
    <cellStyle name="Normal" xfId="0" builtinId="0"/>
    <cellStyle name="Per cent" xfId="1" builtinId="5"/>
  </cellStyles>
  <dxfs count="0"/>
  <tableStyles count="0" defaultTableStyle="TableStyleMedium2" defaultPivotStyle="PivotStyleLight16"/>
  <colors>
    <mruColors>
      <color rgb="FFFFFF99"/>
      <color rgb="FFFFE2C5"/>
      <color rgb="FFFECBB4"/>
      <color rgb="FFFEDEFE"/>
      <color rgb="FFFECEFE"/>
      <color rgb="FFFDBBFD"/>
      <color rgb="FF66CCFF"/>
      <color rgb="FFA4EA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Price convergence towards Black-Scholes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18121527393562"/>
          <c:y val="0.19764766205418996"/>
          <c:w val="0.86781616950814089"/>
          <c:h val="0.46954657639203001"/>
        </c:manualLayout>
      </c:layout>
      <c:lineChart>
        <c:grouping val="standard"/>
        <c:varyColors val="0"/>
        <c:ser>
          <c:idx val="2"/>
          <c:order val="0"/>
          <c:tx>
            <c:strRef>
              <c:f>'Convergence Study'!$B$6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Study'!$B$7:$B$56</c:f>
              <c:numCache>
                <c:formatCode>General</c:formatCode>
                <c:ptCount val="50"/>
                <c:pt idx="1">
                  <c:v>0</c:v>
                </c:pt>
                <c:pt idx="2">
                  <c:v>9.1532218255407596</c:v>
                </c:pt>
                <c:pt idx="3">
                  <c:v>9.885952034609474</c:v>
                </c:pt>
                <c:pt idx="4">
                  <c:v>10.169111805734914</c:v>
                </c:pt>
                <c:pt idx="5">
                  <c:v>10.241536846623694</c:v>
                </c:pt>
                <c:pt idx="6">
                  <c:v>10.283793769983403</c:v>
                </c:pt>
                <c:pt idx="7">
                  <c:v>10.366449770738569</c:v>
                </c:pt>
                <c:pt idx="8">
                  <c:v>10.395147854133819</c:v>
                </c:pt>
                <c:pt idx="9">
                  <c:v>10.405881336518165</c:v>
                </c:pt>
                <c:pt idx="10">
                  <c:v>10.409194942821095</c:v>
                </c:pt>
                <c:pt idx="11">
                  <c:v>10.409066876492723</c:v>
                </c:pt>
                <c:pt idx="12">
                  <c:v>10.410750220872679</c:v>
                </c:pt>
                <c:pt idx="13">
                  <c:v>10.420231525731108</c:v>
                </c:pt>
                <c:pt idx="14">
                  <c:v>10.426307917572029</c:v>
                </c:pt>
                <c:pt idx="15">
                  <c:v>10.430101140710535</c:v>
                </c:pt>
                <c:pt idx="16">
                  <c:v>10.432321494924157</c:v>
                </c:pt>
                <c:pt idx="17">
                  <c:v>10.433435463102411</c:v>
                </c:pt>
                <c:pt idx="18">
                  <c:v>10.433758711154615</c:v>
                </c:pt>
                <c:pt idx="19">
                  <c:v>10.433510227616019</c:v>
                </c:pt>
                <c:pt idx="20">
                  <c:v>10.432845135970384</c:v>
                </c:pt>
                <c:pt idx="21">
                  <c:v>10.431875273226145</c:v>
                </c:pt>
                <c:pt idx="22">
                  <c:v>10.433443663660622</c:v>
                </c:pt>
                <c:pt idx="23">
                  <c:v>10.435948240441416</c:v>
                </c:pt>
                <c:pt idx="24">
                  <c:v>10.437860740894754</c:v>
                </c:pt>
                <c:pt idx="25">
                  <c:v>10.440317791417934</c:v>
                </c:pt>
                <c:pt idx="26">
                  <c:v>10.441440887218961</c:v>
                </c:pt>
                <c:pt idx="27">
                  <c:v>10.441639000647232</c:v>
                </c:pt>
                <c:pt idx="28">
                  <c:v>10.441187229958647</c:v>
                </c:pt>
                <c:pt idx="29">
                  <c:v>10.440275152845722</c:v>
                </c:pt>
                <c:pt idx="30">
                  <c:v>10.441217856394012</c:v>
                </c:pt>
                <c:pt idx="31">
                  <c:v>10.442966363443686</c:v>
                </c:pt>
                <c:pt idx="32">
                  <c:v>10.444111971478552</c:v>
                </c:pt>
                <c:pt idx="33">
                  <c:v>10.444780336317137</c:v>
                </c:pt>
                <c:pt idx="34">
                  <c:v>10.445068425491515</c:v>
                </c:pt>
                <c:pt idx="35">
                  <c:v>10.444790365781673</c:v>
                </c:pt>
                <c:pt idx="36">
                  <c:v>10.443712394489504</c:v>
                </c:pt>
                <c:pt idx="37">
                  <c:v>10.445588706849128</c:v>
                </c:pt>
                <c:pt idx="38">
                  <c:v>10.446584669782963</c:v>
                </c:pt>
                <c:pt idx="39">
                  <c:v>10.446877812325441</c:v>
                </c:pt>
                <c:pt idx="40">
                  <c:v>10.446650588408035</c:v>
                </c:pt>
                <c:pt idx="41">
                  <c:v>10.446035509334093</c:v>
                </c:pt>
                <c:pt idx="42">
                  <c:v>10.446637585478943</c:v>
                </c:pt>
                <c:pt idx="43">
                  <c:v>10.447433809742295</c:v>
                </c:pt>
                <c:pt idx="44">
                  <c:v>10.447831947832821</c:v>
                </c:pt>
                <c:pt idx="45">
                  <c:v>10.447910429170538</c:v>
                </c:pt>
                <c:pt idx="46">
                  <c:v>10.447731124887728</c:v>
                </c:pt>
                <c:pt idx="47">
                  <c:v>10.447343272762678</c:v>
                </c:pt>
                <c:pt idx="48">
                  <c:v>10.447425945842401</c:v>
                </c:pt>
                <c:pt idx="49">
                  <c:v>10.448023411980241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51-4E6B-B494-EB995B6ABA4D}"/>
            </c:ext>
          </c:extLst>
        </c:ser>
        <c:ser>
          <c:idx val="4"/>
          <c:order val="2"/>
          <c:tx>
            <c:strRef>
              <c:f>'Convergence Study'!$D$6</c:f>
              <c:strCache>
                <c:ptCount val="1"/>
                <c:pt idx="0">
                  <c:v>BS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Study'!$D$7:$D$56</c:f>
              <c:numCache>
                <c:formatCode>General</c:formatCode>
                <c:ptCount val="50"/>
                <c:pt idx="1">
                  <c:v>10.450583572185572</c:v>
                </c:pt>
                <c:pt idx="2">
                  <c:v>10.450583572185572</c:v>
                </c:pt>
                <c:pt idx="3">
                  <c:v>10.450583572185572</c:v>
                </c:pt>
                <c:pt idx="4">
                  <c:v>10.450583572185572</c:v>
                </c:pt>
                <c:pt idx="5">
                  <c:v>10.450583572185572</c:v>
                </c:pt>
                <c:pt idx="6">
                  <c:v>10.450583572185572</c:v>
                </c:pt>
                <c:pt idx="7">
                  <c:v>10.450583572185572</c:v>
                </c:pt>
                <c:pt idx="8">
                  <c:v>10.450583572185572</c:v>
                </c:pt>
                <c:pt idx="9">
                  <c:v>10.450583572185572</c:v>
                </c:pt>
                <c:pt idx="10">
                  <c:v>10.450583572185572</c:v>
                </c:pt>
                <c:pt idx="11">
                  <c:v>10.450583572185572</c:v>
                </c:pt>
                <c:pt idx="12">
                  <c:v>10.450583572185572</c:v>
                </c:pt>
                <c:pt idx="13">
                  <c:v>10.450583572185572</c:v>
                </c:pt>
                <c:pt idx="14">
                  <c:v>10.450583572185572</c:v>
                </c:pt>
                <c:pt idx="15">
                  <c:v>10.450583572185572</c:v>
                </c:pt>
                <c:pt idx="16">
                  <c:v>10.450583572185572</c:v>
                </c:pt>
                <c:pt idx="17">
                  <c:v>10.450583572185572</c:v>
                </c:pt>
                <c:pt idx="18">
                  <c:v>10.450583572185572</c:v>
                </c:pt>
                <c:pt idx="19">
                  <c:v>10.450583572185572</c:v>
                </c:pt>
                <c:pt idx="20">
                  <c:v>10.450583572185572</c:v>
                </c:pt>
                <c:pt idx="21">
                  <c:v>10.450583572185572</c:v>
                </c:pt>
                <c:pt idx="22">
                  <c:v>10.450583572185572</c:v>
                </c:pt>
                <c:pt idx="23">
                  <c:v>10.450583572185572</c:v>
                </c:pt>
                <c:pt idx="24">
                  <c:v>10.450583572185572</c:v>
                </c:pt>
                <c:pt idx="25">
                  <c:v>10.450583572185572</c:v>
                </c:pt>
                <c:pt idx="26">
                  <c:v>10.450583572185572</c:v>
                </c:pt>
                <c:pt idx="27">
                  <c:v>10.450583572185572</c:v>
                </c:pt>
                <c:pt idx="28">
                  <c:v>10.450583572185572</c:v>
                </c:pt>
                <c:pt idx="29">
                  <c:v>10.450583572185572</c:v>
                </c:pt>
                <c:pt idx="30">
                  <c:v>10.450583572185572</c:v>
                </c:pt>
                <c:pt idx="31">
                  <c:v>10.450583572185572</c:v>
                </c:pt>
                <c:pt idx="32">
                  <c:v>10.450583572185572</c:v>
                </c:pt>
                <c:pt idx="33">
                  <c:v>10.450583572185572</c:v>
                </c:pt>
                <c:pt idx="34">
                  <c:v>10.450583572185572</c:v>
                </c:pt>
                <c:pt idx="35">
                  <c:v>10.450583572185572</c:v>
                </c:pt>
                <c:pt idx="36">
                  <c:v>10.450583572185572</c:v>
                </c:pt>
                <c:pt idx="37">
                  <c:v>10.450583572185572</c:v>
                </c:pt>
                <c:pt idx="38">
                  <c:v>10.450583572185572</c:v>
                </c:pt>
                <c:pt idx="39">
                  <c:v>10.450583572185572</c:v>
                </c:pt>
                <c:pt idx="40">
                  <c:v>10.450583572185572</c:v>
                </c:pt>
                <c:pt idx="41">
                  <c:v>10.450583572185572</c:v>
                </c:pt>
                <c:pt idx="42">
                  <c:v>10.450583572185572</c:v>
                </c:pt>
                <c:pt idx="43">
                  <c:v>10.450583572185572</c:v>
                </c:pt>
                <c:pt idx="44">
                  <c:v>10.450583572185572</c:v>
                </c:pt>
                <c:pt idx="45">
                  <c:v>10.450583572185572</c:v>
                </c:pt>
                <c:pt idx="46">
                  <c:v>10.450583572185572</c:v>
                </c:pt>
                <c:pt idx="47">
                  <c:v>10.450583572185572</c:v>
                </c:pt>
                <c:pt idx="48">
                  <c:v>10.450583572185572</c:v>
                </c:pt>
                <c:pt idx="49">
                  <c:v>10.450583572185572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51-4E6B-B494-EB995B6AB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3"/>
                <c:order val="1"/>
                <c:tx>
                  <c:strRef>
                    <c:extLst>
                      <c:ext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0</c:v>
                      </c:pt>
                      <c:pt idx="6">
                        <c:v>1.5625E-2</c:v>
                      </c:pt>
                      <c:pt idx="7">
                        <c:v>3.125E-2</c:v>
                      </c:pt>
                      <c:pt idx="8">
                        <c:v>7.8125E-2</c:v>
                      </c:pt>
                      <c:pt idx="9">
                        <c:v>8.59375E-2</c:v>
                      </c:pt>
                      <c:pt idx="10">
                        <c:v>0.125</c:v>
                      </c:pt>
                      <c:pt idx="11">
                        <c:v>0.171875</c:v>
                      </c:pt>
                      <c:pt idx="12">
                        <c:v>0.22265625</c:v>
                      </c:pt>
                      <c:pt idx="13">
                        <c:v>0.296875</c:v>
                      </c:pt>
                      <c:pt idx="14">
                        <c:v>0.34375</c:v>
                      </c:pt>
                      <c:pt idx="15">
                        <c:v>0.421875</c:v>
                      </c:pt>
                      <c:pt idx="16">
                        <c:v>0.5</c:v>
                      </c:pt>
                      <c:pt idx="17">
                        <c:v>0.59375</c:v>
                      </c:pt>
                      <c:pt idx="18">
                        <c:v>0.69140625</c:v>
                      </c:pt>
                      <c:pt idx="19">
                        <c:v>0.8125</c:v>
                      </c:pt>
                      <c:pt idx="20">
                        <c:v>0.9140625</c:v>
                      </c:pt>
                      <c:pt idx="21">
                        <c:v>1.03515625</c:v>
                      </c:pt>
                      <c:pt idx="22">
                        <c:v>1.12890625</c:v>
                      </c:pt>
                      <c:pt idx="23">
                        <c:v>1.26953125</c:v>
                      </c:pt>
                      <c:pt idx="24">
                        <c:v>1.42578125</c:v>
                      </c:pt>
                      <c:pt idx="25">
                        <c:v>1.69140625</c:v>
                      </c:pt>
                      <c:pt idx="26">
                        <c:v>2.00390625</c:v>
                      </c:pt>
                      <c:pt idx="27">
                        <c:v>2.3046875</c:v>
                      </c:pt>
                      <c:pt idx="28">
                        <c:v>2.61328125</c:v>
                      </c:pt>
                      <c:pt idx="29">
                        <c:v>2.9921875</c:v>
                      </c:pt>
                      <c:pt idx="30">
                        <c:v>3.32421875</c:v>
                      </c:pt>
                      <c:pt idx="31">
                        <c:v>3.69140625</c:v>
                      </c:pt>
                      <c:pt idx="32">
                        <c:v>4.0390625</c:v>
                      </c:pt>
                      <c:pt idx="33">
                        <c:v>4.4296875</c:v>
                      </c:pt>
                      <c:pt idx="34">
                        <c:v>4.83984375</c:v>
                      </c:pt>
                      <c:pt idx="35">
                        <c:v>6.09765625</c:v>
                      </c:pt>
                      <c:pt idx="36">
                        <c:v>7.109375</c:v>
                      </c:pt>
                      <c:pt idx="37">
                        <c:v>7.52734375</c:v>
                      </c:pt>
                      <c:pt idx="38">
                        <c:v>8.51953125</c:v>
                      </c:pt>
                      <c:pt idx="39">
                        <c:v>9.44140625</c:v>
                      </c:pt>
                      <c:pt idx="40">
                        <c:v>10.51953125</c:v>
                      </c:pt>
                      <c:pt idx="41">
                        <c:v>11.6796875</c:v>
                      </c:pt>
                      <c:pt idx="42">
                        <c:v>13</c:v>
                      </c:pt>
                      <c:pt idx="43">
                        <c:v>14.22265625</c:v>
                      </c:pt>
                      <c:pt idx="44">
                        <c:v>15.31640625</c:v>
                      </c:pt>
                      <c:pt idx="45">
                        <c:v>16.625</c:v>
                      </c:pt>
                      <c:pt idx="46">
                        <c:v>18.375</c:v>
                      </c:pt>
                      <c:pt idx="47">
                        <c:v>19.7578125</c:v>
                      </c:pt>
                      <c:pt idx="48">
                        <c:v>20.6796875</c:v>
                      </c:pt>
                      <c:pt idx="49">
                        <c:v>21.96484375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F151-4E6B-B494-EB995B6ABA4D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1.2973617466448122</c:v>
                      </c:pt>
                      <c:pt idx="3">
                        <c:v>0.56463153757609774</c:v>
                      </c:pt>
                      <c:pt idx="4">
                        <c:v>0.28147176645065741</c:v>
                      </c:pt>
                      <c:pt idx="5">
                        <c:v>0.20904672556187798</c:v>
                      </c:pt>
                      <c:pt idx="6">
                        <c:v>0.16678980220216921</c:v>
                      </c:pt>
                      <c:pt idx="7">
                        <c:v>8.4133801447002554E-2</c:v>
                      </c:pt>
                      <c:pt idx="8">
                        <c:v>5.5435718051752403E-2</c:v>
                      </c:pt>
                      <c:pt idx="9">
                        <c:v>4.4702235667406498E-2</c:v>
                      </c:pt>
                      <c:pt idx="10">
                        <c:v>4.1388629364476515E-2</c:v>
                      </c:pt>
                      <c:pt idx="11">
                        <c:v>4.1516695692848771E-2</c:v>
                      </c:pt>
                      <c:pt idx="12">
                        <c:v>3.9833351312893228E-2</c:v>
                      </c:pt>
                      <c:pt idx="13">
                        <c:v>3.0352046454463988E-2</c:v>
                      </c:pt>
                      <c:pt idx="14">
                        <c:v>2.4275654613543196E-2</c:v>
                      </c:pt>
                      <c:pt idx="15">
                        <c:v>2.0482431475036478E-2</c:v>
                      </c:pt>
                      <c:pt idx="16">
                        <c:v>1.8262077261415044E-2</c:v>
                      </c:pt>
                      <c:pt idx="17">
                        <c:v>1.714810908316089E-2</c:v>
                      </c:pt>
                      <c:pt idx="18">
                        <c:v>1.6824861030956484E-2</c:v>
                      </c:pt>
                      <c:pt idx="19">
                        <c:v>1.7073344569553228E-2</c:v>
                      </c:pt>
                      <c:pt idx="20">
                        <c:v>1.7738436215188003E-2</c:v>
                      </c:pt>
                      <c:pt idx="21">
                        <c:v>1.8708298959426273E-2</c:v>
                      </c:pt>
                      <c:pt idx="22">
                        <c:v>1.7139908524949732E-2</c:v>
                      </c:pt>
                      <c:pt idx="23">
                        <c:v>1.4635331744155877E-2</c:v>
                      </c:pt>
                      <c:pt idx="24">
                        <c:v>1.2722831290817638E-2</c:v>
                      </c:pt>
                      <c:pt idx="25">
                        <c:v>1.0265780767637622E-2</c:v>
                      </c:pt>
                      <c:pt idx="26">
                        <c:v>9.1426849666103038E-3</c:v>
                      </c:pt>
                      <c:pt idx="27">
                        <c:v>8.9445715383398294E-3</c:v>
                      </c:pt>
                      <c:pt idx="28">
                        <c:v>9.3963422269247587E-3</c:v>
                      </c:pt>
                      <c:pt idx="29">
                        <c:v>1.0308419339850161E-2</c:v>
                      </c:pt>
                      <c:pt idx="30">
                        <c:v>9.3657157915600919E-3</c:v>
                      </c:pt>
                      <c:pt idx="31">
                        <c:v>7.6172087418857615E-3</c:v>
                      </c:pt>
                      <c:pt idx="32">
                        <c:v>6.4716007070195758E-3</c:v>
                      </c:pt>
                      <c:pt idx="33">
                        <c:v>5.8032358684343421E-3</c:v>
                      </c:pt>
                      <c:pt idx="34">
                        <c:v>5.5151466940568383E-3</c:v>
                      </c:pt>
                      <c:pt idx="35">
                        <c:v>5.7932064038990205E-3</c:v>
                      </c:pt>
                      <c:pt idx="36">
                        <c:v>6.8711776960679316E-3</c:v>
                      </c:pt>
                      <c:pt idx="37">
                        <c:v>4.9948653364442208E-3</c:v>
                      </c:pt>
                      <c:pt idx="38">
                        <c:v>3.998902402608806E-3</c:v>
                      </c:pt>
                      <c:pt idx="39">
                        <c:v>3.705759860130442E-3</c:v>
                      </c:pt>
                      <c:pt idx="40">
                        <c:v>3.9329837775365917E-3</c:v>
                      </c:pt>
                      <c:pt idx="41">
                        <c:v>4.5480628514784627E-3</c:v>
                      </c:pt>
                      <c:pt idx="42">
                        <c:v>3.9459867066291565E-3</c:v>
                      </c:pt>
                      <c:pt idx="43">
                        <c:v>3.1497624432770266E-3</c:v>
                      </c:pt>
                      <c:pt idx="44">
                        <c:v>2.7516243527507811E-3</c:v>
                      </c:pt>
                      <c:pt idx="45">
                        <c:v>2.6731430150341851E-3</c:v>
                      </c:pt>
                      <c:pt idx="46">
                        <c:v>2.8524472978439519E-3</c:v>
                      </c:pt>
                      <c:pt idx="47">
                        <c:v>3.2402994228935E-3</c:v>
                      </c:pt>
                      <c:pt idx="48">
                        <c:v>3.1576263431709606E-3</c:v>
                      </c:pt>
                      <c:pt idx="49">
                        <c:v>2.5601602053306749E-3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151-4E6B-B494-EB995B6ABA4D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6.4868087332240609</c:v>
                      </c:pt>
                      <c:pt idx="3">
                        <c:v>5.6463153757609774</c:v>
                      </c:pt>
                      <c:pt idx="4">
                        <c:v>5.6294353290131482</c:v>
                      </c:pt>
                      <c:pt idx="5">
                        <c:v>6.2714017668563393</c:v>
                      </c:pt>
                      <c:pt idx="6">
                        <c:v>8.3394901101084606</c:v>
                      </c:pt>
                      <c:pt idx="7">
                        <c:v>6.3100351085251916</c:v>
                      </c:pt>
                      <c:pt idx="8">
                        <c:v>5.5435718051752403</c:v>
                      </c:pt>
                      <c:pt idx="9">
                        <c:v>5.5877794584258123</c:v>
                      </c:pt>
                      <c:pt idx="10">
                        <c:v>6.2082944046714772</c:v>
                      </c:pt>
                      <c:pt idx="11">
                        <c:v>7.2654217462485349</c:v>
                      </c:pt>
                      <c:pt idx="12">
                        <c:v>7.9666702625786456</c:v>
                      </c:pt>
                      <c:pt idx="13">
                        <c:v>6.8292104522543973</c:v>
                      </c:pt>
                      <c:pt idx="14">
                        <c:v>6.068913653385799</c:v>
                      </c:pt>
                      <c:pt idx="15">
                        <c:v>5.6326686556350314</c:v>
                      </c:pt>
                      <c:pt idx="16">
                        <c:v>5.4786231784245132</c:v>
                      </c:pt>
                      <c:pt idx="17">
                        <c:v>5.5731354520272891</c:v>
                      </c:pt>
                      <c:pt idx="18">
                        <c:v>5.8887013608347694</c:v>
                      </c:pt>
                      <c:pt idx="19">
                        <c:v>6.4025042135824606</c:v>
                      </c:pt>
                      <c:pt idx="20">
                        <c:v>7.095374486075201</c:v>
                      </c:pt>
                      <c:pt idx="21">
                        <c:v>7.9510270577561659</c:v>
                      </c:pt>
                      <c:pt idx="22">
                        <c:v>7.7129588362273793</c:v>
                      </c:pt>
                      <c:pt idx="23">
                        <c:v>6.9517825784740417</c:v>
                      </c:pt>
                      <c:pt idx="24">
                        <c:v>6.3614156454088189</c:v>
                      </c:pt>
                      <c:pt idx="25">
                        <c:v>5.6461794222006922</c:v>
                      </c:pt>
                      <c:pt idx="26">
                        <c:v>5.4856109799661823</c:v>
                      </c:pt>
                      <c:pt idx="27">
                        <c:v>5.8139714999208891</c:v>
                      </c:pt>
                      <c:pt idx="28">
                        <c:v>6.5774395588473311</c:v>
                      </c:pt>
                      <c:pt idx="29">
                        <c:v>7.7313145048876208</c:v>
                      </c:pt>
                      <c:pt idx="30">
                        <c:v>7.4925726332480735</c:v>
                      </c:pt>
                      <c:pt idx="31">
                        <c:v>6.4746274306028972</c:v>
                      </c:pt>
                      <c:pt idx="32">
                        <c:v>5.8244406363176182</c:v>
                      </c:pt>
                      <c:pt idx="33">
                        <c:v>5.513074075012625</c:v>
                      </c:pt>
                      <c:pt idx="34">
                        <c:v>5.5151466940568383</c:v>
                      </c:pt>
                      <c:pt idx="35">
                        <c:v>6.3725270442889226</c:v>
                      </c:pt>
                      <c:pt idx="36">
                        <c:v>8.2454132352815179</c:v>
                      </c:pt>
                      <c:pt idx="37">
                        <c:v>6.4933249373774871</c:v>
                      </c:pt>
                      <c:pt idx="38">
                        <c:v>5.5984633636523284</c:v>
                      </c:pt>
                      <c:pt idx="39">
                        <c:v>5.558639790195663</c:v>
                      </c:pt>
                      <c:pt idx="40">
                        <c:v>6.2927740440585467</c:v>
                      </c:pt>
                      <c:pt idx="41">
                        <c:v>7.7317068475133865</c:v>
                      </c:pt>
                      <c:pt idx="42">
                        <c:v>7.1027760719324817</c:v>
                      </c:pt>
                      <c:pt idx="43">
                        <c:v>5.9845486422263505</c:v>
                      </c:pt>
                      <c:pt idx="44">
                        <c:v>5.5032487055015622</c:v>
                      </c:pt>
                      <c:pt idx="45">
                        <c:v>5.6136003315717886</c:v>
                      </c:pt>
                      <c:pt idx="46">
                        <c:v>6.2753840552566942</c:v>
                      </c:pt>
                      <c:pt idx="47">
                        <c:v>7.4526886726550501</c:v>
                      </c:pt>
                      <c:pt idx="48">
                        <c:v>7.5783032236103054</c:v>
                      </c:pt>
                      <c:pt idx="49">
                        <c:v>6.4004005133266872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151-4E6B-B494-EB995B6ABA4D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Execution Time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392929741349097"/>
          <c:y val="0.19781333333333334"/>
          <c:w val="0.83342975303161293"/>
          <c:h val="0.45310194225721784"/>
        </c:manualLayout>
      </c:layout>
      <c:lineChart>
        <c:grouping val="standard"/>
        <c:varyColors val="0"/>
        <c:ser>
          <c:idx val="3"/>
          <c:order val="1"/>
          <c:tx>
            <c:strRef>
              <c:f>'Convergence Study'!$C$6</c:f>
              <c:strCache>
                <c:ptCount val="1"/>
                <c:pt idx="0">
                  <c:v>Execution Time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Study'!$C$7:$C$56</c:f>
              <c:numCache>
                <c:formatCode>General</c:formatCode>
                <c:ptCount val="5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7.8125E-3</c:v>
                </c:pt>
                <c:pt idx="5">
                  <c:v>0</c:v>
                </c:pt>
                <c:pt idx="6">
                  <c:v>1.5625E-2</c:v>
                </c:pt>
                <c:pt idx="7">
                  <c:v>3.125E-2</c:v>
                </c:pt>
                <c:pt idx="8">
                  <c:v>7.8125E-2</c:v>
                </c:pt>
                <c:pt idx="9">
                  <c:v>8.59375E-2</c:v>
                </c:pt>
                <c:pt idx="10">
                  <c:v>0.125</c:v>
                </c:pt>
                <c:pt idx="11">
                  <c:v>0.171875</c:v>
                </c:pt>
                <c:pt idx="12">
                  <c:v>0.22265625</c:v>
                </c:pt>
                <c:pt idx="13">
                  <c:v>0.296875</c:v>
                </c:pt>
                <c:pt idx="14">
                  <c:v>0.34375</c:v>
                </c:pt>
                <c:pt idx="15">
                  <c:v>0.421875</c:v>
                </c:pt>
                <c:pt idx="16">
                  <c:v>0.5</c:v>
                </c:pt>
                <c:pt idx="17">
                  <c:v>0.59375</c:v>
                </c:pt>
                <c:pt idx="18">
                  <c:v>0.69140625</c:v>
                </c:pt>
                <c:pt idx="19">
                  <c:v>0.8125</c:v>
                </c:pt>
                <c:pt idx="20">
                  <c:v>0.9140625</c:v>
                </c:pt>
                <c:pt idx="21">
                  <c:v>1.03515625</c:v>
                </c:pt>
                <c:pt idx="22">
                  <c:v>1.12890625</c:v>
                </c:pt>
                <c:pt idx="23">
                  <c:v>1.26953125</c:v>
                </c:pt>
                <c:pt idx="24">
                  <c:v>1.42578125</c:v>
                </c:pt>
                <c:pt idx="25">
                  <c:v>1.69140625</c:v>
                </c:pt>
                <c:pt idx="26">
                  <c:v>2.00390625</c:v>
                </c:pt>
                <c:pt idx="27">
                  <c:v>2.3046875</c:v>
                </c:pt>
                <c:pt idx="28">
                  <c:v>2.61328125</c:v>
                </c:pt>
                <c:pt idx="29">
                  <c:v>2.9921875</c:v>
                </c:pt>
                <c:pt idx="30">
                  <c:v>3.32421875</c:v>
                </c:pt>
                <c:pt idx="31">
                  <c:v>3.69140625</c:v>
                </c:pt>
                <c:pt idx="32">
                  <c:v>4.0390625</c:v>
                </c:pt>
                <c:pt idx="33">
                  <c:v>4.4296875</c:v>
                </c:pt>
                <c:pt idx="34">
                  <c:v>4.83984375</c:v>
                </c:pt>
                <c:pt idx="35">
                  <c:v>6.09765625</c:v>
                </c:pt>
                <c:pt idx="36">
                  <c:v>7.109375</c:v>
                </c:pt>
                <c:pt idx="37">
                  <c:v>7.52734375</c:v>
                </c:pt>
                <c:pt idx="38">
                  <c:v>8.51953125</c:v>
                </c:pt>
                <c:pt idx="39">
                  <c:v>9.44140625</c:v>
                </c:pt>
                <c:pt idx="40">
                  <c:v>10.51953125</c:v>
                </c:pt>
                <c:pt idx="41">
                  <c:v>11.6796875</c:v>
                </c:pt>
                <c:pt idx="42">
                  <c:v>13</c:v>
                </c:pt>
                <c:pt idx="43">
                  <c:v>14.22265625</c:v>
                </c:pt>
                <c:pt idx="44">
                  <c:v>15.31640625</c:v>
                </c:pt>
                <c:pt idx="45">
                  <c:v>16.625</c:v>
                </c:pt>
                <c:pt idx="46">
                  <c:v>18.375</c:v>
                </c:pt>
                <c:pt idx="47">
                  <c:v>19.7578125</c:v>
                </c:pt>
                <c:pt idx="48">
                  <c:v>20.6796875</c:v>
                </c:pt>
                <c:pt idx="49">
                  <c:v>21.96484375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2-AA68-4A71-89E7-BA614F361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9.1532218255407596</c:v>
                      </c:pt>
                      <c:pt idx="3">
                        <c:v>9.885952034609474</c:v>
                      </c:pt>
                      <c:pt idx="4">
                        <c:v>10.169111805734914</c:v>
                      </c:pt>
                      <c:pt idx="5">
                        <c:v>10.241536846623694</c:v>
                      </c:pt>
                      <c:pt idx="6">
                        <c:v>10.283793769983403</c:v>
                      </c:pt>
                      <c:pt idx="7">
                        <c:v>10.366449770738569</c:v>
                      </c:pt>
                      <c:pt idx="8">
                        <c:v>10.395147854133819</c:v>
                      </c:pt>
                      <c:pt idx="9">
                        <c:v>10.405881336518165</c:v>
                      </c:pt>
                      <c:pt idx="10">
                        <c:v>10.409194942821095</c:v>
                      </c:pt>
                      <c:pt idx="11">
                        <c:v>10.409066876492723</c:v>
                      </c:pt>
                      <c:pt idx="12">
                        <c:v>10.410750220872679</c:v>
                      </c:pt>
                      <c:pt idx="13">
                        <c:v>10.420231525731108</c:v>
                      </c:pt>
                      <c:pt idx="14">
                        <c:v>10.426307917572029</c:v>
                      </c:pt>
                      <c:pt idx="15">
                        <c:v>10.430101140710535</c:v>
                      </c:pt>
                      <c:pt idx="16">
                        <c:v>10.432321494924157</c:v>
                      </c:pt>
                      <c:pt idx="17">
                        <c:v>10.433435463102411</c:v>
                      </c:pt>
                      <c:pt idx="18">
                        <c:v>10.433758711154615</c:v>
                      </c:pt>
                      <c:pt idx="19">
                        <c:v>10.433510227616019</c:v>
                      </c:pt>
                      <c:pt idx="20">
                        <c:v>10.432845135970384</c:v>
                      </c:pt>
                      <c:pt idx="21">
                        <c:v>10.431875273226145</c:v>
                      </c:pt>
                      <c:pt idx="22">
                        <c:v>10.433443663660622</c:v>
                      </c:pt>
                      <c:pt idx="23">
                        <c:v>10.435948240441416</c:v>
                      </c:pt>
                      <c:pt idx="24">
                        <c:v>10.437860740894754</c:v>
                      </c:pt>
                      <c:pt idx="25">
                        <c:v>10.440317791417934</c:v>
                      </c:pt>
                      <c:pt idx="26">
                        <c:v>10.441440887218961</c:v>
                      </c:pt>
                      <c:pt idx="27">
                        <c:v>10.441639000647232</c:v>
                      </c:pt>
                      <c:pt idx="28">
                        <c:v>10.441187229958647</c:v>
                      </c:pt>
                      <c:pt idx="29">
                        <c:v>10.440275152845722</c:v>
                      </c:pt>
                      <c:pt idx="30">
                        <c:v>10.441217856394012</c:v>
                      </c:pt>
                      <c:pt idx="31">
                        <c:v>10.442966363443686</c:v>
                      </c:pt>
                      <c:pt idx="32">
                        <c:v>10.444111971478552</c:v>
                      </c:pt>
                      <c:pt idx="33">
                        <c:v>10.444780336317137</c:v>
                      </c:pt>
                      <c:pt idx="34">
                        <c:v>10.445068425491515</c:v>
                      </c:pt>
                      <c:pt idx="35">
                        <c:v>10.444790365781673</c:v>
                      </c:pt>
                      <c:pt idx="36">
                        <c:v>10.443712394489504</c:v>
                      </c:pt>
                      <c:pt idx="37">
                        <c:v>10.445588706849128</c:v>
                      </c:pt>
                      <c:pt idx="38">
                        <c:v>10.446584669782963</c:v>
                      </c:pt>
                      <c:pt idx="39">
                        <c:v>10.446877812325441</c:v>
                      </c:pt>
                      <c:pt idx="40">
                        <c:v>10.446650588408035</c:v>
                      </c:pt>
                      <c:pt idx="41">
                        <c:v>10.446035509334093</c:v>
                      </c:pt>
                      <c:pt idx="42">
                        <c:v>10.446637585478943</c:v>
                      </c:pt>
                      <c:pt idx="43">
                        <c:v>10.447433809742295</c:v>
                      </c:pt>
                      <c:pt idx="44">
                        <c:v>10.447831947832821</c:v>
                      </c:pt>
                      <c:pt idx="45">
                        <c:v>10.447910429170538</c:v>
                      </c:pt>
                      <c:pt idx="46">
                        <c:v>10.447731124887728</c:v>
                      </c:pt>
                      <c:pt idx="47">
                        <c:v>10.447343272762678</c:v>
                      </c:pt>
                      <c:pt idx="48">
                        <c:v>10.447425945842401</c:v>
                      </c:pt>
                      <c:pt idx="49">
                        <c:v>10.448023411980241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A68-4A71-89E7-BA614F361B89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10.450583572185572</c:v>
                      </c:pt>
                      <c:pt idx="3">
                        <c:v>10.450583572185572</c:v>
                      </c:pt>
                      <c:pt idx="4">
                        <c:v>10.450583572185572</c:v>
                      </c:pt>
                      <c:pt idx="5">
                        <c:v>10.450583572185572</c:v>
                      </c:pt>
                      <c:pt idx="6">
                        <c:v>10.450583572185572</c:v>
                      </c:pt>
                      <c:pt idx="7">
                        <c:v>10.450583572185572</c:v>
                      </c:pt>
                      <c:pt idx="8">
                        <c:v>10.450583572185572</c:v>
                      </c:pt>
                      <c:pt idx="9">
                        <c:v>10.450583572185572</c:v>
                      </c:pt>
                      <c:pt idx="10">
                        <c:v>10.450583572185572</c:v>
                      </c:pt>
                      <c:pt idx="11">
                        <c:v>10.450583572185572</c:v>
                      </c:pt>
                      <c:pt idx="12">
                        <c:v>10.450583572185572</c:v>
                      </c:pt>
                      <c:pt idx="13">
                        <c:v>10.450583572185572</c:v>
                      </c:pt>
                      <c:pt idx="14">
                        <c:v>10.450583572185572</c:v>
                      </c:pt>
                      <c:pt idx="15">
                        <c:v>10.450583572185572</c:v>
                      </c:pt>
                      <c:pt idx="16">
                        <c:v>10.450583572185572</c:v>
                      </c:pt>
                      <c:pt idx="17">
                        <c:v>10.450583572185572</c:v>
                      </c:pt>
                      <c:pt idx="18">
                        <c:v>10.450583572185572</c:v>
                      </c:pt>
                      <c:pt idx="19">
                        <c:v>10.450583572185572</c:v>
                      </c:pt>
                      <c:pt idx="20">
                        <c:v>10.450583572185572</c:v>
                      </c:pt>
                      <c:pt idx="21">
                        <c:v>10.450583572185572</c:v>
                      </c:pt>
                      <c:pt idx="22">
                        <c:v>10.450583572185572</c:v>
                      </c:pt>
                      <c:pt idx="23">
                        <c:v>10.450583572185572</c:v>
                      </c:pt>
                      <c:pt idx="24">
                        <c:v>10.450583572185572</c:v>
                      </c:pt>
                      <c:pt idx="25">
                        <c:v>10.450583572185572</c:v>
                      </c:pt>
                      <c:pt idx="26">
                        <c:v>10.450583572185572</c:v>
                      </c:pt>
                      <c:pt idx="27">
                        <c:v>10.450583572185572</c:v>
                      </c:pt>
                      <c:pt idx="28">
                        <c:v>10.450583572185572</c:v>
                      </c:pt>
                      <c:pt idx="29">
                        <c:v>10.450583572185572</c:v>
                      </c:pt>
                      <c:pt idx="30">
                        <c:v>10.450583572185572</c:v>
                      </c:pt>
                      <c:pt idx="31">
                        <c:v>10.450583572185572</c:v>
                      </c:pt>
                      <c:pt idx="32">
                        <c:v>10.450583572185572</c:v>
                      </c:pt>
                      <c:pt idx="33">
                        <c:v>10.450583572185572</c:v>
                      </c:pt>
                      <c:pt idx="34">
                        <c:v>10.450583572185572</c:v>
                      </c:pt>
                      <c:pt idx="35">
                        <c:v>10.450583572185572</c:v>
                      </c:pt>
                      <c:pt idx="36">
                        <c:v>10.450583572185572</c:v>
                      </c:pt>
                      <c:pt idx="37">
                        <c:v>10.450583572185572</c:v>
                      </c:pt>
                      <c:pt idx="38">
                        <c:v>10.450583572185572</c:v>
                      </c:pt>
                      <c:pt idx="39">
                        <c:v>10.450583572185572</c:v>
                      </c:pt>
                      <c:pt idx="40">
                        <c:v>10.450583572185572</c:v>
                      </c:pt>
                      <c:pt idx="41">
                        <c:v>10.450583572185572</c:v>
                      </c:pt>
                      <c:pt idx="42">
                        <c:v>10.450583572185572</c:v>
                      </c:pt>
                      <c:pt idx="43">
                        <c:v>10.450583572185572</c:v>
                      </c:pt>
                      <c:pt idx="44">
                        <c:v>10.450583572185572</c:v>
                      </c:pt>
                      <c:pt idx="45">
                        <c:v>10.450583572185572</c:v>
                      </c:pt>
                      <c:pt idx="46">
                        <c:v>10.450583572185572</c:v>
                      </c:pt>
                      <c:pt idx="47">
                        <c:v>10.450583572185572</c:v>
                      </c:pt>
                      <c:pt idx="48">
                        <c:v>10.450583572185572</c:v>
                      </c:pt>
                      <c:pt idx="49">
                        <c:v>10.450583572185572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A68-4A71-89E7-BA614F361B89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1.2973617466448122</c:v>
                      </c:pt>
                      <c:pt idx="3">
                        <c:v>0.56463153757609774</c:v>
                      </c:pt>
                      <c:pt idx="4">
                        <c:v>0.28147176645065741</c:v>
                      </c:pt>
                      <c:pt idx="5">
                        <c:v>0.20904672556187798</c:v>
                      </c:pt>
                      <c:pt idx="6">
                        <c:v>0.16678980220216921</c:v>
                      </c:pt>
                      <c:pt idx="7">
                        <c:v>8.4133801447002554E-2</c:v>
                      </c:pt>
                      <c:pt idx="8">
                        <c:v>5.5435718051752403E-2</c:v>
                      </c:pt>
                      <c:pt idx="9">
                        <c:v>4.4702235667406498E-2</c:v>
                      </c:pt>
                      <c:pt idx="10">
                        <c:v>4.1388629364476515E-2</c:v>
                      </c:pt>
                      <c:pt idx="11">
                        <c:v>4.1516695692848771E-2</c:v>
                      </c:pt>
                      <c:pt idx="12">
                        <c:v>3.9833351312893228E-2</c:v>
                      </c:pt>
                      <c:pt idx="13">
                        <c:v>3.0352046454463988E-2</c:v>
                      </c:pt>
                      <c:pt idx="14">
                        <c:v>2.4275654613543196E-2</c:v>
                      </c:pt>
                      <c:pt idx="15">
                        <c:v>2.0482431475036478E-2</c:v>
                      </c:pt>
                      <c:pt idx="16">
                        <c:v>1.8262077261415044E-2</c:v>
                      </c:pt>
                      <c:pt idx="17">
                        <c:v>1.714810908316089E-2</c:v>
                      </c:pt>
                      <c:pt idx="18">
                        <c:v>1.6824861030956484E-2</c:v>
                      </c:pt>
                      <c:pt idx="19">
                        <c:v>1.7073344569553228E-2</c:v>
                      </c:pt>
                      <c:pt idx="20">
                        <c:v>1.7738436215188003E-2</c:v>
                      </c:pt>
                      <c:pt idx="21">
                        <c:v>1.8708298959426273E-2</c:v>
                      </c:pt>
                      <c:pt idx="22">
                        <c:v>1.7139908524949732E-2</c:v>
                      </c:pt>
                      <c:pt idx="23">
                        <c:v>1.4635331744155877E-2</c:v>
                      </c:pt>
                      <c:pt idx="24">
                        <c:v>1.2722831290817638E-2</c:v>
                      </c:pt>
                      <c:pt idx="25">
                        <c:v>1.0265780767637622E-2</c:v>
                      </c:pt>
                      <c:pt idx="26">
                        <c:v>9.1426849666103038E-3</c:v>
                      </c:pt>
                      <c:pt idx="27">
                        <c:v>8.9445715383398294E-3</c:v>
                      </c:pt>
                      <c:pt idx="28">
                        <c:v>9.3963422269247587E-3</c:v>
                      </c:pt>
                      <c:pt idx="29">
                        <c:v>1.0308419339850161E-2</c:v>
                      </c:pt>
                      <c:pt idx="30">
                        <c:v>9.3657157915600919E-3</c:v>
                      </c:pt>
                      <c:pt idx="31">
                        <c:v>7.6172087418857615E-3</c:v>
                      </c:pt>
                      <c:pt idx="32">
                        <c:v>6.4716007070195758E-3</c:v>
                      </c:pt>
                      <c:pt idx="33">
                        <c:v>5.8032358684343421E-3</c:v>
                      </c:pt>
                      <c:pt idx="34">
                        <c:v>5.5151466940568383E-3</c:v>
                      </c:pt>
                      <c:pt idx="35">
                        <c:v>5.7932064038990205E-3</c:v>
                      </c:pt>
                      <c:pt idx="36">
                        <c:v>6.8711776960679316E-3</c:v>
                      </c:pt>
                      <c:pt idx="37">
                        <c:v>4.9948653364442208E-3</c:v>
                      </c:pt>
                      <c:pt idx="38">
                        <c:v>3.998902402608806E-3</c:v>
                      </c:pt>
                      <c:pt idx="39">
                        <c:v>3.705759860130442E-3</c:v>
                      </c:pt>
                      <c:pt idx="40">
                        <c:v>3.9329837775365917E-3</c:v>
                      </c:pt>
                      <c:pt idx="41">
                        <c:v>4.5480628514784627E-3</c:v>
                      </c:pt>
                      <c:pt idx="42">
                        <c:v>3.9459867066291565E-3</c:v>
                      </c:pt>
                      <c:pt idx="43">
                        <c:v>3.1497624432770266E-3</c:v>
                      </c:pt>
                      <c:pt idx="44">
                        <c:v>2.7516243527507811E-3</c:v>
                      </c:pt>
                      <c:pt idx="45">
                        <c:v>2.6731430150341851E-3</c:v>
                      </c:pt>
                      <c:pt idx="46">
                        <c:v>2.8524472978439519E-3</c:v>
                      </c:pt>
                      <c:pt idx="47">
                        <c:v>3.2402994228935E-3</c:v>
                      </c:pt>
                      <c:pt idx="48">
                        <c:v>3.1576263431709606E-3</c:v>
                      </c:pt>
                      <c:pt idx="49">
                        <c:v>2.5601602053306749E-3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A68-4A71-89E7-BA614F361B89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6.4868087332240609</c:v>
                      </c:pt>
                      <c:pt idx="3">
                        <c:v>5.6463153757609774</c:v>
                      </c:pt>
                      <c:pt idx="4">
                        <c:v>5.6294353290131482</c:v>
                      </c:pt>
                      <c:pt idx="5">
                        <c:v>6.2714017668563393</c:v>
                      </c:pt>
                      <c:pt idx="6">
                        <c:v>8.3394901101084606</c:v>
                      </c:pt>
                      <c:pt idx="7">
                        <c:v>6.3100351085251916</c:v>
                      </c:pt>
                      <c:pt idx="8">
                        <c:v>5.5435718051752403</c:v>
                      </c:pt>
                      <c:pt idx="9">
                        <c:v>5.5877794584258123</c:v>
                      </c:pt>
                      <c:pt idx="10">
                        <c:v>6.2082944046714772</c:v>
                      </c:pt>
                      <c:pt idx="11">
                        <c:v>7.2654217462485349</c:v>
                      </c:pt>
                      <c:pt idx="12">
                        <c:v>7.9666702625786456</c:v>
                      </c:pt>
                      <c:pt idx="13">
                        <c:v>6.8292104522543973</c:v>
                      </c:pt>
                      <c:pt idx="14">
                        <c:v>6.068913653385799</c:v>
                      </c:pt>
                      <c:pt idx="15">
                        <c:v>5.6326686556350314</c:v>
                      </c:pt>
                      <c:pt idx="16">
                        <c:v>5.4786231784245132</c:v>
                      </c:pt>
                      <c:pt idx="17">
                        <c:v>5.5731354520272891</c:v>
                      </c:pt>
                      <c:pt idx="18">
                        <c:v>5.8887013608347694</c:v>
                      </c:pt>
                      <c:pt idx="19">
                        <c:v>6.4025042135824606</c:v>
                      </c:pt>
                      <c:pt idx="20">
                        <c:v>7.095374486075201</c:v>
                      </c:pt>
                      <c:pt idx="21">
                        <c:v>7.9510270577561659</c:v>
                      </c:pt>
                      <c:pt idx="22">
                        <c:v>7.7129588362273793</c:v>
                      </c:pt>
                      <c:pt idx="23">
                        <c:v>6.9517825784740417</c:v>
                      </c:pt>
                      <c:pt idx="24">
                        <c:v>6.3614156454088189</c:v>
                      </c:pt>
                      <c:pt idx="25">
                        <c:v>5.6461794222006922</c:v>
                      </c:pt>
                      <c:pt idx="26">
                        <c:v>5.4856109799661823</c:v>
                      </c:pt>
                      <c:pt idx="27">
                        <c:v>5.8139714999208891</c:v>
                      </c:pt>
                      <c:pt idx="28">
                        <c:v>6.5774395588473311</c:v>
                      </c:pt>
                      <c:pt idx="29">
                        <c:v>7.7313145048876208</c:v>
                      </c:pt>
                      <c:pt idx="30">
                        <c:v>7.4925726332480735</c:v>
                      </c:pt>
                      <c:pt idx="31">
                        <c:v>6.4746274306028972</c:v>
                      </c:pt>
                      <c:pt idx="32">
                        <c:v>5.8244406363176182</c:v>
                      </c:pt>
                      <c:pt idx="33">
                        <c:v>5.513074075012625</c:v>
                      </c:pt>
                      <c:pt idx="34">
                        <c:v>5.5151466940568383</c:v>
                      </c:pt>
                      <c:pt idx="35">
                        <c:v>6.3725270442889226</c:v>
                      </c:pt>
                      <c:pt idx="36">
                        <c:v>8.2454132352815179</c:v>
                      </c:pt>
                      <c:pt idx="37">
                        <c:v>6.4933249373774871</c:v>
                      </c:pt>
                      <c:pt idx="38">
                        <c:v>5.5984633636523284</c:v>
                      </c:pt>
                      <c:pt idx="39">
                        <c:v>5.558639790195663</c:v>
                      </c:pt>
                      <c:pt idx="40">
                        <c:v>6.2927740440585467</c:v>
                      </c:pt>
                      <c:pt idx="41">
                        <c:v>7.7317068475133865</c:v>
                      </c:pt>
                      <c:pt idx="42">
                        <c:v>7.1027760719324817</c:v>
                      </c:pt>
                      <c:pt idx="43">
                        <c:v>5.9845486422263505</c:v>
                      </c:pt>
                      <c:pt idx="44">
                        <c:v>5.5032487055015622</c:v>
                      </c:pt>
                      <c:pt idx="45">
                        <c:v>5.6136003315717886</c:v>
                      </c:pt>
                      <c:pt idx="46">
                        <c:v>6.2753840552566942</c:v>
                      </c:pt>
                      <c:pt idx="47">
                        <c:v>7.4526886726550501</c:v>
                      </c:pt>
                      <c:pt idx="48">
                        <c:v>7.5783032236103054</c:v>
                      </c:pt>
                      <c:pt idx="49">
                        <c:v>6.4004005133266872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A68-4A71-89E7-BA614F361B89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245092606313891E-2"/>
          <c:y val="0.20105572363209223"/>
          <c:w val="0.87576030408427485"/>
          <c:h val="0.48208291788455759"/>
        </c:manualLayout>
      </c:layout>
      <c:lineChart>
        <c:grouping val="standard"/>
        <c:varyColors val="0"/>
        <c:ser>
          <c:idx val="5"/>
          <c:order val="3"/>
          <c:tx>
            <c:strRef>
              <c:f>'Convergence Study'!$E$6</c:f>
              <c:strCache>
                <c:ptCount val="1"/>
                <c:pt idx="0">
                  <c:v>Gap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Study'!$E$7:$E$56</c:f>
              <c:numCache>
                <c:formatCode>General</c:formatCode>
                <c:ptCount val="50"/>
                <c:pt idx="1">
                  <c:v>10.450583572185572</c:v>
                </c:pt>
                <c:pt idx="2">
                  <c:v>1.2973617466448122</c:v>
                </c:pt>
                <c:pt idx="3">
                  <c:v>0.56463153757609774</c:v>
                </c:pt>
                <c:pt idx="4">
                  <c:v>0.28147176645065741</c:v>
                </c:pt>
                <c:pt idx="5">
                  <c:v>0.20904672556187798</c:v>
                </c:pt>
                <c:pt idx="6">
                  <c:v>0.16678980220216921</c:v>
                </c:pt>
                <c:pt idx="7">
                  <c:v>8.4133801447002554E-2</c:v>
                </c:pt>
                <c:pt idx="8">
                  <c:v>5.5435718051752403E-2</c:v>
                </c:pt>
                <c:pt idx="9">
                  <c:v>4.4702235667406498E-2</c:v>
                </c:pt>
                <c:pt idx="10">
                  <c:v>4.1388629364476515E-2</c:v>
                </c:pt>
                <c:pt idx="11">
                  <c:v>4.1516695692848771E-2</c:v>
                </c:pt>
                <c:pt idx="12">
                  <c:v>3.9833351312893228E-2</c:v>
                </c:pt>
                <c:pt idx="13">
                  <c:v>3.0352046454463988E-2</c:v>
                </c:pt>
                <c:pt idx="14">
                  <c:v>2.4275654613543196E-2</c:v>
                </c:pt>
                <c:pt idx="15">
                  <c:v>2.0482431475036478E-2</c:v>
                </c:pt>
                <c:pt idx="16">
                  <c:v>1.8262077261415044E-2</c:v>
                </c:pt>
                <c:pt idx="17">
                  <c:v>1.714810908316089E-2</c:v>
                </c:pt>
                <c:pt idx="18">
                  <c:v>1.6824861030956484E-2</c:v>
                </c:pt>
                <c:pt idx="19">
                  <c:v>1.7073344569553228E-2</c:v>
                </c:pt>
                <c:pt idx="20">
                  <c:v>1.7738436215188003E-2</c:v>
                </c:pt>
                <c:pt idx="21">
                  <c:v>1.8708298959426273E-2</c:v>
                </c:pt>
                <c:pt idx="22">
                  <c:v>1.7139908524949732E-2</c:v>
                </c:pt>
                <c:pt idx="23">
                  <c:v>1.4635331744155877E-2</c:v>
                </c:pt>
                <c:pt idx="24">
                  <c:v>1.2722831290817638E-2</c:v>
                </c:pt>
                <c:pt idx="25">
                  <c:v>1.0265780767637622E-2</c:v>
                </c:pt>
                <c:pt idx="26">
                  <c:v>9.1426849666103038E-3</c:v>
                </c:pt>
                <c:pt idx="27">
                  <c:v>8.9445715383398294E-3</c:v>
                </c:pt>
                <c:pt idx="28">
                  <c:v>9.3963422269247587E-3</c:v>
                </c:pt>
                <c:pt idx="29">
                  <c:v>1.0308419339850161E-2</c:v>
                </c:pt>
                <c:pt idx="30">
                  <c:v>9.3657157915600919E-3</c:v>
                </c:pt>
                <c:pt idx="31">
                  <c:v>7.6172087418857615E-3</c:v>
                </c:pt>
                <c:pt idx="32">
                  <c:v>6.4716007070195758E-3</c:v>
                </c:pt>
                <c:pt idx="33">
                  <c:v>5.8032358684343421E-3</c:v>
                </c:pt>
                <c:pt idx="34">
                  <c:v>5.5151466940568383E-3</c:v>
                </c:pt>
                <c:pt idx="35">
                  <c:v>5.7932064038990205E-3</c:v>
                </c:pt>
                <c:pt idx="36">
                  <c:v>6.8711776960679316E-3</c:v>
                </c:pt>
                <c:pt idx="37">
                  <c:v>4.9948653364442208E-3</c:v>
                </c:pt>
                <c:pt idx="38">
                  <c:v>3.998902402608806E-3</c:v>
                </c:pt>
                <c:pt idx="39">
                  <c:v>3.705759860130442E-3</c:v>
                </c:pt>
                <c:pt idx="40">
                  <c:v>3.9329837775365917E-3</c:v>
                </c:pt>
                <c:pt idx="41">
                  <c:v>4.5480628514784627E-3</c:v>
                </c:pt>
                <c:pt idx="42">
                  <c:v>3.9459867066291565E-3</c:v>
                </c:pt>
                <c:pt idx="43">
                  <c:v>3.1497624432770266E-3</c:v>
                </c:pt>
                <c:pt idx="44">
                  <c:v>2.7516243527507811E-3</c:v>
                </c:pt>
                <c:pt idx="45">
                  <c:v>2.6731430150341851E-3</c:v>
                </c:pt>
                <c:pt idx="46">
                  <c:v>2.8524472978439519E-3</c:v>
                </c:pt>
                <c:pt idx="47">
                  <c:v>3.2402994228935E-3</c:v>
                </c:pt>
                <c:pt idx="48">
                  <c:v>3.1576263431709606E-3</c:v>
                </c:pt>
                <c:pt idx="49">
                  <c:v>2.5601602053306749E-3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3-B2EC-479A-A2A8-77673A62D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9.1532218255407596</c:v>
                      </c:pt>
                      <c:pt idx="3">
                        <c:v>9.885952034609474</c:v>
                      </c:pt>
                      <c:pt idx="4">
                        <c:v>10.169111805734914</c:v>
                      </c:pt>
                      <c:pt idx="5">
                        <c:v>10.241536846623694</c:v>
                      </c:pt>
                      <c:pt idx="6">
                        <c:v>10.283793769983403</c:v>
                      </c:pt>
                      <c:pt idx="7">
                        <c:v>10.366449770738569</c:v>
                      </c:pt>
                      <c:pt idx="8">
                        <c:v>10.395147854133819</c:v>
                      </c:pt>
                      <c:pt idx="9">
                        <c:v>10.405881336518165</c:v>
                      </c:pt>
                      <c:pt idx="10">
                        <c:v>10.409194942821095</c:v>
                      </c:pt>
                      <c:pt idx="11">
                        <c:v>10.409066876492723</c:v>
                      </c:pt>
                      <c:pt idx="12">
                        <c:v>10.410750220872679</c:v>
                      </c:pt>
                      <c:pt idx="13">
                        <c:v>10.420231525731108</c:v>
                      </c:pt>
                      <c:pt idx="14">
                        <c:v>10.426307917572029</c:v>
                      </c:pt>
                      <c:pt idx="15">
                        <c:v>10.430101140710535</c:v>
                      </c:pt>
                      <c:pt idx="16">
                        <c:v>10.432321494924157</c:v>
                      </c:pt>
                      <c:pt idx="17">
                        <c:v>10.433435463102411</c:v>
                      </c:pt>
                      <c:pt idx="18">
                        <c:v>10.433758711154615</c:v>
                      </c:pt>
                      <c:pt idx="19">
                        <c:v>10.433510227616019</c:v>
                      </c:pt>
                      <c:pt idx="20">
                        <c:v>10.432845135970384</c:v>
                      </c:pt>
                      <c:pt idx="21">
                        <c:v>10.431875273226145</c:v>
                      </c:pt>
                      <c:pt idx="22">
                        <c:v>10.433443663660622</c:v>
                      </c:pt>
                      <c:pt idx="23">
                        <c:v>10.435948240441416</c:v>
                      </c:pt>
                      <c:pt idx="24">
                        <c:v>10.437860740894754</c:v>
                      </c:pt>
                      <c:pt idx="25">
                        <c:v>10.440317791417934</c:v>
                      </c:pt>
                      <c:pt idx="26">
                        <c:v>10.441440887218961</c:v>
                      </c:pt>
                      <c:pt idx="27">
                        <c:v>10.441639000647232</c:v>
                      </c:pt>
                      <c:pt idx="28">
                        <c:v>10.441187229958647</c:v>
                      </c:pt>
                      <c:pt idx="29">
                        <c:v>10.440275152845722</c:v>
                      </c:pt>
                      <c:pt idx="30">
                        <c:v>10.441217856394012</c:v>
                      </c:pt>
                      <c:pt idx="31">
                        <c:v>10.442966363443686</c:v>
                      </c:pt>
                      <c:pt idx="32">
                        <c:v>10.444111971478552</c:v>
                      </c:pt>
                      <c:pt idx="33">
                        <c:v>10.444780336317137</c:v>
                      </c:pt>
                      <c:pt idx="34">
                        <c:v>10.445068425491515</c:v>
                      </c:pt>
                      <c:pt idx="35">
                        <c:v>10.444790365781673</c:v>
                      </c:pt>
                      <c:pt idx="36">
                        <c:v>10.443712394489504</c:v>
                      </c:pt>
                      <c:pt idx="37">
                        <c:v>10.445588706849128</c:v>
                      </c:pt>
                      <c:pt idx="38">
                        <c:v>10.446584669782963</c:v>
                      </c:pt>
                      <c:pt idx="39">
                        <c:v>10.446877812325441</c:v>
                      </c:pt>
                      <c:pt idx="40">
                        <c:v>10.446650588408035</c:v>
                      </c:pt>
                      <c:pt idx="41">
                        <c:v>10.446035509334093</c:v>
                      </c:pt>
                      <c:pt idx="42">
                        <c:v>10.446637585478943</c:v>
                      </c:pt>
                      <c:pt idx="43">
                        <c:v>10.447433809742295</c:v>
                      </c:pt>
                      <c:pt idx="44">
                        <c:v>10.447831947832821</c:v>
                      </c:pt>
                      <c:pt idx="45">
                        <c:v>10.447910429170538</c:v>
                      </c:pt>
                      <c:pt idx="46">
                        <c:v>10.447731124887728</c:v>
                      </c:pt>
                      <c:pt idx="47">
                        <c:v>10.447343272762678</c:v>
                      </c:pt>
                      <c:pt idx="48">
                        <c:v>10.447425945842401</c:v>
                      </c:pt>
                      <c:pt idx="49">
                        <c:v>10.448023411980241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B2EC-479A-A2A8-77673A62DFE4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0</c:v>
                      </c:pt>
                      <c:pt idx="6">
                        <c:v>1.5625E-2</c:v>
                      </c:pt>
                      <c:pt idx="7">
                        <c:v>3.125E-2</c:v>
                      </c:pt>
                      <c:pt idx="8">
                        <c:v>7.8125E-2</c:v>
                      </c:pt>
                      <c:pt idx="9">
                        <c:v>8.59375E-2</c:v>
                      </c:pt>
                      <c:pt idx="10">
                        <c:v>0.125</c:v>
                      </c:pt>
                      <c:pt idx="11">
                        <c:v>0.171875</c:v>
                      </c:pt>
                      <c:pt idx="12">
                        <c:v>0.22265625</c:v>
                      </c:pt>
                      <c:pt idx="13">
                        <c:v>0.296875</c:v>
                      </c:pt>
                      <c:pt idx="14">
                        <c:v>0.34375</c:v>
                      </c:pt>
                      <c:pt idx="15">
                        <c:v>0.421875</c:v>
                      </c:pt>
                      <c:pt idx="16">
                        <c:v>0.5</c:v>
                      </c:pt>
                      <c:pt idx="17">
                        <c:v>0.59375</c:v>
                      </c:pt>
                      <c:pt idx="18">
                        <c:v>0.69140625</c:v>
                      </c:pt>
                      <c:pt idx="19">
                        <c:v>0.8125</c:v>
                      </c:pt>
                      <c:pt idx="20">
                        <c:v>0.9140625</c:v>
                      </c:pt>
                      <c:pt idx="21">
                        <c:v>1.03515625</c:v>
                      </c:pt>
                      <c:pt idx="22">
                        <c:v>1.12890625</c:v>
                      </c:pt>
                      <c:pt idx="23">
                        <c:v>1.26953125</c:v>
                      </c:pt>
                      <c:pt idx="24">
                        <c:v>1.42578125</c:v>
                      </c:pt>
                      <c:pt idx="25">
                        <c:v>1.69140625</c:v>
                      </c:pt>
                      <c:pt idx="26">
                        <c:v>2.00390625</c:v>
                      </c:pt>
                      <c:pt idx="27">
                        <c:v>2.3046875</c:v>
                      </c:pt>
                      <c:pt idx="28">
                        <c:v>2.61328125</c:v>
                      </c:pt>
                      <c:pt idx="29">
                        <c:v>2.9921875</c:v>
                      </c:pt>
                      <c:pt idx="30">
                        <c:v>3.32421875</c:v>
                      </c:pt>
                      <c:pt idx="31">
                        <c:v>3.69140625</c:v>
                      </c:pt>
                      <c:pt idx="32">
                        <c:v>4.0390625</c:v>
                      </c:pt>
                      <c:pt idx="33">
                        <c:v>4.4296875</c:v>
                      </c:pt>
                      <c:pt idx="34">
                        <c:v>4.83984375</c:v>
                      </c:pt>
                      <c:pt idx="35">
                        <c:v>6.09765625</c:v>
                      </c:pt>
                      <c:pt idx="36">
                        <c:v>7.109375</c:v>
                      </c:pt>
                      <c:pt idx="37">
                        <c:v>7.52734375</c:v>
                      </c:pt>
                      <c:pt idx="38">
                        <c:v>8.51953125</c:v>
                      </c:pt>
                      <c:pt idx="39">
                        <c:v>9.44140625</c:v>
                      </c:pt>
                      <c:pt idx="40">
                        <c:v>10.51953125</c:v>
                      </c:pt>
                      <c:pt idx="41">
                        <c:v>11.6796875</c:v>
                      </c:pt>
                      <c:pt idx="42">
                        <c:v>13</c:v>
                      </c:pt>
                      <c:pt idx="43">
                        <c:v>14.22265625</c:v>
                      </c:pt>
                      <c:pt idx="44">
                        <c:v>15.31640625</c:v>
                      </c:pt>
                      <c:pt idx="45">
                        <c:v>16.625</c:v>
                      </c:pt>
                      <c:pt idx="46">
                        <c:v>18.375</c:v>
                      </c:pt>
                      <c:pt idx="47">
                        <c:v>19.7578125</c:v>
                      </c:pt>
                      <c:pt idx="48">
                        <c:v>20.6796875</c:v>
                      </c:pt>
                      <c:pt idx="49">
                        <c:v>21.96484375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B2EC-479A-A2A8-77673A62DFE4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10.450583572185572</c:v>
                      </c:pt>
                      <c:pt idx="3">
                        <c:v>10.450583572185572</c:v>
                      </c:pt>
                      <c:pt idx="4">
                        <c:v>10.450583572185572</c:v>
                      </c:pt>
                      <c:pt idx="5">
                        <c:v>10.450583572185572</c:v>
                      </c:pt>
                      <c:pt idx="6">
                        <c:v>10.450583572185572</c:v>
                      </c:pt>
                      <c:pt idx="7">
                        <c:v>10.450583572185572</c:v>
                      </c:pt>
                      <c:pt idx="8">
                        <c:v>10.450583572185572</c:v>
                      </c:pt>
                      <c:pt idx="9">
                        <c:v>10.450583572185572</c:v>
                      </c:pt>
                      <c:pt idx="10">
                        <c:v>10.450583572185572</c:v>
                      </c:pt>
                      <c:pt idx="11">
                        <c:v>10.450583572185572</c:v>
                      </c:pt>
                      <c:pt idx="12">
                        <c:v>10.450583572185572</c:v>
                      </c:pt>
                      <c:pt idx="13">
                        <c:v>10.450583572185572</c:v>
                      </c:pt>
                      <c:pt idx="14">
                        <c:v>10.450583572185572</c:v>
                      </c:pt>
                      <c:pt idx="15">
                        <c:v>10.450583572185572</c:v>
                      </c:pt>
                      <c:pt idx="16">
                        <c:v>10.450583572185572</c:v>
                      </c:pt>
                      <c:pt idx="17">
                        <c:v>10.450583572185572</c:v>
                      </c:pt>
                      <c:pt idx="18">
                        <c:v>10.450583572185572</c:v>
                      </c:pt>
                      <c:pt idx="19">
                        <c:v>10.450583572185572</c:v>
                      </c:pt>
                      <c:pt idx="20">
                        <c:v>10.450583572185572</c:v>
                      </c:pt>
                      <c:pt idx="21">
                        <c:v>10.450583572185572</c:v>
                      </c:pt>
                      <c:pt idx="22">
                        <c:v>10.450583572185572</c:v>
                      </c:pt>
                      <c:pt idx="23">
                        <c:v>10.450583572185572</c:v>
                      </c:pt>
                      <c:pt idx="24">
                        <c:v>10.450583572185572</c:v>
                      </c:pt>
                      <c:pt idx="25">
                        <c:v>10.450583572185572</c:v>
                      </c:pt>
                      <c:pt idx="26">
                        <c:v>10.450583572185572</c:v>
                      </c:pt>
                      <c:pt idx="27">
                        <c:v>10.450583572185572</c:v>
                      </c:pt>
                      <c:pt idx="28">
                        <c:v>10.450583572185572</c:v>
                      </c:pt>
                      <c:pt idx="29">
                        <c:v>10.450583572185572</c:v>
                      </c:pt>
                      <c:pt idx="30">
                        <c:v>10.450583572185572</c:v>
                      </c:pt>
                      <c:pt idx="31">
                        <c:v>10.450583572185572</c:v>
                      </c:pt>
                      <c:pt idx="32">
                        <c:v>10.450583572185572</c:v>
                      </c:pt>
                      <c:pt idx="33">
                        <c:v>10.450583572185572</c:v>
                      </c:pt>
                      <c:pt idx="34">
                        <c:v>10.450583572185572</c:v>
                      </c:pt>
                      <c:pt idx="35">
                        <c:v>10.450583572185572</c:v>
                      </c:pt>
                      <c:pt idx="36">
                        <c:v>10.450583572185572</c:v>
                      </c:pt>
                      <c:pt idx="37">
                        <c:v>10.450583572185572</c:v>
                      </c:pt>
                      <c:pt idx="38">
                        <c:v>10.450583572185572</c:v>
                      </c:pt>
                      <c:pt idx="39">
                        <c:v>10.450583572185572</c:v>
                      </c:pt>
                      <c:pt idx="40">
                        <c:v>10.450583572185572</c:v>
                      </c:pt>
                      <c:pt idx="41">
                        <c:v>10.450583572185572</c:v>
                      </c:pt>
                      <c:pt idx="42">
                        <c:v>10.450583572185572</c:v>
                      </c:pt>
                      <c:pt idx="43">
                        <c:v>10.450583572185572</c:v>
                      </c:pt>
                      <c:pt idx="44">
                        <c:v>10.450583572185572</c:v>
                      </c:pt>
                      <c:pt idx="45">
                        <c:v>10.450583572185572</c:v>
                      </c:pt>
                      <c:pt idx="46">
                        <c:v>10.450583572185572</c:v>
                      </c:pt>
                      <c:pt idx="47">
                        <c:v>10.450583572185572</c:v>
                      </c:pt>
                      <c:pt idx="48">
                        <c:v>10.450583572185572</c:v>
                      </c:pt>
                      <c:pt idx="49">
                        <c:v>10.450583572185572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2EC-479A-A2A8-77673A62DFE4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6.4868087332240609</c:v>
                      </c:pt>
                      <c:pt idx="3">
                        <c:v>5.6463153757609774</c:v>
                      </c:pt>
                      <c:pt idx="4">
                        <c:v>5.6294353290131482</c:v>
                      </c:pt>
                      <c:pt idx="5">
                        <c:v>6.2714017668563393</c:v>
                      </c:pt>
                      <c:pt idx="6">
                        <c:v>8.3394901101084606</c:v>
                      </c:pt>
                      <c:pt idx="7">
                        <c:v>6.3100351085251916</c:v>
                      </c:pt>
                      <c:pt idx="8">
                        <c:v>5.5435718051752403</c:v>
                      </c:pt>
                      <c:pt idx="9">
                        <c:v>5.5877794584258123</c:v>
                      </c:pt>
                      <c:pt idx="10">
                        <c:v>6.2082944046714772</c:v>
                      </c:pt>
                      <c:pt idx="11">
                        <c:v>7.2654217462485349</c:v>
                      </c:pt>
                      <c:pt idx="12">
                        <c:v>7.9666702625786456</c:v>
                      </c:pt>
                      <c:pt idx="13">
                        <c:v>6.8292104522543973</c:v>
                      </c:pt>
                      <c:pt idx="14">
                        <c:v>6.068913653385799</c:v>
                      </c:pt>
                      <c:pt idx="15">
                        <c:v>5.6326686556350314</c:v>
                      </c:pt>
                      <c:pt idx="16">
                        <c:v>5.4786231784245132</c:v>
                      </c:pt>
                      <c:pt idx="17">
                        <c:v>5.5731354520272891</c:v>
                      </c:pt>
                      <c:pt idx="18">
                        <c:v>5.8887013608347694</c:v>
                      </c:pt>
                      <c:pt idx="19">
                        <c:v>6.4025042135824606</c:v>
                      </c:pt>
                      <c:pt idx="20">
                        <c:v>7.095374486075201</c:v>
                      </c:pt>
                      <c:pt idx="21">
                        <c:v>7.9510270577561659</c:v>
                      </c:pt>
                      <c:pt idx="22">
                        <c:v>7.7129588362273793</c:v>
                      </c:pt>
                      <c:pt idx="23">
                        <c:v>6.9517825784740417</c:v>
                      </c:pt>
                      <c:pt idx="24">
                        <c:v>6.3614156454088189</c:v>
                      </c:pt>
                      <c:pt idx="25">
                        <c:v>5.6461794222006922</c:v>
                      </c:pt>
                      <c:pt idx="26">
                        <c:v>5.4856109799661823</c:v>
                      </c:pt>
                      <c:pt idx="27">
                        <c:v>5.8139714999208891</c:v>
                      </c:pt>
                      <c:pt idx="28">
                        <c:v>6.5774395588473311</c:v>
                      </c:pt>
                      <c:pt idx="29">
                        <c:v>7.7313145048876208</c:v>
                      </c:pt>
                      <c:pt idx="30">
                        <c:v>7.4925726332480735</c:v>
                      </c:pt>
                      <c:pt idx="31">
                        <c:v>6.4746274306028972</c:v>
                      </c:pt>
                      <c:pt idx="32">
                        <c:v>5.8244406363176182</c:v>
                      </c:pt>
                      <c:pt idx="33">
                        <c:v>5.513074075012625</c:v>
                      </c:pt>
                      <c:pt idx="34">
                        <c:v>5.5151466940568383</c:v>
                      </c:pt>
                      <c:pt idx="35">
                        <c:v>6.3725270442889226</c:v>
                      </c:pt>
                      <c:pt idx="36">
                        <c:v>8.2454132352815179</c:v>
                      </c:pt>
                      <c:pt idx="37">
                        <c:v>6.4933249373774871</c:v>
                      </c:pt>
                      <c:pt idx="38">
                        <c:v>5.5984633636523284</c:v>
                      </c:pt>
                      <c:pt idx="39">
                        <c:v>5.558639790195663</c:v>
                      </c:pt>
                      <c:pt idx="40">
                        <c:v>6.2927740440585467</c:v>
                      </c:pt>
                      <c:pt idx="41">
                        <c:v>7.7317068475133865</c:v>
                      </c:pt>
                      <c:pt idx="42">
                        <c:v>7.1027760719324817</c:v>
                      </c:pt>
                      <c:pt idx="43">
                        <c:v>5.9845486422263505</c:v>
                      </c:pt>
                      <c:pt idx="44">
                        <c:v>5.5032487055015622</c:v>
                      </c:pt>
                      <c:pt idx="45">
                        <c:v>5.6136003315717886</c:v>
                      </c:pt>
                      <c:pt idx="46">
                        <c:v>6.2753840552566942</c:v>
                      </c:pt>
                      <c:pt idx="47">
                        <c:v>7.4526886726550501</c:v>
                      </c:pt>
                      <c:pt idx="48">
                        <c:v>7.5783032236103054</c:v>
                      </c:pt>
                      <c:pt idx="49">
                        <c:v>6.4004005133266872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B2EC-479A-A2A8-77673A62DFE4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 (</a:t>
                </a:r>
                <a:r>
                  <a:rPr lang="en-GB" sz="1000" b="0" i="0" u="none" strike="noStrike" baseline="0">
                    <a:effectLst/>
                  </a:rPr>
                  <a:t>€)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* Step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9249848403731"/>
          <c:y val="0.2039513592268741"/>
          <c:w val="0.83644327589960354"/>
          <c:h val="0.43613203237811121"/>
        </c:manualLayout>
      </c:layout>
      <c:lineChart>
        <c:grouping val="standard"/>
        <c:varyColors val="0"/>
        <c:ser>
          <c:idx val="0"/>
          <c:order val="4"/>
          <c:tx>
            <c:strRef>
              <c:f>'Convergence Study'!$F$6</c:f>
              <c:strCache>
                <c:ptCount val="1"/>
                <c:pt idx="0">
                  <c:v>Gap * N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Study'!$F$7:$F$56</c:f>
              <c:numCache>
                <c:formatCode>General</c:formatCode>
                <c:ptCount val="50"/>
                <c:pt idx="1">
                  <c:v>10.450583572185572</c:v>
                </c:pt>
                <c:pt idx="2">
                  <c:v>6.4868087332240609</c:v>
                </c:pt>
                <c:pt idx="3">
                  <c:v>5.6463153757609774</c:v>
                </c:pt>
                <c:pt idx="4">
                  <c:v>5.6294353290131482</c:v>
                </c:pt>
                <c:pt idx="5">
                  <c:v>6.2714017668563393</c:v>
                </c:pt>
                <c:pt idx="6">
                  <c:v>8.3394901101084606</c:v>
                </c:pt>
                <c:pt idx="7">
                  <c:v>6.3100351085251916</c:v>
                </c:pt>
                <c:pt idx="8">
                  <c:v>5.5435718051752403</c:v>
                </c:pt>
                <c:pt idx="9">
                  <c:v>5.5877794584258123</c:v>
                </c:pt>
                <c:pt idx="10">
                  <c:v>6.2082944046714772</c:v>
                </c:pt>
                <c:pt idx="11">
                  <c:v>7.2654217462485349</c:v>
                </c:pt>
                <c:pt idx="12">
                  <c:v>7.9666702625786456</c:v>
                </c:pt>
                <c:pt idx="13">
                  <c:v>6.8292104522543973</c:v>
                </c:pt>
                <c:pt idx="14">
                  <c:v>6.068913653385799</c:v>
                </c:pt>
                <c:pt idx="15">
                  <c:v>5.6326686556350314</c:v>
                </c:pt>
                <c:pt idx="16">
                  <c:v>5.4786231784245132</c:v>
                </c:pt>
                <c:pt idx="17">
                  <c:v>5.5731354520272891</c:v>
                </c:pt>
                <c:pt idx="18">
                  <c:v>5.8887013608347694</c:v>
                </c:pt>
                <c:pt idx="19">
                  <c:v>6.4025042135824606</c:v>
                </c:pt>
                <c:pt idx="20">
                  <c:v>7.095374486075201</c:v>
                </c:pt>
                <c:pt idx="21">
                  <c:v>7.9510270577561659</c:v>
                </c:pt>
                <c:pt idx="22">
                  <c:v>7.7129588362273793</c:v>
                </c:pt>
                <c:pt idx="23">
                  <c:v>6.9517825784740417</c:v>
                </c:pt>
                <c:pt idx="24">
                  <c:v>6.3614156454088189</c:v>
                </c:pt>
                <c:pt idx="25">
                  <c:v>5.6461794222006922</c:v>
                </c:pt>
                <c:pt idx="26">
                  <c:v>5.4856109799661823</c:v>
                </c:pt>
                <c:pt idx="27">
                  <c:v>5.8139714999208891</c:v>
                </c:pt>
                <c:pt idx="28">
                  <c:v>6.5774395588473311</c:v>
                </c:pt>
                <c:pt idx="29">
                  <c:v>7.7313145048876208</c:v>
                </c:pt>
                <c:pt idx="30">
                  <c:v>7.4925726332480735</c:v>
                </c:pt>
                <c:pt idx="31">
                  <c:v>6.4746274306028972</c:v>
                </c:pt>
                <c:pt idx="32">
                  <c:v>5.8244406363176182</c:v>
                </c:pt>
                <c:pt idx="33">
                  <c:v>5.513074075012625</c:v>
                </c:pt>
                <c:pt idx="34">
                  <c:v>5.5151466940568383</c:v>
                </c:pt>
                <c:pt idx="35">
                  <c:v>6.3725270442889226</c:v>
                </c:pt>
                <c:pt idx="36">
                  <c:v>8.2454132352815179</c:v>
                </c:pt>
                <c:pt idx="37">
                  <c:v>6.4933249373774871</c:v>
                </c:pt>
                <c:pt idx="38">
                  <c:v>5.5984633636523284</c:v>
                </c:pt>
                <c:pt idx="39">
                  <c:v>5.558639790195663</c:v>
                </c:pt>
                <c:pt idx="40">
                  <c:v>6.2927740440585467</c:v>
                </c:pt>
                <c:pt idx="41">
                  <c:v>7.7317068475133865</c:v>
                </c:pt>
                <c:pt idx="42">
                  <c:v>7.1027760719324817</c:v>
                </c:pt>
                <c:pt idx="43">
                  <c:v>5.9845486422263505</c:v>
                </c:pt>
                <c:pt idx="44">
                  <c:v>5.5032487055015622</c:v>
                </c:pt>
                <c:pt idx="45">
                  <c:v>5.6136003315717886</c:v>
                </c:pt>
                <c:pt idx="46">
                  <c:v>6.2753840552566942</c:v>
                </c:pt>
                <c:pt idx="47">
                  <c:v>7.4526886726550501</c:v>
                </c:pt>
                <c:pt idx="48">
                  <c:v>7.5783032236103054</c:v>
                </c:pt>
                <c:pt idx="49">
                  <c:v>6.4004005133266872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4-71C8-4548-B84E-114FCB813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9.1532218255407596</c:v>
                      </c:pt>
                      <c:pt idx="3">
                        <c:v>9.885952034609474</c:v>
                      </c:pt>
                      <c:pt idx="4">
                        <c:v>10.169111805734914</c:v>
                      </c:pt>
                      <c:pt idx="5">
                        <c:v>10.241536846623694</c:v>
                      </c:pt>
                      <c:pt idx="6">
                        <c:v>10.283793769983403</c:v>
                      </c:pt>
                      <c:pt idx="7">
                        <c:v>10.366449770738569</c:v>
                      </c:pt>
                      <c:pt idx="8">
                        <c:v>10.395147854133819</c:v>
                      </c:pt>
                      <c:pt idx="9">
                        <c:v>10.405881336518165</c:v>
                      </c:pt>
                      <c:pt idx="10">
                        <c:v>10.409194942821095</c:v>
                      </c:pt>
                      <c:pt idx="11">
                        <c:v>10.409066876492723</c:v>
                      </c:pt>
                      <c:pt idx="12">
                        <c:v>10.410750220872679</c:v>
                      </c:pt>
                      <c:pt idx="13">
                        <c:v>10.420231525731108</c:v>
                      </c:pt>
                      <c:pt idx="14">
                        <c:v>10.426307917572029</c:v>
                      </c:pt>
                      <c:pt idx="15">
                        <c:v>10.430101140710535</c:v>
                      </c:pt>
                      <c:pt idx="16">
                        <c:v>10.432321494924157</c:v>
                      </c:pt>
                      <c:pt idx="17">
                        <c:v>10.433435463102411</c:v>
                      </c:pt>
                      <c:pt idx="18">
                        <c:v>10.433758711154615</c:v>
                      </c:pt>
                      <c:pt idx="19">
                        <c:v>10.433510227616019</c:v>
                      </c:pt>
                      <c:pt idx="20">
                        <c:v>10.432845135970384</c:v>
                      </c:pt>
                      <c:pt idx="21">
                        <c:v>10.431875273226145</c:v>
                      </c:pt>
                      <c:pt idx="22">
                        <c:v>10.433443663660622</c:v>
                      </c:pt>
                      <c:pt idx="23">
                        <c:v>10.435948240441416</c:v>
                      </c:pt>
                      <c:pt idx="24">
                        <c:v>10.437860740894754</c:v>
                      </c:pt>
                      <c:pt idx="25">
                        <c:v>10.440317791417934</c:v>
                      </c:pt>
                      <c:pt idx="26">
                        <c:v>10.441440887218961</c:v>
                      </c:pt>
                      <c:pt idx="27">
                        <c:v>10.441639000647232</c:v>
                      </c:pt>
                      <c:pt idx="28">
                        <c:v>10.441187229958647</c:v>
                      </c:pt>
                      <c:pt idx="29">
                        <c:v>10.440275152845722</c:v>
                      </c:pt>
                      <c:pt idx="30">
                        <c:v>10.441217856394012</c:v>
                      </c:pt>
                      <c:pt idx="31">
                        <c:v>10.442966363443686</c:v>
                      </c:pt>
                      <c:pt idx="32">
                        <c:v>10.444111971478552</c:v>
                      </c:pt>
                      <c:pt idx="33">
                        <c:v>10.444780336317137</c:v>
                      </c:pt>
                      <c:pt idx="34">
                        <c:v>10.445068425491515</c:v>
                      </c:pt>
                      <c:pt idx="35">
                        <c:v>10.444790365781673</c:v>
                      </c:pt>
                      <c:pt idx="36">
                        <c:v>10.443712394489504</c:v>
                      </c:pt>
                      <c:pt idx="37">
                        <c:v>10.445588706849128</c:v>
                      </c:pt>
                      <c:pt idx="38">
                        <c:v>10.446584669782963</c:v>
                      </c:pt>
                      <c:pt idx="39">
                        <c:v>10.446877812325441</c:v>
                      </c:pt>
                      <c:pt idx="40">
                        <c:v>10.446650588408035</c:v>
                      </c:pt>
                      <c:pt idx="41">
                        <c:v>10.446035509334093</c:v>
                      </c:pt>
                      <c:pt idx="42">
                        <c:v>10.446637585478943</c:v>
                      </c:pt>
                      <c:pt idx="43">
                        <c:v>10.447433809742295</c:v>
                      </c:pt>
                      <c:pt idx="44">
                        <c:v>10.447831947832821</c:v>
                      </c:pt>
                      <c:pt idx="45">
                        <c:v>10.447910429170538</c:v>
                      </c:pt>
                      <c:pt idx="46">
                        <c:v>10.447731124887728</c:v>
                      </c:pt>
                      <c:pt idx="47">
                        <c:v>10.447343272762678</c:v>
                      </c:pt>
                      <c:pt idx="48">
                        <c:v>10.447425945842401</c:v>
                      </c:pt>
                      <c:pt idx="49">
                        <c:v>10.448023411980241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71C8-4548-B84E-114FCB813E9A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0</c:v>
                      </c:pt>
                      <c:pt idx="6">
                        <c:v>1.5625E-2</c:v>
                      </c:pt>
                      <c:pt idx="7">
                        <c:v>3.125E-2</c:v>
                      </c:pt>
                      <c:pt idx="8">
                        <c:v>7.8125E-2</c:v>
                      </c:pt>
                      <c:pt idx="9">
                        <c:v>8.59375E-2</c:v>
                      </c:pt>
                      <c:pt idx="10">
                        <c:v>0.125</c:v>
                      </c:pt>
                      <c:pt idx="11">
                        <c:v>0.171875</c:v>
                      </c:pt>
                      <c:pt idx="12">
                        <c:v>0.22265625</c:v>
                      </c:pt>
                      <c:pt idx="13">
                        <c:v>0.296875</c:v>
                      </c:pt>
                      <c:pt idx="14">
                        <c:v>0.34375</c:v>
                      </c:pt>
                      <c:pt idx="15">
                        <c:v>0.421875</c:v>
                      </c:pt>
                      <c:pt idx="16">
                        <c:v>0.5</c:v>
                      </c:pt>
                      <c:pt idx="17">
                        <c:v>0.59375</c:v>
                      </c:pt>
                      <c:pt idx="18">
                        <c:v>0.69140625</c:v>
                      </c:pt>
                      <c:pt idx="19">
                        <c:v>0.8125</c:v>
                      </c:pt>
                      <c:pt idx="20">
                        <c:v>0.9140625</c:v>
                      </c:pt>
                      <c:pt idx="21">
                        <c:v>1.03515625</c:v>
                      </c:pt>
                      <c:pt idx="22">
                        <c:v>1.12890625</c:v>
                      </c:pt>
                      <c:pt idx="23">
                        <c:v>1.26953125</c:v>
                      </c:pt>
                      <c:pt idx="24">
                        <c:v>1.42578125</c:v>
                      </c:pt>
                      <c:pt idx="25">
                        <c:v>1.69140625</c:v>
                      </c:pt>
                      <c:pt idx="26">
                        <c:v>2.00390625</c:v>
                      </c:pt>
                      <c:pt idx="27">
                        <c:v>2.3046875</c:v>
                      </c:pt>
                      <c:pt idx="28">
                        <c:v>2.61328125</c:v>
                      </c:pt>
                      <c:pt idx="29">
                        <c:v>2.9921875</c:v>
                      </c:pt>
                      <c:pt idx="30">
                        <c:v>3.32421875</c:v>
                      </c:pt>
                      <c:pt idx="31">
                        <c:v>3.69140625</c:v>
                      </c:pt>
                      <c:pt idx="32">
                        <c:v>4.0390625</c:v>
                      </c:pt>
                      <c:pt idx="33">
                        <c:v>4.4296875</c:v>
                      </c:pt>
                      <c:pt idx="34">
                        <c:v>4.83984375</c:v>
                      </c:pt>
                      <c:pt idx="35">
                        <c:v>6.09765625</c:v>
                      </c:pt>
                      <c:pt idx="36">
                        <c:v>7.109375</c:v>
                      </c:pt>
                      <c:pt idx="37">
                        <c:v>7.52734375</c:v>
                      </c:pt>
                      <c:pt idx="38">
                        <c:v>8.51953125</c:v>
                      </c:pt>
                      <c:pt idx="39">
                        <c:v>9.44140625</c:v>
                      </c:pt>
                      <c:pt idx="40">
                        <c:v>10.51953125</c:v>
                      </c:pt>
                      <c:pt idx="41">
                        <c:v>11.6796875</c:v>
                      </c:pt>
                      <c:pt idx="42">
                        <c:v>13</c:v>
                      </c:pt>
                      <c:pt idx="43">
                        <c:v>14.22265625</c:v>
                      </c:pt>
                      <c:pt idx="44">
                        <c:v>15.31640625</c:v>
                      </c:pt>
                      <c:pt idx="45">
                        <c:v>16.625</c:v>
                      </c:pt>
                      <c:pt idx="46">
                        <c:v>18.375</c:v>
                      </c:pt>
                      <c:pt idx="47">
                        <c:v>19.7578125</c:v>
                      </c:pt>
                      <c:pt idx="48">
                        <c:v>20.6796875</c:v>
                      </c:pt>
                      <c:pt idx="49">
                        <c:v>21.96484375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1C8-4548-B84E-114FCB813E9A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10.450583572185572</c:v>
                      </c:pt>
                      <c:pt idx="3">
                        <c:v>10.450583572185572</c:v>
                      </c:pt>
                      <c:pt idx="4">
                        <c:v>10.450583572185572</c:v>
                      </c:pt>
                      <c:pt idx="5">
                        <c:v>10.450583572185572</c:v>
                      </c:pt>
                      <c:pt idx="6">
                        <c:v>10.450583572185572</c:v>
                      </c:pt>
                      <c:pt idx="7">
                        <c:v>10.450583572185572</c:v>
                      </c:pt>
                      <c:pt idx="8">
                        <c:v>10.450583572185572</c:v>
                      </c:pt>
                      <c:pt idx="9">
                        <c:v>10.450583572185572</c:v>
                      </c:pt>
                      <c:pt idx="10">
                        <c:v>10.450583572185572</c:v>
                      </c:pt>
                      <c:pt idx="11">
                        <c:v>10.450583572185572</c:v>
                      </c:pt>
                      <c:pt idx="12">
                        <c:v>10.450583572185572</c:v>
                      </c:pt>
                      <c:pt idx="13">
                        <c:v>10.450583572185572</c:v>
                      </c:pt>
                      <c:pt idx="14">
                        <c:v>10.450583572185572</c:v>
                      </c:pt>
                      <c:pt idx="15">
                        <c:v>10.450583572185572</c:v>
                      </c:pt>
                      <c:pt idx="16">
                        <c:v>10.450583572185572</c:v>
                      </c:pt>
                      <c:pt idx="17">
                        <c:v>10.450583572185572</c:v>
                      </c:pt>
                      <c:pt idx="18">
                        <c:v>10.450583572185572</c:v>
                      </c:pt>
                      <c:pt idx="19">
                        <c:v>10.450583572185572</c:v>
                      </c:pt>
                      <c:pt idx="20">
                        <c:v>10.450583572185572</c:v>
                      </c:pt>
                      <c:pt idx="21">
                        <c:v>10.450583572185572</c:v>
                      </c:pt>
                      <c:pt idx="22">
                        <c:v>10.450583572185572</c:v>
                      </c:pt>
                      <c:pt idx="23">
                        <c:v>10.450583572185572</c:v>
                      </c:pt>
                      <c:pt idx="24">
                        <c:v>10.450583572185572</c:v>
                      </c:pt>
                      <c:pt idx="25">
                        <c:v>10.450583572185572</c:v>
                      </c:pt>
                      <c:pt idx="26">
                        <c:v>10.450583572185572</c:v>
                      </c:pt>
                      <c:pt idx="27">
                        <c:v>10.450583572185572</c:v>
                      </c:pt>
                      <c:pt idx="28">
                        <c:v>10.450583572185572</c:v>
                      </c:pt>
                      <c:pt idx="29">
                        <c:v>10.450583572185572</c:v>
                      </c:pt>
                      <c:pt idx="30">
                        <c:v>10.450583572185572</c:v>
                      </c:pt>
                      <c:pt idx="31">
                        <c:v>10.450583572185572</c:v>
                      </c:pt>
                      <c:pt idx="32">
                        <c:v>10.450583572185572</c:v>
                      </c:pt>
                      <c:pt idx="33">
                        <c:v>10.450583572185572</c:v>
                      </c:pt>
                      <c:pt idx="34">
                        <c:v>10.450583572185572</c:v>
                      </c:pt>
                      <c:pt idx="35">
                        <c:v>10.450583572185572</c:v>
                      </c:pt>
                      <c:pt idx="36">
                        <c:v>10.450583572185572</c:v>
                      </c:pt>
                      <c:pt idx="37">
                        <c:v>10.450583572185572</c:v>
                      </c:pt>
                      <c:pt idx="38">
                        <c:v>10.450583572185572</c:v>
                      </c:pt>
                      <c:pt idx="39">
                        <c:v>10.450583572185572</c:v>
                      </c:pt>
                      <c:pt idx="40">
                        <c:v>10.450583572185572</c:v>
                      </c:pt>
                      <c:pt idx="41">
                        <c:v>10.450583572185572</c:v>
                      </c:pt>
                      <c:pt idx="42">
                        <c:v>10.450583572185572</c:v>
                      </c:pt>
                      <c:pt idx="43">
                        <c:v>10.450583572185572</c:v>
                      </c:pt>
                      <c:pt idx="44">
                        <c:v>10.450583572185572</c:v>
                      </c:pt>
                      <c:pt idx="45">
                        <c:v>10.450583572185572</c:v>
                      </c:pt>
                      <c:pt idx="46">
                        <c:v>10.450583572185572</c:v>
                      </c:pt>
                      <c:pt idx="47">
                        <c:v>10.450583572185572</c:v>
                      </c:pt>
                      <c:pt idx="48">
                        <c:v>10.450583572185572</c:v>
                      </c:pt>
                      <c:pt idx="49">
                        <c:v>10.450583572185572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1C8-4548-B84E-114FCB813E9A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1.2973617466448122</c:v>
                      </c:pt>
                      <c:pt idx="3">
                        <c:v>0.56463153757609774</c:v>
                      </c:pt>
                      <c:pt idx="4">
                        <c:v>0.28147176645065741</c:v>
                      </c:pt>
                      <c:pt idx="5">
                        <c:v>0.20904672556187798</c:v>
                      </c:pt>
                      <c:pt idx="6">
                        <c:v>0.16678980220216921</c:v>
                      </c:pt>
                      <c:pt idx="7">
                        <c:v>8.4133801447002554E-2</c:v>
                      </c:pt>
                      <c:pt idx="8">
                        <c:v>5.5435718051752403E-2</c:v>
                      </c:pt>
                      <c:pt idx="9">
                        <c:v>4.4702235667406498E-2</c:v>
                      </c:pt>
                      <c:pt idx="10">
                        <c:v>4.1388629364476515E-2</c:v>
                      </c:pt>
                      <c:pt idx="11">
                        <c:v>4.1516695692848771E-2</c:v>
                      </c:pt>
                      <c:pt idx="12">
                        <c:v>3.9833351312893228E-2</c:v>
                      </c:pt>
                      <c:pt idx="13">
                        <c:v>3.0352046454463988E-2</c:v>
                      </c:pt>
                      <c:pt idx="14">
                        <c:v>2.4275654613543196E-2</c:v>
                      </c:pt>
                      <c:pt idx="15">
                        <c:v>2.0482431475036478E-2</c:v>
                      </c:pt>
                      <c:pt idx="16">
                        <c:v>1.8262077261415044E-2</c:v>
                      </c:pt>
                      <c:pt idx="17">
                        <c:v>1.714810908316089E-2</c:v>
                      </c:pt>
                      <c:pt idx="18">
                        <c:v>1.6824861030956484E-2</c:v>
                      </c:pt>
                      <c:pt idx="19">
                        <c:v>1.7073344569553228E-2</c:v>
                      </c:pt>
                      <c:pt idx="20">
                        <c:v>1.7738436215188003E-2</c:v>
                      </c:pt>
                      <c:pt idx="21">
                        <c:v>1.8708298959426273E-2</c:v>
                      </c:pt>
                      <c:pt idx="22">
                        <c:v>1.7139908524949732E-2</c:v>
                      </c:pt>
                      <c:pt idx="23">
                        <c:v>1.4635331744155877E-2</c:v>
                      </c:pt>
                      <c:pt idx="24">
                        <c:v>1.2722831290817638E-2</c:v>
                      </c:pt>
                      <c:pt idx="25">
                        <c:v>1.0265780767637622E-2</c:v>
                      </c:pt>
                      <c:pt idx="26">
                        <c:v>9.1426849666103038E-3</c:v>
                      </c:pt>
                      <c:pt idx="27">
                        <c:v>8.9445715383398294E-3</c:v>
                      </c:pt>
                      <c:pt idx="28">
                        <c:v>9.3963422269247587E-3</c:v>
                      </c:pt>
                      <c:pt idx="29">
                        <c:v>1.0308419339850161E-2</c:v>
                      </c:pt>
                      <c:pt idx="30">
                        <c:v>9.3657157915600919E-3</c:v>
                      </c:pt>
                      <c:pt idx="31">
                        <c:v>7.6172087418857615E-3</c:v>
                      </c:pt>
                      <c:pt idx="32">
                        <c:v>6.4716007070195758E-3</c:v>
                      </c:pt>
                      <c:pt idx="33">
                        <c:v>5.8032358684343421E-3</c:v>
                      </c:pt>
                      <c:pt idx="34">
                        <c:v>5.5151466940568383E-3</c:v>
                      </c:pt>
                      <c:pt idx="35">
                        <c:v>5.7932064038990205E-3</c:v>
                      </c:pt>
                      <c:pt idx="36">
                        <c:v>6.8711776960679316E-3</c:v>
                      </c:pt>
                      <c:pt idx="37">
                        <c:v>4.9948653364442208E-3</c:v>
                      </c:pt>
                      <c:pt idx="38">
                        <c:v>3.998902402608806E-3</c:v>
                      </c:pt>
                      <c:pt idx="39">
                        <c:v>3.705759860130442E-3</c:v>
                      </c:pt>
                      <c:pt idx="40">
                        <c:v>3.9329837775365917E-3</c:v>
                      </c:pt>
                      <c:pt idx="41">
                        <c:v>4.5480628514784627E-3</c:v>
                      </c:pt>
                      <c:pt idx="42">
                        <c:v>3.9459867066291565E-3</c:v>
                      </c:pt>
                      <c:pt idx="43">
                        <c:v>3.1497624432770266E-3</c:v>
                      </c:pt>
                      <c:pt idx="44">
                        <c:v>2.7516243527507811E-3</c:v>
                      </c:pt>
                      <c:pt idx="45">
                        <c:v>2.6731430150341851E-3</c:v>
                      </c:pt>
                      <c:pt idx="46">
                        <c:v>2.8524472978439519E-3</c:v>
                      </c:pt>
                      <c:pt idx="47">
                        <c:v>3.2402994228935E-3</c:v>
                      </c:pt>
                      <c:pt idx="48">
                        <c:v>3.1576263431709606E-3</c:v>
                      </c:pt>
                      <c:pt idx="49">
                        <c:v>2.5601602053306749E-3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71C8-4548-B84E-114FCB813E9A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</a:t>
                </a:r>
                <a:r>
                  <a:rPr lang="en-GB" baseline="0"/>
                  <a:t> * Step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Tree</a:t>
            </a:r>
            <a:r>
              <a:rPr lang="de-DE" baseline="0"/>
              <a:t> and B&amp;S Price vs Strike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1"/>
          <c:tx>
            <c:strRef>
              <c:f>'Gap Study'!$D$6</c:f>
              <c:strCache>
                <c:ptCount val="1"/>
                <c:pt idx="0">
                  <c:v>Slope Tree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Study'!$D$7:$D$37</c:f>
              <c:numCache>
                <c:formatCode>General</c:formatCode>
                <c:ptCount val="31"/>
                <c:pt idx="1">
                  <c:v>-0.80501463202914181</c:v>
                </c:pt>
                <c:pt idx="2">
                  <c:v>-0.76284958940199132</c:v>
                </c:pt>
                <c:pt idx="3">
                  <c:v>-0.74180608393603009</c:v>
                </c:pt>
                <c:pt idx="4">
                  <c:v>-0.74180608393604786</c:v>
                </c:pt>
                <c:pt idx="5">
                  <c:v>-0.7418060839360443</c:v>
                </c:pt>
                <c:pt idx="6">
                  <c:v>-0.71640855793022062</c:v>
                </c:pt>
                <c:pt idx="7">
                  <c:v>-0.66538435626365988</c:v>
                </c:pt>
                <c:pt idx="8">
                  <c:v>-0.66538435626366876</c:v>
                </c:pt>
                <c:pt idx="9">
                  <c:v>-0.66538435626366166</c:v>
                </c:pt>
                <c:pt idx="10">
                  <c:v>-0.66538435626365811</c:v>
                </c:pt>
                <c:pt idx="11">
                  <c:v>-0.5975996242829904</c:v>
                </c:pt>
                <c:pt idx="12">
                  <c:v>-0.57847456737701819</c:v>
                </c:pt>
                <c:pt idx="13">
                  <c:v>-0.57847456737702352</c:v>
                </c:pt>
                <c:pt idx="14">
                  <c:v>-0.57847456737701997</c:v>
                </c:pt>
                <c:pt idx="15">
                  <c:v>-0.57847456737702529</c:v>
                </c:pt>
                <c:pt idx="16">
                  <c:v>-0.48560290013726082</c:v>
                </c:pt>
                <c:pt idx="17">
                  <c:v>-0.4855080259557667</c:v>
                </c:pt>
                <c:pt idx="18">
                  <c:v>-0.4855080259557667</c:v>
                </c:pt>
                <c:pt idx="19">
                  <c:v>-0.48550802595577558</c:v>
                </c:pt>
                <c:pt idx="20">
                  <c:v>-0.4855080259557667</c:v>
                </c:pt>
                <c:pt idx="21">
                  <c:v>-0.39403122367334387</c:v>
                </c:pt>
                <c:pt idx="22">
                  <c:v>-0.39197010874551985</c:v>
                </c:pt>
                <c:pt idx="23">
                  <c:v>-0.39197010874552163</c:v>
                </c:pt>
                <c:pt idx="24">
                  <c:v>-0.39197010874552163</c:v>
                </c:pt>
                <c:pt idx="25">
                  <c:v>-0.39197010874552074</c:v>
                </c:pt>
                <c:pt idx="26">
                  <c:v>-0.32957571383096784</c:v>
                </c:pt>
                <c:pt idx="27">
                  <c:v>-0.30344821893688501</c:v>
                </c:pt>
                <c:pt idx="28">
                  <c:v>-0.30344821893688501</c:v>
                </c:pt>
                <c:pt idx="29">
                  <c:v>-0.30344821893688323</c:v>
                </c:pt>
                <c:pt idx="30">
                  <c:v>-0.30344821893688323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EC-432D-872E-94DC5A714754}"/>
            </c:ext>
          </c:extLst>
        </c:ser>
        <c:ser>
          <c:idx val="1"/>
          <c:order val="2"/>
          <c:tx>
            <c:strRef>
              <c:f>'Gap Study'!$E$6</c:f>
              <c:strCache>
                <c:ptCount val="1"/>
                <c:pt idx="0">
                  <c:v>Slope B&amp;S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Study'!$E$7:$E$37</c:f>
              <c:numCache>
                <c:formatCode>General</c:formatCode>
                <c:ptCount val="31"/>
                <c:pt idx="1">
                  <c:v>-0.78441469808298692</c:v>
                </c:pt>
                <c:pt idx="2">
                  <c:v>-0.76975628788048667</c:v>
                </c:pt>
                <c:pt idx="3">
                  <c:v>-0.75451466321311145</c:v>
                </c:pt>
                <c:pt idx="4">
                  <c:v>-0.73872558591506632</c:v>
                </c:pt>
                <c:pt idx="5">
                  <c:v>-0.72242827787473729</c:v>
                </c:pt>
                <c:pt idx="6">
                  <c:v>-0.70566499554626461</c:v>
                </c:pt>
                <c:pt idx="7">
                  <c:v>-0.68848058162199877</c:v>
                </c:pt>
                <c:pt idx="8">
                  <c:v>-0.67092200202328556</c:v>
                </c:pt>
                <c:pt idx="9">
                  <c:v>-0.65303787607228792</c:v>
                </c:pt>
                <c:pt idx="10">
                  <c:v>-0.63487800727257948</c:v>
                </c:pt>
                <c:pt idx="11">
                  <c:v>-0.61649292156562652</c:v>
                </c:pt>
                <c:pt idx="12">
                  <c:v>-0.59793341928180688</c:v>
                </c:pt>
                <c:pt idx="13">
                  <c:v>-0.5792501462831563</c:v>
                </c:pt>
                <c:pt idx="14">
                  <c:v>-0.56049318903164647</c:v>
                </c:pt>
                <c:pt idx="15">
                  <c:v>-0.54171169753178106</c:v>
                </c:pt>
                <c:pt idx="16">
                  <c:v>-0.52295353930862731</c:v>
                </c:pt>
                <c:pt idx="17">
                  <c:v>-0.50426498681181009</c:v>
                </c:pt>
                <c:pt idx="18">
                  <c:v>-0.48569043989654936</c:v>
                </c:pt>
                <c:pt idx="19">
                  <c:v>-0.46727218433745499</c:v>
                </c:pt>
                <c:pt idx="20">
                  <c:v>-0.44905018668795016</c:v>
                </c:pt>
                <c:pt idx="21">
                  <c:v>-0.43106192521760356</c:v>
                </c:pt>
                <c:pt idx="22">
                  <c:v>-0.41334225614356868</c:v>
                </c:pt>
                <c:pt idx="23">
                  <c:v>-0.39592331392495517</c:v>
                </c:pt>
                <c:pt idx="24">
                  <c:v>-0.37883444401078137</c:v>
                </c:pt>
                <c:pt idx="25">
                  <c:v>-0.36210216612202828</c:v>
                </c:pt>
                <c:pt idx="26">
                  <c:v>-0.34575016590433805</c:v>
                </c:pt>
                <c:pt idx="27">
                  <c:v>-0.32979931260598416</c:v>
                </c:pt>
                <c:pt idx="28">
                  <c:v>-0.31426770031326523</c:v>
                </c:pt>
                <c:pt idx="29">
                  <c:v>-0.29917071020432928</c:v>
                </c:pt>
                <c:pt idx="30">
                  <c:v>-0.28452109126137159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EC-432D-872E-94DC5A714754}"/>
            </c:ext>
          </c:extLst>
        </c:ser>
        <c:ser>
          <c:idx val="2"/>
          <c:order val="3"/>
          <c:tx>
            <c:strRef>
              <c:f>'Gap Study'!$F$6</c:f>
              <c:strCache>
                <c:ptCount val="1"/>
                <c:pt idx="0">
                  <c:v>Tree - B&amp;S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'Gap Study'!$F$7:$F$37</c:f>
              <c:numCache>
                <c:formatCode>General</c:formatCode>
                <c:ptCount val="31"/>
                <c:pt idx="0">
                  <c:v>-0.10276780139166775</c:v>
                </c:pt>
                <c:pt idx="1">
                  <c:v>-0.12336773533782264</c:v>
                </c:pt>
                <c:pt idx="2">
                  <c:v>-0.11646103685932729</c:v>
                </c:pt>
                <c:pt idx="3">
                  <c:v>-0.10375245758224594</c:v>
                </c:pt>
                <c:pt idx="4">
                  <c:v>-0.10683295560322748</c:v>
                </c:pt>
                <c:pt idx="5">
                  <c:v>-0.12621076166453449</c:v>
                </c:pt>
                <c:pt idx="6">
                  <c:v>-0.13695432404849051</c:v>
                </c:pt>
                <c:pt idx="7">
                  <c:v>-0.11385809869015162</c:v>
                </c:pt>
                <c:pt idx="8">
                  <c:v>-0.10832045293053483</c:v>
                </c:pt>
                <c:pt idx="9">
                  <c:v>-0.12066693312190857</c:v>
                </c:pt>
                <c:pt idx="10">
                  <c:v>-0.1511732821129872</c:v>
                </c:pt>
                <c:pt idx="11">
                  <c:v>-0.13227998483035108</c:v>
                </c:pt>
                <c:pt idx="12">
                  <c:v>-0.1128211329255624</c:v>
                </c:pt>
                <c:pt idx="13">
                  <c:v>-0.11204555401942962</c:v>
                </c:pt>
                <c:pt idx="14">
                  <c:v>-0.13002693236480312</c:v>
                </c:pt>
                <c:pt idx="15">
                  <c:v>-0.16678980221004736</c:v>
                </c:pt>
                <c:pt idx="16">
                  <c:v>-0.12943916303868086</c:v>
                </c:pt>
                <c:pt idx="17">
                  <c:v>-0.11068220218263747</c:v>
                </c:pt>
                <c:pt idx="18">
                  <c:v>-0.1104997882418548</c:v>
                </c:pt>
                <c:pt idx="19">
                  <c:v>-0.12873562986017539</c:v>
                </c:pt>
                <c:pt idx="20">
                  <c:v>-0.16519346912799193</c:v>
                </c:pt>
                <c:pt idx="21">
                  <c:v>-0.12816276758373224</c:v>
                </c:pt>
                <c:pt idx="22">
                  <c:v>-0.10679062018568342</c:v>
                </c:pt>
                <c:pt idx="23">
                  <c:v>-0.10283741500624988</c:v>
                </c:pt>
                <c:pt idx="24">
                  <c:v>-0.11597307974099014</c:v>
                </c:pt>
                <c:pt idx="25">
                  <c:v>-0.1458410223644826</c:v>
                </c:pt>
                <c:pt idx="26">
                  <c:v>-0.12966657029111239</c:v>
                </c:pt>
                <c:pt idx="27">
                  <c:v>-0.10331547662201324</c:v>
                </c:pt>
                <c:pt idx="28">
                  <c:v>-9.2495995245633011E-2</c:v>
                </c:pt>
                <c:pt idx="29">
                  <c:v>-9.6773503978186959E-2</c:v>
                </c:pt>
                <c:pt idx="30">
                  <c:v>-0.11570063165369859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3692831"/>
        <c:axId val="1753691871"/>
      </c:lineChart>
      <c:lineChart>
        <c:grouping val="standard"/>
        <c:varyColors val="0"/>
        <c:ser>
          <c:idx val="3"/>
          <c:order val="0"/>
          <c:tx>
            <c:strRef>
              <c:f>'Gap Study'!$B$6</c:f>
              <c:strCache>
                <c:ptCount val="1"/>
                <c:pt idx="0">
                  <c:v>Tree Price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'Gap Study'!$B$7:$B$37</c:f>
              <c:numCache>
                <c:formatCode>0.000000</c:formatCode>
                <c:ptCount val="31"/>
                <c:pt idx="0">
                  <c:v>20.366520119990724</c:v>
                </c:pt>
                <c:pt idx="1">
                  <c:v>19.561505487961583</c:v>
                </c:pt>
                <c:pt idx="2">
                  <c:v>18.798655898559591</c:v>
                </c:pt>
                <c:pt idx="3">
                  <c:v>18.056849814623561</c:v>
                </c:pt>
                <c:pt idx="4">
                  <c:v>17.315043730687513</c:v>
                </c:pt>
                <c:pt idx="5">
                  <c:v>16.573237646751469</c:v>
                </c:pt>
                <c:pt idx="6">
                  <c:v>15.856829088821248</c:v>
                </c:pt>
                <c:pt idx="7">
                  <c:v>15.191444732557589</c:v>
                </c:pt>
                <c:pt idx="8">
                  <c:v>14.52606037629392</c:v>
                </c:pt>
                <c:pt idx="9">
                  <c:v>13.860676020030258</c:v>
                </c:pt>
                <c:pt idx="10">
                  <c:v>13.1952916637666</c:v>
                </c:pt>
                <c:pt idx="11">
                  <c:v>12.59769203948361</c:v>
                </c:pt>
                <c:pt idx="12">
                  <c:v>12.019217472106591</c:v>
                </c:pt>
                <c:pt idx="13">
                  <c:v>11.440742904729568</c:v>
                </c:pt>
                <c:pt idx="14">
                  <c:v>10.862268337352548</c:v>
                </c:pt>
                <c:pt idx="15">
                  <c:v>10.283793769975523</c:v>
                </c:pt>
                <c:pt idx="16">
                  <c:v>9.7981908698382618</c:v>
                </c:pt>
                <c:pt idx="17">
                  <c:v>9.3126828438824951</c:v>
                </c:pt>
                <c:pt idx="18">
                  <c:v>8.8271748179267284</c:v>
                </c:pt>
                <c:pt idx="19">
                  <c:v>8.3416667919709528</c:v>
                </c:pt>
                <c:pt idx="20">
                  <c:v>7.8561587660151861</c:v>
                </c:pt>
                <c:pt idx="21">
                  <c:v>7.4621275423418423</c:v>
                </c:pt>
                <c:pt idx="22">
                  <c:v>7.0701574335963224</c:v>
                </c:pt>
                <c:pt idx="23">
                  <c:v>6.6781873248508008</c:v>
                </c:pt>
                <c:pt idx="24">
                  <c:v>6.2862172161052792</c:v>
                </c:pt>
                <c:pt idx="25">
                  <c:v>5.8942471073597584</c:v>
                </c:pt>
                <c:pt idx="26">
                  <c:v>5.5646713935287906</c:v>
                </c:pt>
                <c:pt idx="27">
                  <c:v>5.2612231745919056</c:v>
                </c:pt>
                <c:pt idx="28">
                  <c:v>4.9577749556550206</c:v>
                </c:pt>
                <c:pt idx="29">
                  <c:v>4.6543267367181373</c:v>
                </c:pt>
                <c:pt idx="30">
                  <c:v>4.3508785177812541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EC-4B83-BBB2-07FB8E708777}"/>
            </c:ext>
          </c:extLst>
        </c:ser>
        <c:ser>
          <c:idx val="4"/>
          <c:order val="4"/>
          <c:tx>
            <c:strRef>
              <c:f>'Gap Study'!$C$6</c:f>
              <c:strCache>
                <c:ptCount val="1"/>
                <c:pt idx="0">
                  <c:v>B&amp;S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'Gap Study'!$C$7:$C$37</c:f>
              <c:numCache>
                <c:formatCode>General</c:formatCode>
                <c:ptCount val="31"/>
                <c:pt idx="0">
                  <c:v>20.469287921382392</c:v>
                </c:pt>
                <c:pt idx="1">
                  <c:v>19.684873223299405</c:v>
                </c:pt>
                <c:pt idx="2">
                  <c:v>18.915116935418919</c:v>
                </c:pt>
                <c:pt idx="3">
                  <c:v>18.160602272205807</c:v>
                </c:pt>
                <c:pt idx="4">
                  <c:v>17.421876686290741</c:v>
                </c:pt>
                <c:pt idx="5">
                  <c:v>16.699448408416004</c:v>
                </c:pt>
                <c:pt idx="6">
                  <c:v>15.993783412869739</c:v>
                </c:pt>
                <c:pt idx="7">
                  <c:v>15.30530283124774</c:v>
                </c:pt>
                <c:pt idx="8">
                  <c:v>14.634380829224455</c:v>
                </c:pt>
                <c:pt idx="9">
                  <c:v>13.981342953152167</c:v>
                </c:pt>
                <c:pt idx="10">
                  <c:v>13.346464945879587</c:v>
                </c:pt>
                <c:pt idx="11">
                  <c:v>12.729972024313961</c:v>
                </c:pt>
                <c:pt idx="12">
                  <c:v>12.132038605032154</c:v>
                </c:pt>
                <c:pt idx="13">
                  <c:v>11.552788458748998</c:v>
                </c:pt>
                <c:pt idx="14">
                  <c:v>10.992295269717351</c:v>
                </c:pt>
                <c:pt idx="15">
                  <c:v>10.45058357218557</c:v>
                </c:pt>
                <c:pt idx="16">
                  <c:v>9.9276300328769427</c:v>
                </c:pt>
                <c:pt idx="17">
                  <c:v>9.4233650460651326</c:v>
                </c:pt>
                <c:pt idx="18">
                  <c:v>8.9376746061685832</c:v>
                </c:pt>
                <c:pt idx="19">
                  <c:v>8.4704024218311282</c:v>
                </c:pt>
                <c:pt idx="20">
                  <c:v>8.0213522351431781</c:v>
                </c:pt>
                <c:pt idx="21">
                  <c:v>7.5902903099255745</c:v>
                </c:pt>
                <c:pt idx="22">
                  <c:v>7.1769480537820058</c:v>
                </c:pt>
                <c:pt idx="23">
                  <c:v>6.7810247398570507</c:v>
                </c:pt>
                <c:pt idx="24">
                  <c:v>6.4021902958462693</c:v>
                </c:pt>
                <c:pt idx="25">
                  <c:v>6.040088129724241</c:v>
                </c:pt>
                <c:pt idx="26">
                  <c:v>5.694337963819903</c:v>
                </c:pt>
                <c:pt idx="27">
                  <c:v>5.3645386512139188</c:v>
                </c:pt>
                <c:pt idx="28">
                  <c:v>5.0502709509006536</c:v>
                </c:pt>
                <c:pt idx="29">
                  <c:v>4.7511002406963243</c:v>
                </c:pt>
                <c:pt idx="30">
                  <c:v>4.4665791494349527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891544"/>
        <c:axId val="441894424"/>
      </c:lineChart>
      <c:catAx>
        <c:axId val="1753692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Strikes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691871"/>
        <c:crosses val="autoZero"/>
        <c:auto val="1"/>
        <c:lblAlgn val="ctr"/>
        <c:lblOffset val="100"/>
        <c:noMultiLvlLbl val="0"/>
      </c:catAx>
      <c:valAx>
        <c:axId val="1753691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692831"/>
        <c:crosses val="autoZero"/>
        <c:crossBetween val="between"/>
      </c:valAx>
      <c:valAx>
        <c:axId val="441894424"/>
        <c:scaling>
          <c:orientation val="minMax"/>
        </c:scaling>
        <c:delete val="0"/>
        <c:axPos val="r"/>
        <c:numFmt formatCode="0.0000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891544"/>
        <c:crosses val="max"/>
        <c:crossBetween val="between"/>
      </c:valAx>
      <c:catAx>
        <c:axId val="441891544"/>
        <c:scaling>
          <c:orientation val="minMax"/>
        </c:scaling>
        <c:delete val="1"/>
        <c:axPos val="b"/>
        <c:majorTickMark val="out"/>
        <c:minorTickMark val="none"/>
        <c:tickLblPos val="nextTo"/>
        <c:crossAx val="4418944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chart" Target="../charts/chart3.xml"/><Relationship Id="rId7" Type="http://schemas.openxmlformats.org/officeDocument/2006/relationships/image" Target="../media/image4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9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0000"/>
                  </a:solidFill>
                  <a:latin typeface="Aptos Narrow"/>
                </a:rPr>
                <a:t>Price !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233796</xdr:colOff>
      <xdr:row>26</xdr:row>
      <xdr:rowOff>60614</xdr:rowOff>
    </xdr:from>
    <xdr:to>
      <xdr:col>3</xdr:col>
      <xdr:colOff>383261</xdr:colOff>
      <xdr:row>28</xdr:row>
      <xdr:rowOff>155864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E22FE5DC-1142-129B-5A6C-29CA10748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1273" y="5004955"/>
          <a:ext cx="1760056" cy="4762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937260</xdr:colOff>
          <xdr:row>0</xdr:row>
          <xdr:rowOff>76200</xdr:rowOff>
        </xdr:from>
        <xdr:to>
          <xdr:col>5</xdr:col>
          <xdr:colOff>1211580</xdr:colOff>
          <xdr:row>2</xdr:row>
          <xdr:rowOff>137160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Convergence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9193</xdr:colOff>
      <xdr:row>3</xdr:row>
      <xdr:rowOff>105954</xdr:rowOff>
    </xdr:from>
    <xdr:to>
      <xdr:col>14</xdr:col>
      <xdr:colOff>237067</xdr:colOff>
      <xdr:row>16</xdr:row>
      <xdr:rowOff>127000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D88F15-1143-2230-D786-F0CD78ACAB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342901</xdr:colOff>
      <xdr:row>3</xdr:row>
      <xdr:rowOff>101600</xdr:rowOff>
    </xdr:from>
    <xdr:to>
      <xdr:col>21</xdr:col>
      <xdr:colOff>522941</xdr:colOff>
      <xdr:row>16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72AF326-29F3-4832-A3D7-51743E1A0B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7863</xdr:colOff>
      <xdr:row>16</xdr:row>
      <xdr:rowOff>171753</xdr:rowOff>
    </xdr:from>
    <xdr:to>
      <xdr:col>14</xdr:col>
      <xdr:colOff>237068</xdr:colOff>
      <xdr:row>29</xdr:row>
      <xdr:rowOff>139701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D653263-12D9-4598-BB10-3F2D529B5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345926</xdr:colOff>
      <xdr:row>17</xdr:row>
      <xdr:rowOff>1815</xdr:rowOff>
    </xdr:from>
    <xdr:to>
      <xdr:col>21</xdr:col>
      <xdr:colOff>522941</xdr:colOff>
      <xdr:row>29</xdr:row>
      <xdr:rowOff>118533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A8F7B0F-567B-4DB3-83E8-7A95594D1A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640523</xdr:colOff>
      <xdr:row>34</xdr:row>
      <xdr:rowOff>97225</xdr:rowOff>
    </xdr:from>
    <xdr:to>
      <xdr:col>14</xdr:col>
      <xdr:colOff>290810</xdr:colOff>
      <xdr:row>47</xdr:row>
      <xdr:rowOff>24669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66DC2B5-EB66-64F5-0FB0-ACBF964F7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228523" y="6241080"/>
          <a:ext cx="4888577" cy="2272343"/>
        </a:xfrm>
        <a:prstGeom prst="rect">
          <a:avLst/>
        </a:prstGeom>
      </xdr:spPr>
    </xdr:pic>
    <xdr:clientData/>
  </xdr:twoCellAnchor>
  <xdr:twoCellAnchor editAs="oneCell">
    <xdr:from>
      <xdr:col>14</xdr:col>
      <xdr:colOff>320069</xdr:colOff>
      <xdr:row>34</xdr:row>
      <xdr:rowOff>121478</xdr:rowOff>
    </xdr:from>
    <xdr:to>
      <xdr:col>21</xdr:col>
      <xdr:colOff>591187</xdr:colOff>
      <xdr:row>47</xdr:row>
      <xdr:rowOff>13210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30E1516-7F01-6375-566C-A4ADF1613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146359" y="6265333"/>
          <a:ext cx="4857843" cy="2236631"/>
        </a:xfrm>
        <a:prstGeom prst="rect">
          <a:avLst/>
        </a:prstGeom>
      </xdr:spPr>
    </xdr:pic>
    <xdr:clientData/>
  </xdr:twoCellAnchor>
  <xdr:twoCellAnchor editAs="oneCell">
    <xdr:from>
      <xdr:col>7</xdr:col>
      <xdr:colOff>42723</xdr:colOff>
      <xdr:row>46</xdr:row>
      <xdr:rowOff>149539</xdr:rowOff>
    </xdr:from>
    <xdr:to>
      <xdr:col>14</xdr:col>
      <xdr:colOff>308749</xdr:colOff>
      <xdr:row>59</xdr:row>
      <xdr:rowOff>121477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340C825A-0ABE-1E69-8840-11DA867387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85969" y="8457916"/>
          <a:ext cx="4849070" cy="2316837"/>
        </a:xfrm>
        <a:prstGeom prst="rect">
          <a:avLst/>
        </a:prstGeom>
      </xdr:spPr>
    </xdr:pic>
    <xdr:clientData/>
  </xdr:twoCellAnchor>
  <xdr:twoCellAnchor editAs="oneCell">
    <xdr:from>
      <xdr:col>14</xdr:col>
      <xdr:colOff>326571</xdr:colOff>
      <xdr:row>46</xdr:row>
      <xdr:rowOff>143566</xdr:rowOff>
    </xdr:from>
    <xdr:to>
      <xdr:col>21</xdr:col>
      <xdr:colOff>592665</xdr:colOff>
      <xdr:row>59</xdr:row>
      <xdr:rowOff>129491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F8ABBCCD-EFB4-DBD3-1B88-01287DFC0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152861" y="8451943"/>
          <a:ext cx="4852819" cy="233082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1036320</xdr:colOff>
          <xdr:row>0</xdr:row>
          <xdr:rowOff>76200</xdr:rowOff>
        </xdr:from>
        <xdr:to>
          <xdr:col>5</xdr:col>
          <xdr:colOff>1066800</xdr:colOff>
          <xdr:row>2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Gap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517213</xdr:colOff>
      <xdr:row>4</xdr:row>
      <xdr:rowOff>174686</xdr:rowOff>
    </xdr:from>
    <xdr:to>
      <xdr:col>20</xdr:col>
      <xdr:colOff>200025</xdr:colOff>
      <xdr:row>27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7A026A9-8E4F-4770-CD46-35DDAED2DC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10D1C-ED11-4C99-9C61-AA7CC52F6925}">
  <sheetPr codeName="Sheet2">
    <tabColor theme="4" tint="0.59999389629810485"/>
  </sheetPr>
  <dimension ref="B1:O30"/>
  <sheetViews>
    <sheetView tabSelected="1" topLeftCell="A10" zoomScale="110" zoomScaleNormal="110" workbookViewId="0">
      <selection activeCell="I14" sqref="I14"/>
    </sheetView>
  </sheetViews>
  <sheetFormatPr defaultColWidth="9" defaultRowHeight="14.4" x14ac:dyDescent="0.3"/>
  <cols>
    <col min="1" max="1" width="9" style="10"/>
    <col min="2" max="2" width="10.33203125" style="10" customWidth="1"/>
    <col min="3" max="3" width="13.88671875" style="10" customWidth="1"/>
    <col min="4" max="4" width="16.6640625" style="10" customWidth="1"/>
    <col min="5" max="5" width="13.109375" style="10" customWidth="1"/>
    <col min="6" max="11" width="9" style="10"/>
    <col min="12" max="12" width="8.33203125" style="10" customWidth="1"/>
    <col min="13" max="13" width="9" style="10"/>
    <col min="14" max="14" width="8" style="10" customWidth="1"/>
    <col min="15" max="16384" width="9" style="10"/>
  </cols>
  <sheetData>
    <row r="1" spans="2:15" ht="14.4" customHeight="1" x14ac:dyDescent="0.3">
      <c r="B1" s="45" t="s">
        <v>43</v>
      </c>
      <c r="C1" s="45"/>
      <c r="D1" s="45"/>
      <c r="E1" s="45"/>
    </row>
    <row r="2" spans="2:15" ht="14.4" customHeight="1" x14ac:dyDescent="0.3">
      <c r="B2" s="45"/>
      <c r="C2" s="45"/>
      <c r="D2" s="45"/>
      <c r="E2" s="45"/>
    </row>
    <row r="3" spans="2:15" ht="14.4" customHeight="1" x14ac:dyDescent="0.3">
      <c r="B3" s="45"/>
      <c r="C3" s="45"/>
      <c r="D3" s="45"/>
      <c r="E3" s="45"/>
    </row>
    <row r="6" spans="2:15" ht="14.4" customHeight="1" x14ac:dyDescent="0.3">
      <c r="B6" s="43" t="s">
        <v>0</v>
      </c>
      <c r="C6" s="48" t="s">
        <v>11</v>
      </c>
      <c r="D6" s="11" t="s">
        <v>13</v>
      </c>
      <c r="E6" s="1">
        <v>100</v>
      </c>
      <c r="J6" s="41" t="s">
        <v>17</v>
      </c>
      <c r="K6" s="41"/>
      <c r="L6" s="41"/>
      <c r="M6" s="40" t="s">
        <v>53</v>
      </c>
      <c r="N6" s="40"/>
      <c r="O6" s="40"/>
    </row>
    <row r="7" spans="2:15" x14ac:dyDescent="0.3">
      <c r="B7" s="43"/>
      <c r="C7" s="48"/>
      <c r="D7" s="11" t="s">
        <v>28</v>
      </c>
      <c r="E7" s="2">
        <v>0.21</v>
      </c>
      <c r="J7" s="41"/>
      <c r="K7" s="41"/>
      <c r="L7" s="41"/>
      <c r="M7" s="40"/>
      <c r="N7" s="40"/>
      <c r="O7" s="40"/>
    </row>
    <row r="8" spans="2:15" x14ac:dyDescent="0.3">
      <c r="B8" s="43"/>
      <c r="C8" s="48"/>
      <c r="D8" s="11" t="s">
        <v>29</v>
      </c>
      <c r="E8" s="2">
        <v>0.03</v>
      </c>
      <c r="J8" s="41" t="s">
        <v>16</v>
      </c>
      <c r="K8" s="41"/>
      <c r="L8" s="41"/>
      <c r="M8" s="40" t="s">
        <v>53</v>
      </c>
      <c r="N8" s="40"/>
      <c r="O8" s="40"/>
    </row>
    <row r="9" spans="2:15" x14ac:dyDescent="0.3">
      <c r="B9" s="43"/>
      <c r="C9" s="48"/>
      <c r="D9" s="11" t="s">
        <v>14</v>
      </c>
      <c r="E9" s="1">
        <v>3</v>
      </c>
      <c r="J9" s="41"/>
      <c r="K9" s="41"/>
      <c r="L9" s="41"/>
      <c r="M9" s="40"/>
      <c r="N9" s="40"/>
      <c r="O9" s="40"/>
    </row>
    <row r="10" spans="2:15" x14ac:dyDescent="0.3">
      <c r="B10" s="43"/>
      <c r="C10" s="48"/>
      <c r="D10" s="11" t="s">
        <v>3</v>
      </c>
      <c r="E10" s="3">
        <v>45458</v>
      </c>
      <c r="I10" s="26"/>
      <c r="J10" s="42"/>
      <c r="K10" s="42"/>
      <c r="L10" s="42"/>
      <c r="M10" s="42"/>
      <c r="N10" s="42"/>
      <c r="O10" s="42"/>
    </row>
    <row r="11" spans="2:15" ht="15.6" customHeight="1" x14ac:dyDescent="0.3">
      <c r="B11" s="43"/>
      <c r="C11" s="49" t="s">
        <v>12</v>
      </c>
      <c r="D11" s="11" t="s">
        <v>4</v>
      </c>
      <c r="E11" s="3">
        <v>45352</v>
      </c>
      <c r="I11" s="26"/>
      <c r="J11" s="42"/>
      <c r="K11" s="42"/>
      <c r="L11" s="42"/>
      <c r="M11" s="42"/>
      <c r="N11" s="42"/>
      <c r="O11" s="42"/>
    </row>
    <row r="12" spans="2:15" ht="15.6" customHeight="1" x14ac:dyDescent="0.3">
      <c r="B12" s="43"/>
      <c r="C12" s="50"/>
      <c r="D12" s="11" t="s">
        <v>55</v>
      </c>
      <c r="E12" s="3">
        <v>45652</v>
      </c>
      <c r="I12" s="26"/>
      <c r="J12" s="42"/>
      <c r="K12" s="42"/>
      <c r="L12" s="42"/>
      <c r="M12" s="42"/>
      <c r="N12" s="42"/>
      <c r="O12" s="42"/>
    </row>
    <row r="13" spans="2:15" ht="15.6" customHeight="1" x14ac:dyDescent="0.3">
      <c r="B13" s="43"/>
      <c r="C13" s="50"/>
      <c r="D13" s="11" t="s">
        <v>30</v>
      </c>
      <c r="E13" s="27">
        <f>(IEndDate-IStartDate)/365</f>
        <v>0.82191780821917804</v>
      </c>
      <c r="J13" s="42"/>
      <c r="K13" s="42"/>
      <c r="L13" s="42"/>
      <c r="M13" s="42"/>
      <c r="N13" s="42"/>
      <c r="O13" s="42"/>
    </row>
    <row r="14" spans="2:15" ht="14.4" customHeight="1" x14ac:dyDescent="0.3">
      <c r="B14" s="43"/>
      <c r="C14" s="50"/>
      <c r="D14" s="11" t="s">
        <v>15</v>
      </c>
      <c r="E14" s="1">
        <v>101</v>
      </c>
      <c r="J14" s="42"/>
      <c r="K14" s="42"/>
      <c r="L14" s="42"/>
      <c r="M14" s="42"/>
      <c r="N14" s="42"/>
      <c r="O14" s="42"/>
    </row>
    <row r="15" spans="2:15" ht="14.4" customHeight="1" x14ac:dyDescent="0.3">
      <c r="B15" s="43"/>
      <c r="C15" s="50"/>
      <c r="D15" s="11" t="s">
        <v>1</v>
      </c>
      <c r="E15" s="1" t="s">
        <v>5</v>
      </c>
    </row>
    <row r="16" spans="2:15" ht="14.4" customHeight="1" x14ac:dyDescent="0.3">
      <c r="B16" s="43"/>
      <c r="C16" s="51"/>
      <c r="D16" s="11" t="s">
        <v>31</v>
      </c>
      <c r="E16" s="1" t="s">
        <v>6</v>
      </c>
      <c r="J16" s="34" t="s">
        <v>19</v>
      </c>
      <c r="K16" s="35"/>
      <c r="L16" s="36"/>
      <c r="M16" s="28" t="s">
        <v>54</v>
      </c>
      <c r="N16" s="29"/>
      <c r="O16" s="30"/>
    </row>
    <row r="17" spans="2:15" ht="16.649999999999999" customHeight="1" x14ac:dyDescent="0.3">
      <c r="B17" s="43"/>
      <c r="C17" s="47" t="s">
        <v>32</v>
      </c>
      <c r="D17" s="11" t="s">
        <v>33</v>
      </c>
      <c r="E17" s="1">
        <v>1000</v>
      </c>
      <c r="J17" s="37"/>
      <c r="K17" s="38"/>
      <c r="L17" s="39"/>
      <c r="M17" s="31"/>
      <c r="N17" s="32"/>
      <c r="O17" s="33"/>
    </row>
    <row r="18" spans="2:15" x14ac:dyDescent="0.3">
      <c r="B18" s="43"/>
      <c r="C18" s="47"/>
      <c r="D18" s="11" t="s">
        <v>34</v>
      </c>
      <c r="E18" s="4">
        <v>1E-8</v>
      </c>
      <c r="J18" s="34" t="s">
        <v>20</v>
      </c>
      <c r="K18" s="35"/>
      <c r="L18" s="36"/>
      <c r="M18" s="28" t="s">
        <v>54</v>
      </c>
      <c r="N18" s="29"/>
      <c r="O18" s="30"/>
    </row>
    <row r="19" spans="2:15" ht="18.75" customHeight="1" x14ac:dyDescent="0.3">
      <c r="J19" s="37"/>
      <c r="K19" s="38"/>
      <c r="L19" s="39"/>
      <c r="M19" s="31"/>
      <c r="N19" s="32"/>
      <c r="O19" s="33"/>
    </row>
    <row r="20" spans="2:15" ht="15.6" x14ac:dyDescent="0.3">
      <c r="B20" s="46" t="s">
        <v>18</v>
      </c>
      <c r="C20" s="44" t="s">
        <v>8</v>
      </c>
      <c r="D20" s="12" t="s">
        <v>36</v>
      </c>
      <c r="E20" s="13">
        <v>6.7649573994003589</v>
      </c>
      <c r="J20" s="34" t="s">
        <v>21</v>
      </c>
      <c r="K20" s="35"/>
      <c r="L20" s="36"/>
      <c r="M20" s="28" t="s">
        <v>54</v>
      </c>
      <c r="N20" s="29"/>
      <c r="O20" s="30"/>
    </row>
    <row r="21" spans="2:15" ht="18" customHeight="1" x14ac:dyDescent="0.3">
      <c r="B21" s="46"/>
      <c r="C21" s="44"/>
      <c r="D21" s="12" t="s">
        <v>37</v>
      </c>
      <c r="E21" s="13">
        <v>6.6699689812041543</v>
      </c>
      <c r="J21" s="37"/>
      <c r="K21" s="38"/>
      <c r="L21" s="39"/>
      <c r="M21" s="31"/>
      <c r="N21" s="32"/>
      <c r="O21" s="33"/>
    </row>
    <row r="22" spans="2:15" ht="18.75" customHeight="1" x14ac:dyDescent="0.3">
      <c r="B22" s="46"/>
      <c r="C22" s="44"/>
      <c r="D22" s="12" t="s">
        <v>48</v>
      </c>
      <c r="E22" s="16">
        <f>(3*IVol^2)/(INbSteps*8*SQRT(2*PI())*SQRT(EXP(IVol^2)-1))</f>
        <v>3.1070978871970953E-5</v>
      </c>
      <c r="J22" s="34" t="s">
        <v>22</v>
      </c>
      <c r="K22" s="35"/>
      <c r="L22" s="36"/>
      <c r="M22" s="28" t="s">
        <v>54</v>
      </c>
      <c r="N22" s="29"/>
      <c r="O22" s="30"/>
    </row>
    <row r="23" spans="2:15" ht="18" customHeight="1" x14ac:dyDescent="0.3">
      <c r="B23" s="46"/>
      <c r="C23" s="44" t="s">
        <v>35</v>
      </c>
      <c r="D23" s="12" t="s">
        <v>38</v>
      </c>
      <c r="E23" s="14">
        <v>0.8828125</v>
      </c>
      <c r="J23" s="37"/>
      <c r="K23" s="38"/>
      <c r="L23" s="39"/>
      <c r="M23" s="31"/>
      <c r="N23" s="32"/>
      <c r="O23" s="33"/>
    </row>
    <row r="24" spans="2:15" ht="16.350000000000001" customHeight="1" x14ac:dyDescent="0.3">
      <c r="B24" s="46"/>
      <c r="C24" s="44"/>
      <c r="D24" s="12" t="s">
        <v>39</v>
      </c>
      <c r="E24" s="14">
        <v>0.171875</v>
      </c>
      <c r="J24" s="34" t="s">
        <v>23</v>
      </c>
      <c r="K24" s="35"/>
      <c r="L24" s="36"/>
      <c r="M24" s="28" t="s">
        <v>54</v>
      </c>
      <c r="N24" s="29"/>
      <c r="O24" s="30"/>
    </row>
    <row r="25" spans="2:15" ht="16.350000000000001" customHeight="1" x14ac:dyDescent="0.3">
      <c r="B25" s="46"/>
      <c r="C25" s="44"/>
      <c r="D25" s="12" t="s">
        <v>40</v>
      </c>
      <c r="E25" s="15">
        <f>ITimeTree+IPriceTime</f>
        <v>1.0546875</v>
      </c>
      <c r="J25" s="37"/>
      <c r="K25" s="38"/>
      <c r="L25" s="39"/>
      <c r="M25" s="31"/>
      <c r="N25" s="32"/>
      <c r="O25" s="33"/>
    </row>
    <row r="28" spans="2:15" x14ac:dyDescent="0.3">
      <c r="B28" s="17" t="s">
        <v>41</v>
      </c>
      <c r="C28" s="17"/>
      <c r="D28" s="17"/>
      <c r="E28" s="17"/>
    </row>
    <row r="29" spans="2:15" x14ac:dyDescent="0.3">
      <c r="B29" s="17"/>
      <c r="C29" s="17"/>
      <c r="D29" s="17"/>
      <c r="E29" s="17"/>
    </row>
    <row r="30" spans="2:15" x14ac:dyDescent="0.3">
      <c r="B30" s="17"/>
      <c r="C30" s="17"/>
      <c r="D30" s="17"/>
      <c r="E30" s="17"/>
    </row>
  </sheetData>
  <protectedRanges>
    <protectedRange sqref="E6:E10" name="Market"/>
    <protectedRange sqref="E11:E12" name="Dates"/>
    <protectedRange sqref="E14:E16" name="Option"/>
    <protectedRange sqref="E17:E18" name="Model"/>
    <protectedRange sqref="E20:E25" name="Output"/>
    <protectedRange sqref="M6:O9" name="ParamPrice"/>
    <protectedRange sqref="M16:O25" name="Greeks"/>
  </protectedRanges>
  <mergeCells count="23">
    <mergeCell ref="B6:B18"/>
    <mergeCell ref="C23:C25"/>
    <mergeCell ref="B1:E3"/>
    <mergeCell ref="J6:L7"/>
    <mergeCell ref="B20:B25"/>
    <mergeCell ref="C20:C22"/>
    <mergeCell ref="C17:C18"/>
    <mergeCell ref="C6:C10"/>
    <mergeCell ref="C11:C16"/>
    <mergeCell ref="M6:O7"/>
    <mergeCell ref="J8:L9"/>
    <mergeCell ref="M8:O9"/>
    <mergeCell ref="J10:O14"/>
    <mergeCell ref="J16:L17"/>
    <mergeCell ref="M16:O17"/>
    <mergeCell ref="M18:O19"/>
    <mergeCell ref="M20:O21"/>
    <mergeCell ref="M22:O23"/>
    <mergeCell ref="M24:O25"/>
    <mergeCell ref="J18:L19"/>
    <mergeCell ref="J20:L21"/>
    <mergeCell ref="J22:L23"/>
    <mergeCell ref="J24:L25"/>
  </mergeCells>
  <conditionalFormatting sqref="B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E15" xr:uid="{81C0AB66-2C42-4075-8658-E2E9F45DA347}">
      <formula1>"Call,Put"</formula1>
    </dataValidation>
    <dataValidation type="list" allowBlank="1" showInputMessage="1" showErrorMessage="1" sqref="E16" xr:uid="{ABE1D4CC-1999-48E4-AA77-9D6A48AA6A5A}">
      <formula1>"European,American"</formula1>
    </dataValidation>
    <dataValidation type="list" allowBlank="1" showInputMessage="1" showErrorMessage="1" sqref="M6:O9" xr:uid="{E89C065D-7D10-486C-93D3-6AC1322A3062}">
      <formula1>"Yes,No"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Main.PriceTree">
                <anchor moveWithCells="1" sizeWithCells="1">
                  <from>
                    <xdr:col>9</xdr:col>
                    <xdr:colOff>7620</xdr:colOff>
                    <xdr:row>9</xdr:row>
                    <xdr:rowOff>0</xdr:rowOff>
                  </from>
                  <to>
                    <xdr:col>15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03B4D-E378-4433-80BF-08E5F37FCA62}">
  <sheetPr codeName="Sheet5">
    <tabColor rgb="FFA4EAAC"/>
  </sheetPr>
  <dimension ref="A1:J48"/>
  <sheetViews>
    <sheetView zoomScale="85" zoomScaleNormal="85" workbookViewId="0">
      <selection activeCell="G14" sqref="G14"/>
    </sheetView>
  </sheetViews>
  <sheetFormatPr defaultColWidth="9.109375" defaultRowHeight="14.4" x14ac:dyDescent="0.3"/>
  <cols>
    <col min="1" max="1" width="14.33203125" style="23" customWidth="1"/>
    <col min="2" max="16384" width="9.109375" style="23"/>
  </cols>
  <sheetData>
    <row r="1" spans="1:3" x14ac:dyDescent="0.3">
      <c r="A1" s="52" t="s">
        <v>25</v>
      </c>
      <c r="B1" s="52"/>
      <c r="C1" s="52"/>
    </row>
    <row r="2" spans="1:3" x14ac:dyDescent="0.3">
      <c r="A2" s="52"/>
      <c r="B2" s="52"/>
      <c r="C2" s="52"/>
    </row>
    <row r="3" spans="1:3" x14ac:dyDescent="0.3">
      <c r="A3" s="52"/>
      <c r="B3" s="52"/>
      <c r="C3" s="52"/>
    </row>
    <row r="48" spans="10:10" x14ac:dyDescent="0.3">
      <c r="J48" s="25"/>
    </row>
  </sheetData>
  <mergeCells count="1">
    <mergeCell ref="A1:C3"/>
  </mergeCells>
  <conditionalFormatting sqref="A4:XFD1048576 D1:XFD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57F4D-C6E7-4D71-B847-9A040D27AB30}">
  <sheetPr codeName="Sheet6">
    <tabColor rgb="FFA4EAAC"/>
  </sheetPr>
  <dimension ref="A1:C3"/>
  <sheetViews>
    <sheetView zoomScale="85" zoomScaleNormal="85" workbookViewId="0">
      <selection sqref="A1:C3"/>
    </sheetView>
  </sheetViews>
  <sheetFormatPr defaultColWidth="9.109375" defaultRowHeight="14.4" x14ac:dyDescent="0.3"/>
  <cols>
    <col min="1" max="1" width="14.5546875" style="23" customWidth="1"/>
    <col min="2" max="16384" width="9.109375" style="23"/>
  </cols>
  <sheetData>
    <row r="1" spans="1:3" x14ac:dyDescent="0.3">
      <c r="A1" s="52" t="s">
        <v>24</v>
      </c>
      <c r="B1" s="52"/>
      <c r="C1" s="52"/>
    </row>
    <row r="2" spans="1:3" x14ac:dyDescent="0.3">
      <c r="A2" s="52"/>
      <c r="B2" s="52"/>
      <c r="C2" s="52"/>
    </row>
    <row r="3" spans="1:3" x14ac:dyDescent="0.3">
      <c r="A3" s="52"/>
      <c r="B3" s="52"/>
      <c r="C3" s="52"/>
    </row>
  </sheetData>
  <mergeCells count="1">
    <mergeCell ref="A1:C3"/>
  </mergeCells>
  <conditionalFormatting sqref="A4:XFD1048576 A1 D1:XFD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6C693-E044-4E04-AACD-BC4B68C129C6}">
  <sheetPr codeName="Feuil1">
    <tabColor rgb="FFA4EAAC"/>
  </sheetPr>
  <dimension ref="A1:C3"/>
  <sheetViews>
    <sheetView zoomScale="70" zoomScaleNormal="70" workbookViewId="0">
      <selection activeCell="J17" sqref="J17"/>
    </sheetView>
  </sheetViews>
  <sheetFormatPr defaultColWidth="11.44140625" defaultRowHeight="14.4" x14ac:dyDescent="0.3"/>
  <cols>
    <col min="1" max="1" width="13.88671875" style="23" customWidth="1"/>
    <col min="2" max="16384" width="11.44140625" style="23"/>
  </cols>
  <sheetData>
    <row r="1" spans="1:3" x14ac:dyDescent="0.3">
      <c r="A1" s="52" t="s">
        <v>27</v>
      </c>
      <c r="B1" s="52"/>
      <c r="C1" s="52"/>
    </row>
    <row r="2" spans="1:3" x14ac:dyDescent="0.3">
      <c r="A2" s="52"/>
      <c r="B2" s="52"/>
      <c r="C2" s="52"/>
    </row>
    <row r="3" spans="1:3" x14ac:dyDescent="0.3">
      <c r="A3" s="52"/>
      <c r="B3" s="52"/>
      <c r="C3" s="52"/>
    </row>
  </sheetData>
  <mergeCells count="1">
    <mergeCell ref="A1:C3"/>
  </mergeCells>
  <conditionalFormatting sqref="A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59AB1-39C3-4E02-B137-1C28B1AE1CC1}">
  <sheetPr codeName="Sheet1">
    <tabColor rgb="FFFFFF99"/>
  </sheetPr>
  <dimension ref="A1:O56"/>
  <sheetViews>
    <sheetView topLeftCell="A16" zoomScale="90" zoomScaleNormal="90" workbookViewId="0">
      <selection activeCell="A5" sqref="A5:F5"/>
    </sheetView>
  </sheetViews>
  <sheetFormatPr defaultColWidth="9.109375" defaultRowHeight="14.4" x14ac:dyDescent="0.3"/>
  <cols>
    <col min="1" max="2" width="9.109375" style="7"/>
    <col min="3" max="4" width="13.33203125" style="7" customWidth="1"/>
    <col min="5" max="5" width="15.6640625" style="7" customWidth="1"/>
    <col min="6" max="6" width="17.109375" style="7" customWidth="1"/>
    <col min="7" max="9" width="9.109375" style="7"/>
    <col min="10" max="10" width="9" style="7" customWidth="1"/>
    <col min="11" max="16384" width="9.109375" style="7"/>
  </cols>
  <sheetData>
    <row r="1" spans="1:10" x14ac:dyDescent="0.3">
      <c r="A1" s="53" t="s">
        <v>42</v>
      </c>
      <c r="B1" s="53"/>
      <c r="C1" s="53"/>
      <c r="H1" s="53" t="s">
        <v>45</v>
      </c>
      <c r="I1" s="53"/>
      <c r="J1" s="53"/>
    </row>
    <row r="2" spans="1:10" x14ac:dyDescent="0.3">
      <c r="A2" s="53"/>
      <c r="B2" s="53"/>
      <c r="C2" s="53"/>
      <c r="H2" s="53"/>
      <c r="I2" s="53"/>
      <c r="J2" s="53"/>
    </row>
    <row r="3" spans="1:10" x14ac:dyDescent="0.3">
      <c r="A3" s="53"/>
      <c r="B3" s="53"/>
      <c r="C3" s="53"/>
      <c r="H3" s="53"/>
      <c r="I3" s="53"/>
      <c r="J3" s="53"/>
    </row>
    <row r="4" spans="1:10" ht="12.45" customHeight="1" x14ac:dyDescent="0.3">
      <c r="A4" s="18"/>
      <c r="B4" s="18"/>
      <c r="C4" s="18"/>
    </row>
    <row r="5" spans="1:10" ht="16.2" thickBot="1" x14ac:dyDescent="0.35">
      <c r="A5" s="54" t="s">
        <v>44</v>
      </c>
      <c r="B5" s="54"/>
      <c r="C5" s="54"/>
      <c r="D5" s="54"/>
      <c r="E5" s="54"/>
      <c r="F5" s="54"/>
    </row>
    <row r="6" spans="1:10" ht="14.4" customHeight="1" x14ac:dyDescent="0.3">
      <c r="A6" s="57" t="s">
        <v>7</v>
      </c>
      <c r="B6" s="57" t="s">
        <v>8</v>
      </c>
      <c r="C6" s="57" t="s">
        <v>2</v>
      </c>
      <c r="D6" s="57" t="s">
        <v>26</v>
      </c>
      <c r="E6" s="57" t="s">
        <v>9</v>
      </c>
      <c r="F6" s="57" t="s">
        <v>10</v>
      </c>
    </row>
    <row r="7" spans="1:10" ht="14.4" customHeight="1" thickBot="1" x14ac:dyDescent="0.35">
      <c r="A7" s="58"/>
      <c r="B7" s="58"/>
      <c r="C7" s="58"/>
      <c r="D7" s="58"/>
      <c r="E7" s="58"/>
      <c r="F7" s="58"/>
    </row>
    <row r="8" spans="1:10" x14ac:dyDescent="0.3">
      <c r="A8" s="8">
        <f>1</f>
        <v>1</v>
      </c>
      <c r="B8" s="8">
        <v>0</v>
      </c>
      <c r="C8" s="8">
        <v>0</v>
      </c>
      <c r="D8" s="8">
        <v>10.450583572185572</v>
      </c>
      <c r="E8" s="9">
        <f>IF(D8&lt;&gt;"" &amp; B8&lt;&gt;"",ABS(B8-D8),"")</f>
        <v>10.450583572185572</v>
      </c>
      <c r="F8" s="9">
        <f>IF($E8&lt;&gt;"", $E8*$A8, "")</f>
        <v>10.450583572185572</v>
      </c>
    </row>
    <row r="9" spans="1:10" x14ac:dyDescent="0.3">
      <c r="A9" s="6">
        <v>5</v>
      </c>
      <c r="B9" s="8">
        <v>9.1532218255407596</v>
      </c>
      <c r="C9" s="6">
        <v>0</v>
      </c>
      <c r="D9" s="8">
        <v>10.450583572185572</v>
      </c>
      <c r="E9" s="9">
        <f t="shared" ref="E9:E56" si="0">IF(D9&lt;&gt;"" &amp; B9&lt;&gt;"",ABS(B9-D9),"")</f>
        <v>1.2973617466448122</v>
      </c>
      <c r="F9" s="5">
        <f t="shared" ref="F9:F56" si="1">IF($E9&lt;&gt;"", $E9*$A9, "")</f>
        <v>6.4868087332240609</v>
      </c>
    </row>
    <row r="10" spans="1:10" x14ac:dyDescent="0.3">
      <c r="A10" s="6">
        <v>10</v>
      </c>
      <c r="B10" s="8">
        <v>9.885952034609474</v>
      </c>
      <c r="C10" s="6">
        <v>0</v>
      </c>
      <c r="D10" s="8">
        <v>10.450583572185572</v>
      </c>
      <c r="E10" s="9">
        <f t="shared" si="0"/>
        <v>0.56463153757609774</v>
      </c>
      <c r="F10" s="5">
        <f t="shared" si="1"/>
        <v>5.6463153757609774</v>
      </c>
    </row>
    <row r="11" spans="1:10" x14ac:dyDescent="0.3">
      <c r="A11" s="6">
        <v>20</v>
      </c>
      <c r="B11" s="8">
        <v>10.169111805734914</v>
      </c>
      <c r="C11" s="6">
        <v>7.8125E-3</v>
      </c>
      <c r="D11" s="8">
        <v>10.450583572185572</v>
      </c>
      <c r="E11" s="9">
        <f t="shared" si="0"/>
        <v>0.28147176645065741</v>
      </c>
      <c r="F11" s="5">
        <f t="shared" si="1"/>
        <v>5.6294353290131482</v>
      </c>
    </row>
    <row r="12" spans="1:10" x14ac:dyDescent="0.3">
      <c r="A12" s="6">
        <v>30</v>
      </c>
      <c r="B12" s="8">
        <v>10.241536846623694</v>
      </c>
      <c r="C12" s="6">
        <v>0</v>
      </c>
      <c r="D12" s="8">
        <v>10.450583572185572</v>
      </c>
      <c r="E12" s="9">
        <f t="shared" si="0"/>
        <v>0.20904672556187798</v>
      </c>
      <c r="F12" s="5">
        <f t="shared" si="1"/>
        <v>6.2714017668563393</v>
      </c>
    </row>
    <row r="13" spans="1:10" x14ac:dyDescent="0.3">
      <c r="A13" s="6">
        <v>50</v>
      </c>
      <c r="B13" s="8">
        <v>10.283793769983403</v>
      </c>
      <c r="C13" s="6">
        <v>1.5625E-2</v>
      </c>
      <c r="D13" s="8">
        <v>10.450583572185572</v>
      </c>
      <c r="E13" s="9">
        <f t="shared" si="0"/>
        <v>0.16678980220216921</v>
      </c>
      <c r="F13" s="5">
        <f t="shared" si="1"/>
        <v>8.3394901101084606</v>
      </c>
    </row>
    <row r="14" spans="1:10" x14ac:dyDescent="0.3">
      <c r="A14" s="6">
        <v>75</v>
      </c>
      <c r="B14" s="8">
        <v>10.366449770738569</v>
      </c>
      <c r="C14" s="6">
        <v>3.125E-2</v>
      </c>
      <c r="D14" s="8">
        <v>10.450583572185572</v>
      </c>
      <c r="E14" s="9">
        <f t="shared" si="0"/>
        <v>8.4133801447002554E-2</v>
      </c>
      <c r="F14" s="5">
        <f t="shared" si="1"/>
        <v>6.3100351085251916</v>
      </c>
    </row>
    <row r="15" spans="1:10" x14ac:dyDescent="0.3">
      <c r="A15" s="6">
        <v>100</v>
      </c>
      <c r="B15" s="8">
        <v>10.395147854133819</v>
      </c>
      <c r="C15" s="6">
        <v>7.8125E-2</v>
      </c>
      <c r="D15" s="8">
        <v>10.450583572185572</v>
      </c>
      <c r="E15" s="9">
        <f t="shared" si="0"/>
        <v>5.5435718051752403E-2</v>
      </c>
      <c r="F15" s="5">
        <f t="shared" si="1"/>
        <v>5.5435718051752403</v>
      </c>
    </row>
    <row r="16" spans="1:10" x14ac:dyDescent="0.3">
      <c r="A16" s="6">
        <v>125</v>
      </c>
      <c r="B16" s="8">
        <v>10.405881336518165</v>
      </c>
      <c r="C16" s="6">
        <v>8.59375E-2</v>
      </c>
      <c r="D16" s="8">
        <v>10.450583572185572</v>
      </c>
      <c r="E16" s="9">
        <f t="shared" si="0"/>
        <v>4.4702235667406498E-2</v>
      </c>
      <c r="F16" s="5">
        <f t="shared" si="1"/>
        <v>5.5877794584258123</v>
      </c>
    </row>
    <row r="17" spans="1:10" x14ac:dyDescent="0.3">
      <c r="A17" s="6">
        <f>A16+25</f>
        <v>150</v>
      </c>
      <c r="B17" s="8">
        <v>10.409194942821095</v>
      </c>
      <c r="C17" s="6">
        <v>0.125</v>
      </c>
      <c r="D17" s="8">
        <v>10.450583572185572</v>
      </c>
      <c r="E17" s="9">
        <f t="shared" si="0"/>
        <v>4.1388629364476515E-2</v>
      </c>
      <c r="F17" s="5">
        <f t="shared" si="1"/>
        <v>6.2082944046714772</v>
      </c>
    </row>
    <row r="18" spans="1:10" x14ac:dyDescent="0.3">
      <c r="A18" s="6">
        <f t="shared" ref="A18:A31" si="2">A17+25</f>
        <v>175</v>
      </c>
      <c r="B18" s="8">
        <v>10.409066876492723</v>
      </c>
      <c r="C18" s="6">
        <v>0.171875</v>
      </c>
      <c r="D18" s="8">
        <v>10.450583572185572</v>
      </c>
      <c r="E18" s="9">
        <f t="shared" si="0"/>
        <v>4.1516695692848771E-2</v>
      </c>
      <c r="F18" s="5">
        <f t="shared" si="1"/>
        <v>7.2654217462485349</v>
      </c>
    </row>
    <row r="19" spans="1:10" ht="14.4" customHeight="1" x14ac:dyDescent="0.3">
      <c r="A19" s="6">
        <f t="shared" si="2"/>
        <v>200</v>
      </c>
      <c r="B19" s="8">
        <v>10.410750220872679</v>
      </c>
      <c r="C19" s="6">
        <v>0.22265625</v>
      </c>
      <c r="D19" s="8">
        <v>10.450583572185572</v>
      </c>
      <c r="E19" s="9">
        <f t="shared" si="0"/>
        <v>3.9833351312893228E-2</v>
      </c>
      <c r="F19" s="5">
        <f t="shared" si="1"/>
        <v>7.9666702625786456</v>
      </c>
    </row>
    <row r="20" spans="1:10" ht="14.4" customHeight="1" x14ac:dyDescent="0.3">
      <c r="A20" s="6">
        <f t="shared" si="2"/>
        <v>225</v>
      </c>
      <c r="B20" s="8">
        <v>10.420231525731108</v>
      </c>
      <c r="C20" s="6">
        <v>0.296875</v>
      </c>
      <c r="D20" s="8">
        <v>10.450583572185572</v>
      </c>
      <c r="E20" s="9">
        <f t="shared" si="0"/>
        <v>3.0352046454463988E-2</v>
      </c>
      <c r="F20" s="5">
        <f t="shared" si="1"/>
        <v>6.8292104522543973</v>
      </c>
    </row>
    <row r="21" spans="1:10" ht="15" customHeight="1" x14ac:dyDescent="0.3">
      <c r="A21" s="6">
        <f>A20+25</f>
        <v>250</v>
      </c>
      <c r="B21" s="8">
        <v>10.426307917572029</v>
      </c>
      <c r="C21" s="6">
        <v>0.34375</v>
      </c>
      <c r="D21" s="8">
        <v>10.450583572185572</v>
      </c>
      <c r="E21" s="9">
        <f t="shared" si="0"/>
        <v>2.4275654613543196E-2</v>
      </c>
      <c r="F21" s="5">
        <f>IF($E21&lt;&gt;"", $E21*$A21, "")</f>
        <v>6.068913653385799</v>
      </c>
    </row>
    <row r="22" spans="1:10" x14ac:dyDescent="0.3">
      <c r="A22" s="6">
        <f>A21+25</f>
        <v>275</v>
      </c>
      <c r="B22" s="8">
        <v>10.430101140710535</v>
      </c>
      <c r="C22" s="6">
        <v>0.421875</v>
      </c>
      <c r="D22" s="8">
        <v>10.450583572185572</v>
      </c>
      <c r="E22" s="9">
        <f t="shared" si="0"/>
        <v>2.0482431475036478E-2</v>
      </c>
      <c r="F22" s="5">
        <f t="shared" si="1"/>
        <v>5.6326686556350314</v>
      </c>
    </row>
    <row r="23" spans="1:10" x14ac:dyDescent="0.3">
      <c r="A23" s="6">
        <f t="shared" si="2"/>
        <v>300</v>
      </c>
      <c r="B23" s="8">
        <v>10.432321494924157</v>
      </c>
      <c r="C23" s="6">
        <v>0.5</v>
      </c>
      <c r="D23" s="8">
        <v>10.450583572185572</v>
      </c>
      <c r="E23" s="9">
        <f t="shared" si="0"/>
        <v>1.8262077261415044E-2</v>
      </c>
      <c r="F23" s="5">
        <f t="shared" si="1"/>
        <v>5.4786231784245132</v>
      </c>
    </row>
    <row r="24" spans="1:10" x14ac:dyDescent="0.3">
      <c r="A24" s="6">
        <f t="shared" si="2"/>
        <v>325</v>
      </c>
      <c r="B24" s="8">
        <v>10.433435463102411</v>
      </c>
      <c r="C24" s="6">
        <v>0.59375</v>
      </c>
      <c r="D24" s="8">
        <v>10.450583572185572</v>
      </c>
      <c r="E24" s="9">
        <f t="shared" si="0"/>
        <v>1.714810908316089E-2</v>
      </c>
      <c r="F24" s="5">
        <f t="shared" si="1"/>
        <v>5.5731354520272891</v>
      </c>
    </row>
    <row r="25" spans="1:10" x14ac:dyDescent="0.3">
      <c r="A25" s="6">
        <f t="shared" si="2"/>
        <v>350</v>
      </c>
      <c r="B25" s="8">
        <v>10.433758711154615</v>
      </c>
      <c r="C25" s="6">
        <v>0.69140625</v>
      </c>
      <c r="D25" s="8">
        <v>10.450583572185572</v>
      </c>
      <c r="E25" s="9">
        <f t="shared" si="0"/>
        <v>1.6824861030956484E-2</v>
      </c>
      <c r="F25" s="5">
        <f t="shared" si="1"/>
        <v>5.8887013608347694</v>
      </c>
    </row>
    <row r="26" spans="1:10" x14ac:dyDescent="0.3">
      <c r="A26" s="6">
        <f t="shared" si="2"/>
        <v>375</v>
      </c>
      <c r="B26" s="8">
        <v>10.433510227616019</v>
      </c>
      <c r="C26" s="6">
        <v>0.8125</v>
      </c>
      <c r="D26" s="8">
        <v>10.450583572185572</v>
      </c>
      <c r="E26" s="9">
        <f t="shared" si="0"/>
        <v>1.7073344569553228E-2</v>
      </c>
      <c r="F26" s="5">
        <f t="shared" si="1"/>
        <v>6.4025042135824606</v>
      </c>
    </row>
    <row r="27" spans="1:10" x14ac:dyDescent="0.3">
      <c r="A27" s="6">
        <f t="shared" si="2"/>
        <v>400</v>
      </c>
      <c r="B27" s="8">
        <v>10.432845135970384</v>
      </c>
      <c r="C27" s="6">
        <v>0.9140625</v>
      </c>
      <c r="D27" s="8">
        <v>10.450583572185572</v>
      </c>
      <c r="E27" s="9">
        <f t="shared" si="0"/>
        <v>1.7738436215188003E-2</v>
      </c>
      <c r="F27" s="5">
        <f t="shared" si="1"/>
        <v>7.095374486075201</v>
      </c>
    </row>
    <row r="28" spans="1:10" x14ac:dyDescent="0.3">
      <c r="A28" s="6">
        <f t="shared" si="2"/>
        <v>425</v>
      </c>
      <c r="B28" s="8">
        <v>10.431875273226145</v>
      </c>
      <c r="C28" s="6">
        <v>1.03515625</v>
      </c>
      <c r="D28" s="8">
        <v>10.450583572185572</v>
      </c>
      <c r="E28" s="9">
        <f t="shared" si="0"/>
        <v>1.8708298959426273E-2</v>
      </c>
      <c r="F28" s="5">
        <f t="shared" si="1"/>
        <v>7.9510270577561659</v>
      </c>
    </row>
    <row r="29" spans="1:10" x14ac:dyDescent="0.3">
      <c r="A29" s="6">
        <f t="shared" si="2"/>
        <v>450</v>
      </c>
      <c r="B29" s="8">
        <v>10.433443663660622</v>
      </c>
      <c r="C29" s="6">
        <v>1.12890625</v>
      </c>
      <c r="D29" s="8">
        <v>10.450583572185572</v>
      </c>
      <c r="E29" s="9">
        <f t="shared" si="0"/>
        <v>1.7139908524949732E-2</v>
      </c>
      <c r="F29" s="5">
        <f t="shared" si="1"/>
        <v>7.7129588362273793</v>
      </c>
    </row>
    <row r="30" spans="1:10" x14ac:dyDescent="0.3">
      <c r="A30" s="6">
        <f t="shared" si="2"/>
        <v>475</v>
      </c>
      <c r="B30" s="8">
        <v>10.435948240441416</v>
      </c>
      <c r="C30" s="6">
        <v>1.26953125</v>
      </c>
      <c r="D30" s="8">
        <v>10.450583572185572</v>
      </c>
      <c r="E30" s="9">
        <f t="shared" si="0"/>
        <v>1.4635331744155877E-2</v>
      </c>
      <c r="F30" s="5">
        <f t="shared" si="1"/>
        <v>6.9517825784740417</v>
      </c>
    </row>
    <row r="31" spans="1:10" x14ac:dyDescent="0.3">
      <c r="A31" s="6">
        <f t="shared" si="2"/>
        <v>500</v>
      </c>
      <c r="B31" s="8">
        <v>10.437860740894754</v>
      </c>
      <c r="C31" s="6">
        <v>1.42578125</v>
      </c>
      <c r="D31" s="8">
        <v>10.450583572185572</v>
      </c>
      <c r="E31" s="9">
        <f t="shared" si="0"/>
        <v>1.2722831290817638E-2</v>
      </c>
      <c r="F31" s="5">
        <f t="shared" si="1"/>
        <v>6.3614156454088189</v>
      </c>
    </row>
    <row r="32" spans="1:10" x14ac:dyDescent="0.3">
      <c r="A32" s="6">
        <f>A31+50</f>
        <v>550</v>
      </c>
      <c r="B32" s="8">
        <v>10.440317791417934</v>
      </c>
      <c r="C32" s="6">
        <v>1.69140625</v>
      </c>
      <c r="D32" s="8">
        <v>10.450583572185572</v>
      </c>
      <c r="E32" s="9">
        <f t="shared" si="0"/>
        <v>1.0265780767637622E-2</v>
      </c>
      <c r="F32" s="5">
        <f t="shared" si="1"/>
        <v>5.6461794222006922</v>
      </c>
      <c r="H32" s="53" t="s">
        <v>46</v>
      </c>
      <c r="I32" s="53"/>
      <c r="J32" s="53"/>
    </row>
    <row r="33" spans="1:15" x14ac:dyDescent="0.3">
      <c r="A33" s="6">
        <f t="shared" ref="A33:A41" si="3">A32+50</f>
        <v>600</v>
      </c>
      <c r="B33" s="8">
        <v>10.441440887218961</v>
      </c>
      <c r="C33" s="6">
        <v>2.00390625</v>
      </c>
      <c r="D33" s="8">
        <v>10.450583572185572</v>
      </c>
      <c r="E33" s="9">
        <f t="shared" si="0"/>
        <v>9.1426849666103038E-3</v>
      </c>
      <c r="F33" s="5">
        <f t="shared" si="1"/>
        <v>5.4856109799661823</v>
      </c>
      <c r="H33" s="53"/>
      <c r="I33" s="53"/>
      <c r="J33" s="53"/>
      <c r="K33" s="55" t="s">
        <v>47</v>
      </c>
      <c r="L33" s="56"/>
      <c r="M33" s="56"/>
      <c r="N33" s="56"/>
      <c r="O33" s="56"/>
    </row>
    <row r="34" spans="1:15" x14ac:dyDescent="0.3">
      <c r="A34" s="6">
        <f t="shared" si="3"/>
        <v>650</v>
      </c>
      <c r="B34" s="8">
        <v>10.441639000647232</v>
      </c>
      <c r="C34" s="6">
        <v>2.3046875</v>
      </c>
      <c r="D34" s="8">
        <v>10.450583572185572</v>
      </c>
      <c r="E34" s="9">
        <f t="shared" si="0"/>
        <v>8.9445715383398294E-3</v>
      </c>
      <c r="F34" s="5">
        <f t="shared" si="1"/>
        <v>5.8139714999208891</v>
      </c>
      <c r="H34" s="53"/>
      <c r="I34" s="53"/>
      <c r="J34" s="53"/>
    </row>
    <row r="35" spans="1:15" x14ac:dyDescent="0.3">
      <c r="A35" s="6">
        <f t="shared" si="3"/>
        <v>700</v>
      </c>
      <c r="B35" s="8">
        <v>10.441187229958647</v>
      </c>
      <c r="C35" s="6">
        <v>2.61328125</v>
      </c>
      <c r="D35" s="8">
        <v>10.450583572185572</v>
      </c>
      <c r="E35" s="9">
        <f t="shared" si="0"/>
        <v>9.3963422269247587E-3</v>
      </c>
      <c r="F35" s="5">
        <f t="shared" si="1"/>
        <v>6.5774395588473311</v>
      </c>
    </row>
    <row r="36" spans="1:15" x14ac:dyDescent="0.3">
      <c r="A36" s="6">
        <f t="shared" si="3"/>
        <v>750</v>
      </c>
      <c r="B36" s="8">
        <v>10.440275152845722</v>
      </c>
      <c r="C36" s="6">
        <v>2.9921875</v>
      </c>
      <c r="D36" s="8">
        <v>10.450583572185572</v>
      </c>
      <c r="E36" s="9">
        <f t="shared" si="0"/>
        <v>1.0308419339850161E-2</v>
      </c>
      <c r="F36" s="5">
        <f t="shared" si="1"/>
        <v>7.7313145048876208</v>
      </c>
    </row>
    <row r="37" spans="1:15" x14ac:dyDescent="0.3">
      <c r="A37" s="6">
        <f t="shared" si="3"/>
        <v>800</v>
      </c>
      <c r="B37" s="8">
        <v>10.441217856394012</v>
      </c>
      <c r="C37" s="6">
        <v>3.32421875</v>
      </c>
      <c r="D37" s="8">
        <v>10.450583572185572</v>
      </c>
      <c r="E37" s="9">
        <f t="shared" si="0"/>
        <v>9.3657157915600919E-3</v>
      </c>
      <c r="F37" s="5">
        <f t="shared" si="1"/>
        <v>7.4925726332480735</v>
      </c>
    </row>
    <row r="38" spans="1:15" x14ac:dyDescent="0.3">
      <c r="A38" s="6">
        <f t="shared" si="3"/>
        <v>850</v>
      </c>
      <c r="B38" s="8">
        <v>10.442966363443686</v>
      </c>
      <c r="C38" s="6">
        <v>3.69140625</v>
      </c>
      <c r="D38" s="8">
        <v>10.450583572185572</v>
      </c>
      <c r="E38" s="9">
        <f t="shared" si="0"/>
        <v>7.6172087418857615E-3</v>
      </c>
      <c r="F38" s="5">
        <f t="shared" si="1"/>
        <v>6.4746274306028972</v>
      </c>
    </row>
    <row r="39" spans="1:15" x14ac:dyDescent="0.3">
      <c r="A39" s="6">
        <f t="shared" si="3"/>
        <v>900</v>
      </c>
      <c r="B39" s="8">
        <v>10.444111971478552</v>
      </c>
      <c r="C39" s="6">
        <v>4.0390625</v>
      </c>
      <c r="D39" s="8">
        <v>10.450583572185572</v>
      </c>
      <c r="E39" s="9">
        <f t="shared" si="0"/>
        <v>6.4716007070195758E-3</v>
      </c>
      <c r="F39" s="5">
        <f t="shared" si="1"/>
        <v>5.8244406363176182</v>
      </c>
    </row>
    <row r="40" spans="1:15" x14ac:dyDescent="0.3">
      <c r="A40" s="6">
        <f>A39+50</f>
        <v>950</v>
      </c>
      <c r="B40" s="8">
        <v>10.444780336317137</v>
      </c>
      <c r="C40" s="6">
        <v>4.4296875</v>
      </c>
      <c r="D40" s="8">
        <v>10.450583572185572</v>
      </c>
      <c r="E40" s="9">
        <f t="shared" si="0"/>
        <v>5.8032358684343421E-3</v>
      </c>
      <c r="F40" s="5">
        <f t="shared" si="1"/>
        <v>5.513074075012625</v>
      </c>
    </row>
    <row r="41" spans="1:15" x14ac:dyDescent="0.3">
      <c r="A41" s="6">
        <f t="shared" si="3"/>
        <v>1000</v>
      </c>
      <c r="B41" s="8">
        <v>10.445068425491515</v>
      </c>
      <c r="C41" s="6">
        <v>4.83984375</v>
      </c>
      <c r="D41" s="8">
        <v>10.450583572185572</v>
      </c>
      <c r="E41" s="9">
        <f t="shared" si="0"/>
        <v>5.5151466940568383E-3</v>
      </c>
      <c r="F41" s="5">
        <f t="shared" si="1"/>
        <v>5.5151466940568383</v>
      </c>
    </row>
    <row r="42" spans="1:15" x14ac:dyDescent="0.3">
      <c r="A42" s="6">
        <f>A41+100</f>
        <v>1100</v>
      </c>
      <c r="B42" s="8">
        <v>10.444790365781673</v>
      </c>
      <c r="C42" s="6">
        <v>6.09765625</v>
      </c>
      <c r="D42" s="8">
        <v>10.450583572185572</v>
      </c>
      <c r="E42" s="9">
        <f t="shared" si="0"/>
        <v>5.7932064038990205E-3</v>
      </c>
      <c r="F42" s="5">
        <f t="shared" si="1"/>
        <v>6.3725270442889226</v>
      </c>
    </row>
    <row r="43" spans="1:15" x14ac:dyDescent="0.3">
      <c r="A43" s="6">
        <f t="shared" ref="A43:A56" si="4">A42+100</f>
        <v>1200</v>
      </c>
      <c r="B43" s="8">
        <v>10.443712394489504</v>
      </c>
      <c r="C43" s="6">
        <v>7.109375</v>
      </c>
      <c r="D43" s="8">
        <v>10.450583572185572</v>
      </c>
      <c r="E43" s="9">
        <f t="shared" si="0"/>
        <v>6.8711776960679316E-3</v>
      </c>
      <c r="F43" s="5">
        <f t="shared" si="1"/>
        <v>8.2454132352815179</v>
      </c>
    </row>
    <row r="44" spans="1:15" x14ac:dyDescent="0.3">
      <c r="A44" s="6">
        <f t="shared" si="4"/>
        <v>1300</v>
      </c>
      <c r="B44" s="8">
        <v>10.445588706849128</v>
      </c>
      <c r="C44" s="6">
        <v>7.52734375</v>
      </c>
      <c r="D44" s="8">
        <v>10.450583572185572</v>
      </c>
      <c r="E44" s="9">
        <f t="shared" si="0"/>
        <v>4.9948653364442208E-3</v>
      </c>
      <c r="F44" s="5">
        <f t="shared" si="1"/>
        <v>6.4933249373774871</v>
      </c>
    </row>
    <row r="45" spans="1:15" x14ac:dyDescent="0.3">
      <c r="A45" s="6">
        <f t="shared" si="4"/>
        <v>1400</v>
      </c>
      <c r="B45" s="8">
        <v>10.446584669782963</v>
      </c>
      <c r="C45" s="6">
        <v>8.51953125</v>
      </c>
      <c r="D45" s="8">
        <v>10.450583572185572</v>
      </c>
      <c r="E45" s="9">
        <f t="shared" si="0"/>
        <v>3.998902402608806E-3</v>
      </c>
      <c r="F45" s="5">
        <f t="shared" si="1"/>
        <v>5.5984633636523284</v>
      </c>
    </row>
    <row r="46" spans="1:15" x14ac:dyDescent="0.3">
      <c r="A46" s="6">
        <f t="shared" si="4"/>
        <v>1500</v>
      </c>
      <c r="B46" s="8">
        <v>10.446877812325441</v>
      </c>
      <c r="C46" s="6">
        <v>9.44140625</v>
      </c>
      <c r="D46" s="8">
        <v>10.450583572185572</v>
      </c>
      <c r="E46" s="9">
        <f t="shared" si="0"/>
        <v>3.705759860130442E-3</v>
      </c>
      <c r="F46" s="5">
        <f t="shared" si="1"/>
        <v>5.558639790195663</v>
      </c>
    </row>
    <row r="47" spans="1:15" x14ac:dyDescent="0.3">
      <c r="A47" s="6">
        <f t="shared" si="4"/>
        <v>1600</v>
      </c>
      <c r="B47" s="8">
        <v>10.446650588408035</v>
      </c>
      <c r="C47" s="6">
        <v>10.51953125</v>
      </c>
      <c r="D47" s="8">
        <v>10.450583572185572</v>
      </c>
      <c r="E47" s="9">
        <f t="shared" si="0"/>
        <v>3.9329837775365917E-3</v>
      </c>
      <c r="F47" s="5">
        <f t="shared" si="1"/>
        <v>6.2927740440585467</v>
      </c>
    </row>
    <row r="48" spans="1:15" x14ac:dyDescent="0.3">
      <c r="A48" s="6">
        <f t="shared" si="4"/>
        <v>1700</v>
      </c>
      <c r="B48" s="8">
        <v>10.446035509334093</v>
      </c>
      <c r="C48" s="6">
        <v>11.6796875</v>
      </c>
      <c r="D48" s="8">
        <v>10.450583572185572</v>
      </c>
      <c r="E48" s="9">
        <f t="shared" si="0"/>
        <v>4.5480628514784627E-3</v>
      </c>
      <c r="F48" s="5">
        <f t="shared" si="1"/>
        <v>7.7317068475133865</v>
      </c>
    </row>
    <row r="49" spans="1:6" x14ac:dyDescent="0.3">
      <c r="A49" s="6">
        <f t="shared" si="4"/>
        <v>1800</v>
      </c>
      <c r="B49" s="8">
        <v>10.446637585478943</v>
      </c>
      <c r="C49" s="6">
        <v>13</v>
      </c>
      <c r="D49" s="8">
        <v>10.450583572185572</v>
      </c>
      <c r="E49" s="9">
        <f t="shared" si="0"/>
        <v>3.9459867066291565E-3</v>
      </c>
      <c r="F49" s="5">
        <f t="shared" si="1"/>
        <v>7.1027760719324817</v>
      </c>
    </row>
    <row r="50" spans="1:6" x14ac:dyDescent="0.3">
      <c r="A50" s="6">
        <f t="shared" si="4"/>
        <v>1900</v>
      </c>
      <c r="B50" s="6">
        <v>10.447433809742295</v>
      </c>
      <c r="C50" s="6">
        <v>14.22265625</v>
      </c>
      <c r="D50" s="8">
        <v>10.450583572185572</v>
      </c>
      <c r="E50" s="9">
        <f t="shared" si="0"/>
        <v>3.1497624432770266E-3</v>
      </c>
      <c r="F50" s="5">
        <f t="shared" si="1"/>
        <v>5.9845486422263505</v>
      </c>
    </row>
    <row r="51" spans="1:6" x14ac:dyDescent="0.3">
      <c r="A51" s="6">
        <f t="shared" si="4"/>
        <v>2000</v>
      </c>
      <c r="B51" s="6">
        <v>10.447831947832821</v>
      </c>
      <c r="C51" s="6">
        <v>15.31640625</v>
      </c>
      <c r="D51" s="8">
        <v>10.450583572185572</v>
      </c>
      <c r="E51" s="9">
        <f t="shared" si="0"/>
        <v>2.7516243527507811E-3</v>
      </c>
      <c r="F51" s="5">
        <f t="shared" si="1"/>
        <v>5.5032487055015622</v>
      </c>
    </row>
    <row r="52" spans="1:6" x14ac:dyDescent="0.3">
      <c r="A52" s="6">
        <f t="shared" si="4"/>
        <v>2100</v>
      </c>
      <c r="B52" s="6">
        <v>10.447910429170538</v>
      </c>
      <c r="C52" s="6">
        <v>16.625</v>
      </c>
      <c r="D52" s="8">
        <v>10.450583572185572</v>
      </c>
      <c r="E52" s="9">
        <f t="shared" si="0"/>
        <v>2.6731430150341851E-3</v>
      </c>
      <c r="F52" s="5">
        <f t="shared" si="1"/>
        <v>5.6136003315717886</v>
      </c>
    </row>
    <row r="53" spans="1:6" x14ac:dyDescent="0.3">
      <c r="A53" s="6">
        <f t="shared" si="4"/>
        <v>2200</v>
      </c>
      <c r="B53" s="6">
        <v>10.447731124887728</v>
      </c>
      <c r="C53" s="6">
        <v>18.375</v>
      </c>
      <c r="D53" s="8">
        <v>10.450583572185572</v>
      </c>
      <c r="E53" s="9">
        <f t="shared" si="0"/>
        <v>2.8524472978439519E-3</v>
      </c>
      <c r="F53" s="5">
        <f t="shared" si="1"/>
        <v>6.2753840552566942</v>
      </c>
    </row>
    <row r="54" spans="1:6" x14ac:dyDescent="0.3">
      <c r="A54" s="6">
        <f t="shared" si="4"/>
        <v>2300</v>
      </c>
      <c r="B54" s="6">
        <v>10.447343272762678</v>
      </c>
      <c r="C54" s="6">
        <v>19.7578125</v>
      </c>
      <c r="D54" s="8">
        <v>10.450583572185572</v>
      </c>
      <c r="E54" s="9">
        <f t="shared" si="0"/>
        <v>3.2402994228935E-3</v>
      </c>
      <c r="F54" s="5">
        <f t="shared" si="1"/>
        <v>7.4526886726550501</v>
      </c>
    </row>
    <row r="55" spans="1:6" x14ac:dyDescent="0.3">
      <c r="A55" s="6">
        <f t="shared" si="4"/>
        <v>2400</v>
      </c>
      <c r="B55" s="6">
        <v>10.447425945842401</v>
      </c>
      <c r="C55" s="6">
        <v>20.6796875</v>
      </c>
      <c r="D55" s="8">
        <v>10.450583572185572</v>
      </c>
      <c r="E55" s="9">
        <f t="shared" si="0"/>
        <v>3.1576263431709606E-3</v>
      </c>
      <c r="F55" s="5">
        <f t="shared" si="1"/>
        <v>7.5783032236103054</v>
      </c>
    </row>
    <row r="56" spans="1:6" x14ac:dyDescent="0.3">
      <c r="A56" s="6">
        <f t="shared" si="4"/>
        <v>2500</v>
      </c>
      <c r="B56" s="6">
        <v>10.448023411980241</v>
      </c>
      <c r="C56" s="6">
        <v>21.96484375</v>
      </c>
      <c r="D56" s="8">
        <v>10.450583572185572</v>
      </c>
      <c r="E56" s="9">
        <f t="shared" si="0"/>
        <v>2.5601602053306749E-3</v>
      </c>
      <c r="F56" s="5">
        <f t="shared" si="1"/>
        <v>6.4004005133266872</v>
      </c>
    </row>
  </sheetData>
  <mergeCells count="11">
    <mergeCell ref="A1:C3"/>
    <mergeCell ref="A5:F5"/>
    <mergeCell ref="H1:J3"/>
    <mergeCell ref="K33:O33"/>
    <mergeCell ref="H32:J34"/>
    <mergeCell ref="E6:E7"/>
    <mergeCell ref="F6:F7"/>
    <mergeCell ref="A6:A7"/>
    <mergeCell ref="B6:B7"/>
    <mergeCell ref="C6:C7"/>
    <mergeCell ref="D6:D7"/>
  </mergeCells>
  <conditionalFormatting sqref="A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StudyConvergence">
                <anchor moveWithCells="1" sizeWithCells="1">
                  <from>
                    <xdr:col>3</xdr:col>
                    <xdr:colOff>937260</xdr:colOff>
                    <xdr:row>0</xdr:row>
                    <xdr:rowOff>76200</xdr:rowOff>
                  </from>
                  <to>
                    <xdr:col>5</xdr:col>
                    <xdr:colOff>1211580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0DCD2-8E52-43C3-9D62-9746184DD861}">
  <sheetPr codeName="Sheet3">
    <tabColor rgb="FFFFFF99"/>
  </sheetPr>
  <dimension ref="A1:H37"/>
  <sheetViews>
    <sheetView topLeftCell="A6" zoomScaleNormal="100" workbookViewId="0">
      <selection activeCell="F3" sqref="F3"/>
    </sheetView>
  </sheetViews>
  <sheetFormatPr defaultColWidth="9" defaultRowHeight="14.4" x14ac:dyDescent="0.3"/>
  <cols>
    <col min="1" max="1" width="16" style="7" customWidth="1"/>
    <col min="2" max="2" width="14.6640625" style="7" customWidth="1"/>
    <col min="3" max="3" width="13" style="7" customWidth="1"/>
    <col min="4" max="4" width="15.109375" style="7" customWidth="1"/>
    <col min="5" max="5" width="15.44140625" style="7" customWidth="1"/>
    <col min="6" max="6" width="15.109375" style="7" customWidth="1"/>
    <col min="7" max="16384" width="9" style="7"/>
  </cols>
  <sheetData>
    <row r="1" spans="1:8" x14ac:dyDescent="0.3">
      <c r="A1" s="59" t="s">
        <v>49</v>
      </c>
      <c r="B1" s="59"/>
      <c r="C1" s="59"/>
    </row>
    <row r="2" spans="1:8" x14ac:dyDescent="0.3">
      <c r="A2" s="59"/>
      <c r="B2" s="59"/>
      <c r="C2" s="59"/>
    </row>
    <row r="3" spans="1:8" x14ac:dyDescent="0.3">
      <c r="A3" s="59"/>
      <c r="B3" s="59"/>
      <c r="C3" s="59"/>
    </row>
    <row r="4" spans="1:8" x14ac:dyDescent="0.3">
      <c r="H4" s="24"/>
    </row>
    <row r="5" spans="1:8" ht="16.2" thickBot="1" x14ac:dyDescent="0.35">
      <c r="A5" s="54" t="s">
        <v>44</v>
      </c>
      <c r="B5" s="54"/>
      <c r="C5" s="54"/>
      <c r="D5" s="54"/>
      <c r="E5" s="54"/>
      <c r="F5" s="54"/>
    </row>
    <row r="6" spans="1:8" ht="27.75" customHeight="1" x14ac:dyDescent="0.3">
      <c r="A6" s="19" t="s">
        <v>15</v>
      </c>
      <c r="B6" s="19" t="s">
        <v>36</v>
      </c>
      <c r="C6" s="19" t="s">
        <v>37</v>
      </c>
      <c r="D6" s="19" t="s">
        <v>50</v>
      </c>
      <c r="E6" s="19" t="s">
        <v>51</v>
      </c>
      <c r="F6" s="19" t="s">
        <v>52</v>
      </c>
    </row>
    <row r="7" spans="1:8" x14ac:dyDescent="0.3">
      <c r="A7" s="21">
        <v>85</v>
      </c>
      <c r="B7" s="22">
        <v>20.366520119990724</v>
      </c>
      <c r="C7" s="20">
        <v>20.469287921382392</v>
      </c>
      <c r="D7" s="20"/>
      <c r="E7" s="20"/>
      <c r="F7" s="20">
        <f t="shared" ref="F7:F37" si="0">B7-C7</f>
        <v>-0.10276780139166775</v>
      </c>
    </row>
    <row r="8" spans="1:8" x14ac:dyDescent="0.3">
      <c r="A8" s="21">
        <v>86</v>
      </c>
      <c r="B8" s="22">
        <v>19.561505487961583</v>
      </c>
      <c r="C8" s="20">
        <v>19.684873223299405</v>
      </c>
      <c r="D8" s="20">
        <f t="shared" ref="D8:D37" si="1">(B8-B7)/(A8-A7)</f>
        <v>-0.80501463202914181</v>
      </c>
      <c r="E8" s="20">
        <f t="shared" ref="E8:E37" si="2">(C8-C7)/(A8-A7)</f>
        <v>-0.78441469808298692</v>
      </c>
      <c r="F8" s="20">
        <f t="shared" si="0"/>
        <v>-0.12336773533782264</v>
      </c>
    </row>
    <row r="9" spans="1:8" x14ac:dyDescent="0.3">
      <c r="A9" s="21">
        <v>87</v>
      </c>
      <c r="B9" s="22">
        <v>18.798655898559591</v>
      </c>
      <c r="C9" s="20">
        <v>18.915116935418919</v>
      </c>
      <c r="D9" s="20">
        <f t="shared" si="1"/>
        <v>-0.76284958940199132</v>
      </c>
      <c r="E9" s="20">
        <f t="shared" si="2"/>
        <v>-0.76975628788048667</v>
      </c>
      <c r="F9" s="20">
        <f t="shared" si="0"/>
        <v>-0.11646103685932729</v>
      </c>
    </row>
    <row r="10" spans="1:8" x14ac:dyDescent="0.3">
      <c r="A10" s="21">
        <v>88</v>
      </c>
      <c r="B10" s="22">
        <v>18.056849814623561</v>
      </c>
      <c r="C10" s="20">
        <v>18.160602272205807</v>
      </c>
      <c r="D10" s="20">
        <f t="shared" si="1"/>
        <v>-0.74180608393603009</v>
      </c>
      <c r="E10" s="20">
        <f t="shared" si="2"/>
        <v>-0.75451466321311145</v>
      </c>
      <c r="F10" s="20">
        <f t="shared" si="0"/>
        <v>-0.10375245758224594</v>
      </c>
    </row>
    <row r="11" spans="1:8" x14ac:dyDescent="0.3">
      <c r="A11" s="21">
        <v>89</v>
      </c>
      <c r="B11" s="22">
        <v>17.315043730687513</v>
      </c>
      <c r="C11" s="20">
        <v>17.421876686290741</v>
      </c>
      <c r="D11" s="20">
        <f t="shared" si="1"/>
        <v>-0.74180608393604786</v>
      </c>
      <c r="E11" s="20">
        <f t="shared" si="2"/>
        <v>-0.73872558591506632</v>
      </c>
      <c r="F11" s="20">
        <f t="shared" si="0"/>
        <v>-0.10683295560322748</v>
      </c>
    </row>
    <row r="12" spans="1:8" x14ac:dyDescent="0.3">
      <c r="A12" s="21">
        <v>90</v>
      </c>
      <c r="B12" s="22">
        <v>16.573237646751469</v>
      </c>
      <c r="C12" s="20">
        <v>16.699448408416004</v>
      </c>
      <c r="D12" s="20">
        <f t="shared" si="1"/>
        <v>-0.7418060839360443</v>
      </c>
      <c r="E12" s="20">
        <f t="shared" si="2"/>
        <v>-0.72242827787473729</v>
      </c>
      <c r="F12" s="20">
        <f t="shared" si="0"/>
        <v>-0.12621076166453449</v>
      </c>
    </row>
    <row r="13" spans="1:8" x14ac:dyDescent="0.3">
      <c r="A13" s="21">
        <v>91</v>
      </c>
      <c r="B13" s="22">
        <v>15.856829088821248</v>
      </c>
      <c r="C13" s="20">
        <v>15.993783412869739</v>
      </c>
      <c r="D13" s="20">
        <f t="shared" si="1"/>
        <v>-0.71640855793022062</v>
      </c>
      <c r="E13" s="20">
        <f t="shared" si="2"/>
        <v>-0.70566499554626461</v>
      </c>
      <c r="F13" s="20">
        <f t="shared" si="0"/>
        <v>-0.13695432404849051</v>
      </c>
    </row>
    <row r="14" spans="1:8" x14ac:dyDescent="0.3">
      <c r="A14" s="21">
        <v>92</v>
      </c>
      <c r="B14" s="22">
        <v>15.191444732557589</v>
      </c>
      <c r="C14" s="20">
        <v>15.30530283124774</v>
      </c>
      <c r="D14" s="20">
        <f t="shared" si="1"/>
        <v>-0.66538435626365988</v>
      </c>
      <c r="E14" s="20">
        <f t="shared" si="2"/>
        <v>-0.68848058162199877</v>
      </c>
      <c r="F14" s="20">
        <f t="shared" si="0"/>
        <v>-0.11385809869015162</v>
      </c>
    </row>
    <row r="15" spans="1:8" x14ac:dyDescent="0.3">
      <c r="A15" s="21">
        <v>93</v>
      </c>
      <c r="B15" s="22">
        <v>14.52606037629392</v>
      </c>
      <c r="C15" s="20">
        <v>14.634380829224455</v>
      </c>
      <c r="D15" s="20">
        <f t="shared" si="1"/>
        <v>-0.66538435626366876</v>
      </c>
      <c r="E15" s="20">
        <f t="shared" si="2"/>
        <v>-0.67092200202328556</v>
      </c>
      <c r="F15" s="20">
        <f t="shared" si="0"/>
        <v>-0.10832045293053483</v>
      </c>
    </row>
    <row r="16" spans="1:8" x14ac:dyDescent="0.3">
      <c r="A16" s="21">
        <v>94</v>
      </c>
      <c r="B16" s="22">
        <v>13.860676020030258</v>
      </c>
      <c r="C16" s="20">
        <v>13.981342953152167</v>
      </c>
      <c r="D16" s="20">
        <f t="shared" si="1"/>
        <v>-0.66538435626366166</v>
      </c>
      <c r="E16" s="20">
        <f t="shared" si="2"/>
        <v>-0.65303787607228792</v>
      </c>
      <c r="F16" s="20">
        <f t="shared" si="0"/>
        <v>-0.12066693312190857</v>
      </c>
    </row>
    <row r="17" spans="1:6" x14ac:dyDescent="0.3">
      <c r="A17" s="21">
        <v>95</v>
      </c>
      <c r="B17" s="22">
        <v>13.1952916637666</v>
      </c>
      <c r="C17" s="20">
        <v>13.346464945879587</v>
      </c>
      <c r="D17" s="20">
        <f t="shared" si="1"/>
        <v>-0.66538435626365811</v>
      </c>
      <c r="E17" s="20">
        <f t="shared" si="2"/>
        <v>-0.63487800727257948</v>
      </c>
      <c r="F17" s="20">
        <f t="shared" si="0"/>
        <v>-0.1511732821129872</v>
      </c>
    </row>
    <row r="18" spans="1:6" x14ac:dyDescent="0.3">
      <c r="A18" s="21">
        <v>96</v>
      </c>
      <c r="B18" s="22">
        <v>12.59769203948361</v>
      </c>
      <c r="C18" s="20">
        <v>12.729972024313961</v>
      </c>
      <c r="D18" s="20">
        <f t="shared" si="1"/>
        <v>-0.5975996242829904</v>
      </c>
      <c r="E18" s="20">
        <f t="shared" si="2"/>
        <v>-0.61649292156562652</v>
      </c>
      <c r="F18" s="20">
        <f t="shared" si="0"/>
        <v>-0.13227998483035108</v>
      </c>
    </row>
    <row r="19" spans="1:6" x14ac:dyDescent="0.3">
      <c r="A19" s="21">
        <v>97</v>
      </c>
      <c r="B19" s="22">
        <v>12.019217472106591</v>
      </c>
      <c r="C19" s="20">
        <v>12.132038605032154</v>
      </c>
      <c r="D19" s="20">
        <f t="shared" si="1"/>
        <v>-0.57847456737701819</v>
      </c>
      <c r="E19" s="20">
        <f t="shared" si="2"/>
        <v>-0.59793341928180688</v>
      </c>
      <c r="F19" s="20">
        <f t="shared" si="0"/>
        <v>-0.1128211329255624</v>
      </c>
    </row>
    <row r="20" spans="1:6" x14ac:dyDescent="0.3">
      <c r="A20" s="21">
        <v>98</v>
      </c>
      <c r="B20" s="22">
        <v>11.440742904729568</v>
      </c>
      <c r="C20" s="20">
        <v>11.552788458748998</v>
      </c>
      <c r="D20" s="20">
        <f t="shared" si="1"/>
        <v>-0.57847456737702352</v>
      </c>
      <c r="E20" s="20">
        <f t="shared" si="2"/>
        <v>-0.5792501462831563</v>
      </c>
      <c r="F20" s="20">
        <f t="shared" si="0"/>
        <v>-0.11204555401942962</v>
      </c>
    </row>
    <row r="21" spans="1:6" x14ac:dyDescent="0.3">
      <c r="A21" s="21">
        <v>99</v>
      </c>
      <c r="B21" s="22">
        <v>10.862268337352548</v>
      </c>
      <c r="C21" s="20">
        <v>10.992295269717351</v>
      </c>
      <c r="D21" s="20">
        <f t="shared" si="1"/>
        <v>-0.57847456737701997</v>
      </c>
      <c r="E21" s="20">
        <f t="shared" si="2"/>
        <v>-0.56049318903164647</v>
      </c>
      <c r="F21" s="20">
        <f t="shared" si="0"/>
        <v>-0.13002693236480312</v>
      </c>
    </row>
    <row r="22" spans="1:6" x14ac:dyDescent="0.3">
      <c r="A22" s="21">
        <v>100</v>
      </c>
      <c r="B22" s="22">
        <v>10.283793769975523</v>
      </c>
      <c r="C22" s="20">
        <v>10.45058357218557</v>
      </c>
      <c r="D22" s="20">
        <f t="shared" si="1"/>
        <v>-0.57847456737702529</v>
      </c>
      <c r="E22" s="20">
        <f t="shared" si="2"/>
        <v>-0.54171169753178106</v>
      </c>
      <c r="F22" s="20">
        <f t="shared" si="0"/>
        <v>-0.16678980221004736</v>
      </c>
    </row>
    <row r="23" spans="1:6" x14ac:dyDescent="0.3">
      <c r="A23" s="21">
        <v>101</v>
      </c>
      <c r="B23" s="22">
        <v>9.7981908698382618</v>
      </c>
      <c r="C23" s="20">
        <v>9.9276300328769427</v>
      </c>
      <c r="D23" s="20">
        <f t="shared" si="1"/>
        <v>-0.48560290013726082</v>
      </c>
      <c r="E23" s="20">
        <f t="shared" si="2"/>
        <v>-0.52295353930862731</v>
      </c>
      <c r="F23" s="20">
        <f t="shared" si="0"/>
        <v>-0.12943916303868086</v>
      </c>
    </row>
    <row r="24" spans="1:6" x14ac:dyDescent="0.3">
      <c r="A24" s="21">
        <v>102</v>
      </c>
      <c r="B24" s="22">
        <v>9.3126828438824951</v>
      </c>
      <c r="C24" s="20">
        <v>9.4233650460651326</v>
      </c>
      <c r="D24" s="20">
        <f t="shared" si="1"/>
        <v>-0.4855080259557667</v>
      </c>
      <c r="E24" s="20">
        <f t="shared" si="2"/>
        <v>-0.50426498681181009</v>
      </c>
      <c r="F24" s="20">
        <f t="shared" si="0"/>
        <v>-0.11068220218263747</v>
      </c>
    </row>
    <row r="25" spans="1:6" x14ac:dyDescent="0.3">
      <c r="A25" s="21">
        <v>103</v>
      </c>
      <c r="B25" s="22">
        <v>8.8271748179267284</v>
      </c>
      <c r="C25" s="20">
        <v>8.9376746061685832</v>
      </c>
      <c r="D25" s="20">
        <f t="shared" si="1"/>
        <v>-0.4855080259557667</v>
      </c>
      <c r="E25" s="20">
        <f t="shared" si="2"/>
        <v>-0.48569043989654936</v>
      </c>
      <c r="F25" s="20">
        <f t="shared" si="0"/>
        <v>-0.1104997882418548</v>
      </c>
    </row>
    <row r="26" spans="1:6" x14ac:dyDescent="0.3">
      <c r="A26" s="21">
        <v>104</v>
      </c>
      <c r="B26" s="22">
        <v>8.3416667919709528</v>
      </c>
      <c r="C26" s="20">
        <v>8.4704024218311282</v>
      </c>
      <c r="D26" s="20">
        <f t="shared" si="1"/>
        <v>-0.48550802595577558</v>
      </c>
      <c r="E26" s="20">
        <f t="shared" si="2"/>
        <v>-0.46727218433745499</v>
      </c>
      <c r="F26" s="20">
        <f t="shared" si="0"/>
        <v>-0.12873562986017539</v>
      </c>
    </row>
    <row r="27" spans="1:6" x14ac:dyDescent="0.3">
      <c r="A27" s="21">
        <v>105</v>
      </c>
      <c r="B27" s="22">
        <v>7.8561587660151861</v>
      </c>
      <c r="C27" s="20">
        <v>8.0213522351431781</v>
      </c>
      <c r="D27" s="20">
        <f t="shared" si="1"/>
        <v>-0.4855080259557667</v>
      </c>
      <c r="E27" s="20">
        <f t="shared" si="2"/>
        <v>-0.44905018668795016</v>
      </c>
      <c r="F27" s="20">
        <f t="shared" si="0"/>
        <v>-0.16519346912799193</v>
      </c>
    </row>
    <row r="28" spans="1:6" x14ac:dyDescent="0.3">
      <c r="A28" s="21">
        <v>106</v>
      </c>
      <c r="B28" s="22">
        <v>7.4621275423418423</v>
      </c>
      <c r="C28" s="20">
        <v>7.5902903099255745</v>
      </c>
      <c r="D28" s="20">
        <f t="shared" si="1"/>
        <v>-0.39403122367334387</v>
      </c>
      <c r="E28" s="20">
        <f t="shared" si="2"/>
        <v>-0.43106192521760356</v>
      </c>
      <c r="F28" s="20">
        <f t="shared" si="0"/>
        <v>-0.12816276758373224</v>
      </c>
    </row>
    <row r="29" spans="1:6" x14ac:dyDescent="0.3">
      <c r="A29" s="21">
        <v>107</v>
      </c>
      <c r="B29" s="22">
        <v>7.0701574335963224</v>
      </c>
      <c r="C29" s="20">
        <v>7.1769480537820058</v>
      </c>
      <c r="D29" s="20">
        <f t="shared" si="1"/>
        <v>-0.39197010874551985</v>
      </c>
      <c r="E29" s="20">
        <f t="shared" si="2"/>
        <v>-0.41334225614356868</v>
      </c>
      <c r="F29" s="20">
        <f t="shared" si="0"/>
        <v>-0.10679062018568342</v>
      </c>
    </row>
    <row r="30" spans="1:6" x14ac:dyDescent="0.3">
      <c r="A30" s="21">
        <v>108</v>
      </c>
      <c r="B30" s="22">
        <v>6.6781873248508008</v>
      </c>
      <c r="C30" s="20">
        <v>6.7810247398570507</v>
      </c>
      <c r="D30" s="20">
        <f t="shared" si="1"/>
        <v>-0.39197010874552163</v>
      </c>
      <c r="E30" s="20">
        <f t="shared" si="2"/>
        <v>-0.39592331392495517</v>
      </c>
      <c r="F30" s="20">
        <f t="shared" si="0"/>
        <v>-0.10283741500624988</v>
      </c>
    </row>
    <row r="31" spans="1:6" x14ac:dyDescent="0.3">
      <c r="A31" s="21">
        <v>109</v>
      </c>
      <c r="B31" s="22">
        <v>6.2862172161052792</v>
      </c>
      <c r="C31" s="20">
        <v>6.4021902958462693</v>
      </c>
      <c r="D31" s="20">
        <f t="shared" si="1"/>
        <v>-0.39197010874552163</v>
      </c>
      <c r="E31" s="20">
        <f t="shared" si="2"/>
        <v>-0.37883444401078137</v>
      </c>
      <c r="F31" s="20">
        <f t="shared" si="0"/>
        <v>-0.11597307974099014</v>
      </c>
    </row>
    <row r="32" spans="1:6" x14ac:dyDescent="0.3">
      <c r="A32" s="21">
        <v>110</v>
      </c>
      <c r="B32" s="22">
        <v>5.8942471073597584</v>
      </c>
      <c r="C32" s="20">
        <v>6.040088129724241</v>
      </c>
      <c r="D32" s="20">
        <f t="shared" si="1"/>
        <v>-0.39197010874552074</v>
      </c>
      <c r="E32" s="20">
        <f t="shared" si="2"/>
        <v>-0.36210216612202828</v>
      </c>
      <c r="F32" s="20">
        <f t="shared" si="0"/>
        <v>-0.1458410223644826</v>
      </c>
    </row>
    <row r="33" spans="1:6" x14ac:dyDescent="0.3">
      <c r="A33" s="21">
        <v>111</v>
      </c>
      <c r="B33" s="22">
        <v>5.5646713935287906</v>
      </c>
      <c r="C33" s="20">
        <v>5.694337963819903</v>
      </c>
      <c r="D33" s="20">
        <f t="shared" si="1"/>
        <v>-0.32957571383096784</v>
      </c>
      <c r="E33" s="20">
        <f t="shared" si="2"/>
        <v>-0.34575016590433805</v>
      </c>
      <c r="F33" s="20">
        <f t="shared" si="0"/>
        <v>-0.12966657029111239</v>
      </c>
    </row>
    <row r="34" spans="1:6" x14ac:dyDescent="0.3">
      <c r="A34" s="21">
        <v>112</v>
      </c>
      <c r="B34" s="22">
        <v>5.2612231745919056</v>
      </c>
      <c r="C34" s="20">
        <v>5.3645386512139188</v>
      </c>
      <c r="D34" s="20">
        <f t="shared" si="1"/>
        <v>-0.30344821893688501</v>
      </c>
      <c r="E34" s="20">
        <f t="shared" si="2"/>
        <v>-0.32979931260598416</v>
      </c>
      <c r="F34" s="20">
        <f t="shared" si="0"/>
        <v>-0.10331547662201324</v>
      </c>
    </row>
    <row r="35" spans="1:6" x14ac:dyDescent="0.3">
      <c r="A35" s="21">
        <v>113</v>
      </c>
      <c r="B35" s="22">
        <v>4.9577749556550206</v>
      </c>
      <c r="C35" s="20">
        <v>5.0502709509006536</v>
      </c>
      <c r="D35" s="20">
        <f t="shared" si="1"/>
        <v>-0.30344821893688501</v>
      </c>
      <c r="E35" s="20">
        <f t="shared" si="2"/>
        <v>-0.31426770031326523</v>
      </c>
      <c r="F35" s="20">
        <f t="shared" si="0"/>
        <v>-9.2495995245633011E-2</v>
      </c>
    </row>
    <row r="36" spans="1:6" x14ac:dyDescent="0.3">
      <c r="A36" s="21">
        <v>114</v>
      </c>
      <c r="B36" s="22">
        <v>4.6543267367181373</v>
      </c>
      <c r="C36" s="20">
        <v>4.7511002406963243</v>
      </c>
      <c r="D36" s="20">
        <f t="shared" si="1"/>
        <v>-0.30344821893688323</v>
      </c>
      <c r="E36" s="20">
        <f t="shared" si="2"/>
        <v>-0.29917071020432928</v>
      </c>
      <c r="F36" s="20">
        <f t="shared" si="0"/>
        <v>-9.6773503978186959E-2</v>
      </c>
    </row>
    <row r="37" spans="1:6" x14ac:dyDescent="0.3">
      <c r="A37" s="21">
        <v>115</v>
      </c>
      <c r="B37" s="22">
        <v>4.3508785177812541</v>
      </c>
      <c r="C37" s="20">
        <v>4.4665791494349527</v>
      </c>
      <c r="D37" s="20">
        <f t="shared" si="1"/>
        <v>-0.30344821893688323</v>
      </c>
      <c r="E37" s="20">
        <f t="shared" si="2"/>
        <v>-0.28452109126137159</v>
      </c>
      <c r="F37" s="20">
        <f t="shared" si="0"/>
        <v>-0.11570063165369859</v>
      </c>
    </row>
  </sheetData>
  <mergeCells count="2">
    <mergeCell ref="A1:C3"/>
    <mergeCell ref="A5:F5"/>
  </mergeCells>
  <conditionalFormatting sqref="A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StudyGap">
                <anchor moveWithCells="1" sizeWithCells="1">
                  <from>
                    <xdr:col>3</xdr:col>
                    <xdr:colOff>1036320</xdr:colOff>
                    <xdr:row>0</xdr:row>
                    <xdr:rowOff>76200</xdr:rowOff>
                  </from>
                  <to>
                    <xdr:col>5</xdr:col>
                    <xdr:colOff>1066800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30</vt:i4>
      </vt:variant>
    </vt:vector>
  </HeadingPairs>
  <TitlesOfParts>
    <vt:vector size="36" baseType="lpstr">
      <vt:lpstr>Interface</vt:lpstr>
      <vt:lpstr>UnderlyingPlot</vt:lpstr>
      <vt:lpstr>OptionPricePlot</vt:lpstr>
      <vt:lpstr>NodeProbaPlot</vt:lpstr>
      <vt:lpstr>Convergence Study</vt:lpstr>
      <vt:lpstr>Gap Study</vt:lpstr>
      <vt:lpstr>begin_plot</vt:lpstr>
      <vt:lpstr>begin_proba_plot</vt:lpstr>
      <vt:lpstr>begin_undl_plot</vt:lpstr>
      <vt:lpstr>IBSPrice</vt:lpstr>
      <vt:lpstr>IDelta</vt:lpstr>
      <vt:lpstr>IDiv</vt:lpstr>
      <vt:lpstr>IDivDate</vt:lpstr>
      <vt:lpstr>IEndDate</vt:lpstr>
      <vt:lpstr>IExerciseType</vt:lpstr>
      <vt:lpstr>IGamma</vt:lpstr>
      <vt:lpstr>IGreeks</vt:lpstr>
      <vt:lpstr>IMaturity</vt:lpstr>
      <vt:lpstr>INbSteps</vt:lpstr>
      <vt:lpstr>IOptionType</vt:lpstr>
      <vt:lpstr>IPriceTime</vt:lpstr>
      <vt:lpstr>IPrunning</vt:lpstr>
      <vt:lpstr>IRate</vt:lpstr>
      <vt:lpstr>IRho</vt:lpstr>
      <vt:lpstr>IShowTree</vt:lpstr>
      <vt:lpstr>ISpot</vt:lpstr>
      <vt:lpstr>IStartDate</vt:lpstr>
      <vt:lpstr>IStrike</vt:lpstr>
      <vt:lpstr>ITheta</vt:lpstr>
      <vt:lpstr>ITimeTree</vt:lpstr>
      <vt:lpstr>ITotalTime</vt:lpstr>
      <vt:lpstr>ITreePrice</vt:lpstr>
      <vt:lpstr>IVega</vt:lpstr>
      <vt:lpstr>IVol</vt:lpstr>
      <vt:lpstr>StepRange</vt:lpstr>
      <vt:lpstr>StrikeRange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CHARBONNIER Thibault</dc:creator>
  <cp:lastModifiedBy>DUFOUR Baptiste</cp:lastModifiedBy>
  <dcterms:created xsi:type="dcterms:W3CDTF">2024-09-02T18:05:29Z</dcterms:created>
  <dcterms:modified xsi:type="dcterms:W3CDTF">2024-10-11T18:07:31Z</dcterms:modified>
</cp:coreProperties>
</file>