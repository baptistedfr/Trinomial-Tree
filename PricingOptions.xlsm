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4350A99D-478B-41BA-924E-6DD0D4B69F39}" xr6:coauthVersionLast="47" xr6:coauthVersionMax="47" xr10:uidLastSave="{00000000-0000-0000-0000-000000000000}"/>
  <bookViews>
    <workbookView xWindow="-108" yWindow="-108" windowWidth="23256" windowHeight="12456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Greeks" sheetId="12" r:id="rId5"/>
    <sheet name="Convergence Study" sheetId="3" r:id="rId6"/>
    <sheet name="Gap Study" sheetId="11" r:id="rId7"/>
  </sheets>
  <functionGroups builtInGroupCount="19"/>
  <definedNames>
    <definedName name="_xleta.N" hidden="1" xlm="1">#NAME?</definedName>
    <definedName name="begin_plot">OptionPricePlot!$A$3</definedName>
    <definedName name="begin_proba_plot">NodeProbaPlot!$A$4</definedName>
    <definedName name="begin_undl_plot">UnderlyingPlot!$A$3</definedName>
    <definedName name="BSDelta">Interface!$N$21</definedName>
    <definedName name="BSGamma">Interface!$N$23</definedName>
    <definedName name="BSRho">Interface!$N$29</definedName>
    <definedName name="BSTheta">Interface!$N$27</definedName>
    <definedName name="BSVega">Interface!$N$25</definedName>
    <definedName name="IBSPrice">Interface!$E$24</definedName>
    <definedName name="IDelta">Interface!$L$21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Interface!$L$23</definedName>
    <definedName name="IGreeks">Interface!$M$8</definedName>
    <definedName name="IMaturity">Interface!$E$13</definedName>
    <definedName name="INbSteps">Interface!$E$18</definedName>
    <definedName name="IOptionType">Interface!$E$15</definedName>
    <definedName name="IPrecision">Interface!$E$19</definedName>
    <definedName name="IPriceTime">Interface!$E$27</definedName>
    <definedName name="IPrunning">Interface!$E$20</definedName>
    <definedName name="IPrunningTreshold">Interface!$E$21</definedName>
    <definedName name="IPythonPrice">Interface!$E$29</definedName>
    <definedName name="IPythonPriceTime">Interface!$E$31</definedName>
    <definedName name="IPythonPriceTreeMemory">Interface!$E$33</definedName>
    <definedName name="IPythonTimeTree">Interface!$E$30</definedName>
    <definedName name="IPythonTimeTreeMemory">Interface!$E$34</definedName>
    <definedName name="IPythonTotalTime">Interface!$E$32</definedName>
    <definedName name="IRate">Interface!$E$8</definedName>
    <definedName name="IRho">Interface!$L$29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Interface!$L$27</definedName>
    <definedName name="ITimeTree">Interface!$E$26</definedName>
    <definedName name="ITotalTime">Interface!$E$28</definedName>
    <definedName name="ITreePrice">Interface!$E$23</definedName>
    <definedName name="IVega">Interface!$L$25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0" l="1"/>
  <c r="E18" i="10" s="1"/>
  <c r="E21" i="10"/>
  <c r="E13" i="10" l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F52" i="3" s="1"/>
  <c r="E53" i="3"/>
  <c r="F53" i="3" s="1"/>
  <c r="E54" i="3"/>
  <c r="F54" i="3" s="1"/>
  <c r="E55" i="3"/>
  <c r="F55" i="3" s="1"/>
  <c r="E56" i="3"/>
  <c r="F56" i="3" s="1"/>
  <c r="E8" i="3"/>
  <c r="F8" i="3" s="1"/>
  <c r="E32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28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E25" i="10" l="1"/>
</calcChain>
</file>

<file path=xl/sharedStrings.xml><?xml version="1.0" encoding="utf-8"?>
<sst xmlns="http://schemas.openxmlformats.org/spreadsheetml/2006/main" count="89" uniqueCount="69">
  <si>
    <t>Inputs</t>
  </si>
  <si>
    <t>Type</t>
  </si>
  <si>
    <t>Execution Time</t>
  </si>
  <si>
    <t>Div Date</t>
  </si>
  <si>
    <t>Start Date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</si>
  <si>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</si>
  <si>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</si>
  <si>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</si>
  <si>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</si>
  <si>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</si>
  <si>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</si>
  <si>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</si>
  <si>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</si>
  <si>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</si>
  <si>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</si>
  <si>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</si>
  <si>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</si>
  <si>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</si>
  <si>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</si>
  <si>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</si>
  <si>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</si>
  <si>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</si>
  <si>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</si>
  <si>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</si>
  <si>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</si>
  <si>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</si>
  <si>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</si>
  <si>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</si>
  <si>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</si>
  <si>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</si>
  <si>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</si>
  <si>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</si>
  <si>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</si>
  <si>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</si>
  <si>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</si>
  <si>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</si>
  <si>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</si>
  <si>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</si>
  <si>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</si>
  <si>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</si>
  <si>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Gap Study</t>
  </si>
  <si>
    <t>Slope Tree</t>
  </si>
  <si>
    <t>Slope B&amp;S</t>
  </si>
  <si>
    <t>Tree - B&amp;S</t>
  </si>
  <si>
    <t>End Date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</si>
  <si>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</si>
  <si>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</si>
  <si>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</si>
  <si>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</si>
  <si>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</si>
  <si>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</si>
  <si>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</si>
  <si>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</si>
  <si>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Call</t>
  </si>
  <si>
    <t>Memory Alloc Time</t>
  </si>
  <si>
    <t>Memory Alloc Price</t>
  </si>
  <si>
    <t>Greeks Tree</t>
  </si>
  <si>
    <t>Greeks B&amp;S</t>
  </si>
  <si>
    <t>Prunning Treshold</t>
  </si>
  <si>
    <t>**</t>
  </si>
  <si>
    <t>Precision</t>
  </si>
  <si>
    <t>Mode (*)</t>
  </si>
  <si>
    <t>NbSteps (**)</t>
  </si>
  <si>
    <t>Relative Error (***)</t>
  </si>
  <si>
    <t>***</t>
  </si>
  <si>
    <t>*  Choose between manuel selection of number of step and calculatation from precision</t>
  </si>
  <si>
    <t>N/A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</si>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</sst>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%"/>
    <numFmt numFmtId="166" formatCode="0.000000"/>
    <numFmt numFmtId="167" formatCode="0.00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.5"/>
      <color theme="1"/>
      <name val="Aptos Narrow"/>
      <family val="2"/>
      <scheme val="minor"/>
    </font>
    <font>
      <b/>
      <sz val="11.5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3">
    <xf numFmtId="0" fontId="0" fillId="0" borderId="0" xfId="0"/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vertical="center"/>
    </xf>
    <xf numFmtId="0" fontId="0" fillId="12" borderId="0" xfId="0" applyFill="1"/>
    <xf numFmtId="0" fontId="3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0" fontId="0" fillId="10" borderId="15" xfId="0" applyFill="1" applyBorder="1" applyAlignment="1">
      <alignment horizontal="center" vertical="center"/>
    </xf>
    <xf numFmtId="0" fontId="9" fillId="5" borderId="16" xfId="0" applyFont="1" applyFill="1" applyBorder="1" applyAlignment="1">
      <alignment horizontal="right"/>
    </xf>
    <xf numFmtId="9" fontId="9" fillId="5" borderId="17" xfId="1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4" fontId="9" fillId="5" borderId="17" xfId="0" applyNumberFormat="1" applyFont="1" applyFill="1" applyBorder="1" applyAlignment="1">
      <alignment horizontal="right"/>
    </xf>
    <xf numFmtId="167" fontId="10" fillId="3" borderId="16" xfId="0" applyNumberFormat="1" applyFont="1" applyFill="1" applyBorder="1" applyAlignment="1">
      <alignment vertical="center"/>
    </xf>
    <xf numFmtId="167" fontId="10" fillId="3" borderId="17" xfId="0" applyNumberFormat="1" applyFont="1" applyFill="1" applyBorder="1" applyAlignment="1">
      <alignment vertical="center"/>
    </xf>
    <xf numFmtId="165" fontId="9" fillId="5" borderId="17" xfId="1" applyNumberFormat="1" applyFont="1" applyFill="1" applyBorder="1" applyAlignment="1">
      <alignment horizontal="right" vertical="center"/>
    </xf>
    <xf numFmtId="2" fontId="9" fillId="5" borderId="17" xfId="0" applyNumberFormat="1" applyFont="1" applyFill="1" applyBorder="1" applyAlignment="1">
      <alignment vertical="center"/>
    </xf>
    <xf numFmtId="2" fontId="10" fillId="3" borderId="17" xfId="0" applyNumberFormat="1" applyFont="1" applyFill="1" applyBorder="1" applyAlignment="1">
      <alignment vertical="center"/>
    </xf>
    <xf numFmtId="2" fontId="10" fillId="3" borderId="18" xfId="0" applyNumberFormat="1" applyFont="1" applyFill="1" applyBorder="1" applyAlignment="1">
      <alignment vertical="center"/>
    </xf>
    <xf numFmtId="0" fontId="0" fillId="10" borderId="0" xfId="0" applyFill="1" applyAlignment="1">
      <alignment horizontal="center" vertical="center"/>
    </xf>
    <xf numFmtId="11" fontId="9" fillId="5" borderId="17" xfId="0" applyNumberFormat="1" applyFont="1" applyFill="1" applyBorder="1" applyAlignment="1">
      <alignment horizontal="right"/>
    </xf>
    <xf numFmtId="20" fontId="0" fillId="12" borderId="0" xfId="0" applyNumberFormat="1" applyFill="1"/>
    <xf numFmtId="0" fontId="9" fillId="12" borderId="0" xfId="0" applyFont="1" applyFill="1" applyAlignment="1">
      <alignment horizontal="right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165" fontId="0" fillId="12" borderId="0" xfId="1" applyNumberFormat="1" applyFont="1" applyFill="1"/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left"/>
    </xf>
    <xf numFmtId="164" fontId="9" fillId="12" borderId="17" xfId="0" applyNumberFormat="1" applyFont="1" applyFill="1" applyBorder="1" applyAlignment="1">
      <alignment horizontal="right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10" borderId="21" xfId="0" applyFill="1" applyBorder="1" applyAlignment="1">
      <alignment horizontal="center" vertical="center"/>
    </xf>
    <xf numFmtId="11" fontId="0" fillId="0" borderId="18" xfId="0" applyNumberFormat="1" applyBorder="1" applyAlignment="1" applyProtection="1">
      <alignment horizontal="right"/>
      <protection locked="0"/>
    </xf>
    <xf numFmtId="0" fontId="0" fillId="0" borderId="17" xfId="0" applyBorder="1" applyProtection="1">
      <protection locked="0"/>
    </xf>
    <xf numFmtId="0" fontId="9" fillId="14" borderId="17" xfId="0" applyFont="1" applyFill="1" applyBorder="1" applyAlignment="1">
      <alignment horizontal="right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167" fontId="0" fillId="5" borderId="0" xfId="0" applyNumberFormat="1" applyFill="1" applyAlignment="1">
      <alignment horizontal="center" vertical="center"/>
    </xf>
    <xf numFmtId="167" fontId="0" fillId="5" borderId="17" xfId="0" applyNumberFormat="1" applyFill="1" applyBorder="1" applyAlignment="1">
      <alignment horizontal="center" vertical="center"/>
    </xf>
    <xf numFmtId="167" fontId="0" fillId="5" borderId="5" xfId="0" applyNumberFormat="1" applyFill="1" applyBorder="1" applyAlignment="1">
      <alignment horizontal="center" vertical="center"/>
    </xf>
    <xf numFmtId="167" fontId="0" fillId="5" borderId="18" xfId="0" applyNumberFormat="1" applyFill="1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4" fillId="8" borderId="24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14" fontId="9" fillId="14" borderId="17" xfId="0" applyNumberFormat="1" applyFont="1" applyFill="1" applyBorder="1" applyAlignment="1" applyProtection="1">
      <alignment horizontal="right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7.4556203156786394</c:v>
                </c:pt>
                <c:pt idx="2">
                  <c:v>8.6865029435630827</c:v>
                </c:pt>
                <c:pt idx="3">
                  <c:v>8.7824491185268645</c:v>
                </c:pt>
                <c:pt idx="4">
                  <c:v>8.8020371984432302</c:v>
                </c:pt>
                <c:pt idx="5">
                  <c:v>8.7994472248351734</c:v>
                </c:pt>
                <c:pt idx="6">
                  <c:v>8.7902028923872191</c:v>
                </c:pt>
                <c:pt idx="7">
                  <c:v>8.7810145494414051</c:v>
                </c:pt>
                <c:pt idx="8">
                  <c:v>8.7743151433131903</c:v>
                </c:pt>
                <c:pt idx="9">
                  <c:v>8.7692222632524501</c:v>
                </c:pt>
                <c:pt idx="10">
                  <c:v>8.7651915692295876</c:v>
                </c:pt>
                <c:pt idx="11">
                  <c:v>8.7619001042636881</c:v>
                </c:pt>
                <c:pt idx="12">
                  <c:v>8.765536693150878</c:v>
                </c:pt>
                <c:pt idx="13">
                  <c:v>8.7688276238652794</c:v>
                </c:pt>
                <c:pt idx="14">
                  <c:v>8.7710000998718431</c:v>
                </c:pt>
                <c:pt idx="15">
                  <c:v>8.772420881385651</c:v>
                </c:pt>
                <c:pt idx="16">
                  <c:v>8.7733199881463229</c:v>
                </c:pt>
                <c:pt idx="17">
                  <c:v>8.7738499181173282</c:v>
                </c:pt>
                <c:pt idx="18">
                  <c:v>8.7741141618077148</c:v>
                </c:pt>
                <c:pt idx="19">
                  <c:v>8.7741841923863362</c:v>
                </c:pt>
                <c:pt idx="20">
                  <c:v>8.7741097615184351</c:v>
                </c:pt>
                <c:pt idx="21">
                  <c:v>8.7739291089108562</c:v>
                </c:pt>
                <c:pt idx="22">
                  <c:v>8.7736692135588754</c:v>
                </c:pt>
                <c:pt idx="23">
                  <c:v>8.7733505712813198</c:v>
                </c:pt>
                <c:pt idx="24">
                  <c:v>8.7729861367028033</c:v>
                </c:pt>
                <c:pt idx="25">
                  <c:v>8.7721714291857076</c:v>
                </c:pt>
                <c:pt idx="26">
                  <c:v>8.7712887404371571</c:v>
                </c:pt>
                <c:pt idx="27">
                  <c:v>8.7703777364179967</c:v>
                </c:pt>
                <c:pt idx="28">
                  <c:v>8.7694589653598456</c:v>
                </c:pt>
                <c:pt idx="29">
                  <c:v>8.7699661803644666</c:v>
                </c:pt>
                <c:pt idx="30">
                  <c:v>8.7708534696815583</c:v>
                </c:pt>
                <c:pt idx="31">
                  <c:v>8.7715016427306693</c:v>
                </c:pt>
                <c:pt idx="32">
                  <c:v>8.7719605294094318</c:v>
                </c:pt>
                <c:pt idx="33">
                  <c:v>8.7722706872699963</c:v>
                </c:pt>
                <c:pt idx="34">
                  <c:v>8.7724598562570346</c:v>
                </c:pt>
                <c:pt idx="35">
                  <c:v>8.772567231814703</c:v>
                </c:pt>
                <c:pt idx="36">
                  <c:v>8.7724158327280612</c:v>
                </c:pt>
                <c:pt idx="37">
                  <c:v>8.772094901105099</c:v>
                </c:pt>
                <c:pt idx="38">
                  <c:v>8.7716559900482736</c:v>
                </c:pt>
                <c:pt idx="39">
                  <c:v>8.7711452539444466</c:v>
                </c:pt>
                <c:pt idx="40">
                  <c:v>8.7705829466649181</c:v>
                </c:pt>
                <c:pt idx="41">
                  <c:v>8.7710751846186081</c:v>
                </c:pt>
                <c:pt idx="42">
                  <c:v>8.7715073012953031</c:v>
                </c:pt>
                <c:pt idx="43">
                  <c:v>8.7717948706955688</c:v>
                </c:pt>
                <c:pt idx="44">
                  <c:v>8.7719630442273164</c:v>
                </c:pt>
                <c:pt idx="45">
                  <c:v>8.7720372459838156</c:v>
                </c:pt>
                <c:pt idx="46">
                  <c:v>8.7720343969932344</c:v>
                </c:pt>
                <c:pt idx="47">
                  <c:v>8.7719688952755241</c:v>
                </c:pt>
                <c:pt idx="48">
                  <c:v>8.7718550958237831</c:v>
                </c:pt>
                <c:pt idx="49">
                  <c:v>8.7716996277476831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8.7718150942428643</c:v>
                </c:pt>
                <c:pt idx="2">
                  <c:v>8.7718150942428643</c:v>
                </c:pt>
                <c:pt idx="3">
                  <c:v>8.7718150942428643</c:v>
                </c:pt>
                <c:pt idx="4">
                  <c:v>8.7718150942428643</c:v>
                </c:pt>
                <c:pt idx="5">
                  <c:v>8.7718150942428643</c:v>
                </c:pt>
                <c:pt idx="6">
                  <c:v>8.7718150942428643</c:v>
                </c:pt>
                <c:pt idx="7">
                  <c:v>8.7718150942428643</c:v>
                </c:pt>
                <c:pt idx="8">
                  <c:v>8.7718150942428643</c:v>
                </c:pt>
                <c:pt idx="9">
                  <c:v>8.7718150942428643</c:v>
                </c:pt>
                <c:pt idx="10">
                  <c:v>8.7718150942428643</c:v>
                </c:pt>
                <c:pt idx="11">
                  <c:v>8.7718150942428643</c:v>
                </c:pt>
                <c:pt idx="12">
                  <c:v>8.7718150942428643</c:v>
                </c:pt>
                <c:pt idx="13">
                  <c:v>8.7718150942428643</c:v>
                </c:pt>
                <c:pt idx="14">
                  <c:v>8.7718150942428643</c:v>
                </c:pt>
                <c:pt idx="15">
                  <c:v>8.7718150942428643</c:v>
                </c:pt>
                <c:pt idx="16">
                  <c:v>8.7718150942428643</c:v>
                </c:pt>
                <c:pt idx="17">
                  <c:v>8.7718150942428643</c:v>
                </c:pt>
                <c:pt idx="18">
                  <c:v>8.7718150942428643</c:v>
                </c:pt>
                <c:pt idx="19">
                  <c:v>8.7718150942428643</c:v>
                </c:pt>
                <c:pt idx="20">
                  <c:v>8.7718150942428643</c:v>
                </c:pt>
                <c:pt idx="21">
                  <c:v>8.7718150942428643</c:v>
                </c:pt>
                <c:pt idx="22">
                  <c:v>8.7718150942428643</c:v>
                </c:pt>
                <c:pt idx="23">
                  <c:v>8.7718150942428643</c:v>
                </c:pt>
                <c:pt idx="24">
                  <c:v>8.7718150942428643</c:v>
                </c:pt>
                <c:pt idx="25">
                  <c:v>8.7718150942428643</c:v>
                </c:pt>
                <c:pt idx="26">
                  <c:v>8.7718150942428643</c:v>
                </c:pt>
                <c:pt idx="27">
                  <c:v>8.7718150942428643</c:v>
                </c:pt>
                <c:pt idx="28">
                  <c:v>8.7718150942428643</c:v>
                </c:pt>
                <c:pt idx="29">
                  <c:v>8.7718150942428643</c:v>
                </c:pt>
                <c:pt idx="30">
                  <c:v>8.7718150942428643</c:v>
                </c:pt>
                <c:pt idx="31">
                  <c:v>8.7718150942428643</c:v>
                </c:pt>
                <c:pt idx="32">
                  <c:v>8.7718150942428643</c:v>
                </c:pt>
                <c:pt idx="33">
                  <c:v>8.7718150942428643</c:v>
                </c:pt>
                <c:pt idx="34">
                  <c:v>8.7718150942428643</c:v>
                </c:pt>
                <c:pt idx="35">
                  <c:v>8.7718150942428643</c:v>
                </c:pt>
                <c:pt idx="36">
                  <c:v>8.7718150942428643</c:v>
                </c:pt>
                <c:pt idx="37">
                  <c:v>8.7718150942428643</c:v>
                </c:pt>
                <c:pt idx="38">
                  <c:v>8.7718150942428643</c:v>
                </c:pt>
                <c:pt idx="39">
                  <c:v>8.7718150942428643</c:v>
                </c:pt>
                <c:pt idx="40">
                  <c:v>8.7718150942428643</c:v>
                </c:pt>
                <c:pt idx="41">
                  <c:v>8.7718150942428643</c:v>
                </c:pt>
                <c:pt idx="42">
                  <c:v>8.7718150942428643</c:v>
                </c:pt>
                <c:pt idx="43">
                  <c:v>8.7718150942428643</c:v>
                </c:pt>
                <c:pt idx="44">
                  <c:v>8.7718150942428643</c:v>
                </c:pt>
                <c:pt idx="45">
                  <c:v>8.7718150942428643</c:v>
                </c:pt>
                <c:pt idx="46">
                  <c:v>8.7718150942428643</c:v>
                </c:pt>
                <c:pt idx="47">
                  <c:v>8.7718150942428643</c:v>
                </c:pt>
                <c:pt idx="48">
                  <c:v>8.7718150942428643</c:v>
                </c:pt>
                <c:pt idx="49">
                  <c:v>8.7718150942428643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7.8125E-3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7.8125E-3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7.03125E-2</c:v>
                      </c:pt>
                      <c:pt idx="11">
                        <c:v>8.59375E-2</c:v>
                      </c:pt>
                      <c:pt idx="12">
                        <c:v>0.109375</c:v>
                      </c:pt>
                      <c:pt idx="13">
                        <c:v>0.125</c:v>
                      </c:pt>
                      <c:pt idx="14">
                        <c:v>0.1328125</c:v>
                      </c:pt>
                      <c:pt idx="15">
                        <c:v>0.15625</c:v>
                      </c:pt>
                      <c:pt idx="16">
                        <c:v>0.1875</c:v>
                      </c:pt>
                      <c:pt idx="17">
                        <c:v>0.2109375</c:v>
                      </c:pt>
                      <c:pt idx="18">
                        <c:v>0.2265625</c:v>
                      </c:pt>
                      <c:pt idx="19">
                        <c:v>0.25</c:v>
                      </c:pt>
                      <c:pt idx="20">
                        <c:v>0.28125</c:v>
                      </c:pt>
                      <c:pt idx="21">
                        <c:v>0.2890625</c:v>
                      </c:pt>
                      <c:pt idx="22">
                        <c:v>0.3203125</c:v>
                      </c:pt>
                      <c:pt idx="23">
                        <c:v>0.34375</c:v>
                      </c:pt>
                      <c:pt idx="24">
                        <c:v>0.3828125</c:v>
                      </c:pt>
                      <c:pt idx="25">
                        <c:v>0.515625</c:v>
                      </c:pt>
                      <c:pt idx="26">
                        <c:v>0.5</c:v>
                      </c:pt>
                      <c:pt idx="27">
                        <c:v>0.5546875</c:v>
                      </c:pt>
                      <c:pt idx="28">
                        <c:v>0.625</c:v>
                      </c:pt>
                      <c:pt idx="29">
                        <c:v>0.6953125</c:v>
                      </c:pt>
                      <c:pt idx="30">
                        <c:v>0.765625</c:v>
                      </c:pt>
                      <c:pt idx="31">
                        <c:v>0.828125</c:v>
                      </c:pt>
                      <c:pt idx="32">
                        <c:v>0.890625</c:v>
                      </c:pt>
                      <c:pt idx="33">
                        <c:v>1.03125</c:v>
                      </c:pt>
                      <c:pt idx="34">
                        <c:v>1.0234375</c:v>
                      </c:pt>
                      <c:pt idx="35">
                        <c:v>1.1953125</c:v>
                      </c:pt>
                      <c:pt idx="36">
                        <c:v>1.421875</c:v>
                      </c:pt>
                      <c:pt idx="37">
                        <c:v>1.546875</c:v>
                      </c:pt>
                      <c:pt idx="38">
                        <c:v>1.703125</c:v>
                      </c:pt>
                      <c:pt idx="39">
                        <c:v>1.90625</c:v>
                      </c:pt>
                      <c:pt idx="40">
                        <c:v>2.1640625</c:v>
                      </c:pt>
                      <c:pt idx="41">
                        <c:v>2.2265625</c:v>
                      </c:pt>
                      <c:pt idx="42">
                        <c:v>2.453125</c:v>
                      </c:pt>
                      <c:pt idx="43">
                        <c:v>2.65625</c:v>
                      </c:pt>
                      <c:pt idx="44">
                        <c:v>2.8828125</c:v>
                      </c:pt>
                      <c:pt idx="45">
                        <c:v>3.09375</c:v>
                      </c:pt>
                      <c:pt idx="46">
                        <c:v>3.3125</c:v>
                      </c:pt>
                      <c:pt idx="47">
                        <c:v>3.4453125</c:v>
                      </c:pt>
                      <c:pt idx="48">
                        <c:v>3.765625</c:v>
                      </c:pt>
                      <c:pt idx="49">
                        <c:v>3.9765625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1.316194778564225</c:v>
                      </c:pt>
                      <c:pt idx="2">
                        <c:v>8.5312150679781595E-2</c:v>
                      </c:pt>
                      <c:pt idx="3">
                        <c:v>-1.0634024284000176E-2</c:v>
                      </c:pt>
                      <c:pt idx="4">
                        <c:v>-3.0222104200365862E-2</c:v>
                      </c:pt>
                      <c:pt idx="5">
                        <c:v>-2.7632130592309068E-2</c:v>
                      </c:pt>
                      <c:pt idx="6">
                        <c:v>-1.8387798144354761E-2</c:v>
                      </c:pt>
                      <c:pt idx="7">
                        <c:v>-9.1994551985408179E-3</c:v>
                      </c:pt>
                      <c:pt idx="8">
                        <c:v>-2.5000490703259715E-3</c:v>
                      </c:pt>
                      <c:pt idx="9">
                        <c:v>2.5928309904141855E-3</c:v>
                      </c:pt>
                      <c:pt idx="10">
                        <c:v>6.6235250132766765E-3</c:v>
                      </c:pt>
                      <c:pt idx="11">
                        <c:v>9.9149899791761698E-3</c:v>
                      </c:pt>
                      <c:pt idx="12">
                        <c:v>6.2784010919862965E-3</c:v>
                      </c:pt>
                      <c:pt idx="13">
                        <c:v>2.9874703775849554E-3</c:v>
                      </c:pt>
                      <c:pt idx="14">
                        <c:v>8.1499437102117156E-4</c:v>
                      </c:pt>
                      <c:pt idx="15">
                        <c:v>-6.0578714278669565E-4</c:v>
                      </c:pt>
                      <c:pt idx="16">
                        <c:v>-1.5048939034585374E-3</c:v>
                      </c:pt>
                      <c:pt idx="17">
                        <c:v>-2.0348238744638536E-3</c:v>
                      </c:pt>
                      <c:pt idx="18">
                        <c:v>-2.2990675648504322E-3</c:v>
                      </c:pt>
                      <c:pt idx="19">
                        <c:v>-2.3690981434718594E-3</c:v>
                      </c:pt>
                      <c:pt idx="20">
                        <c:v>-2.2946672755708164E-3</c:v>
                      </c:pt>
                      <c:pt idx="21">
                        <c:v>-2.1140146679918814E-3</c:v>
                      </c:pt>
                      <c:pt idx="22">
                        <c:v>-1.8541193160110936E-3</c:v>
                      </c:pt>
                      <c:pt idx="23">
                        <c:v>-1.5354770384554683E-3</c:v>
                      </c:pt>
                      <c:pt idx="24">
                        <c:v>-1.1710424599389313E-3</c:v>
                      </c:pt>
                      <c:pt idx="25">
                        <c:v>-3.5633494284326162E-4</c:v>
                      </c:pt>
                      <c:pt idx="26">
                        <c:v>5.2635380570720258E-4</c:v>
                      </c:pt>
                      <c:pt idx="27">
                        <c:v>1.4373578248676466E-3</c:v>
                      </c:pt>
                      <c:pt idx="28">
                        <c:v>2.3561288830187266E-3</c:v>
                      </c:pt>
                      <c:pt idx="29">
                        <c:v>1.8489138783976955E-3</c:v>
                      </c:pt>
                      <c:pt idx="30">
                        <c:v>9.6162456130599594E-4</c:v>
                      </c:pt>
                      <c:pt idx="31">
                        <c:v>3.1345151219497325E-4</c:v>
                      </c:pt>
                      <c:pt idx="32">
                        <c:v>-1.454351665675091E-4</c:v>
                      </c:pt>
                      <c:pt idx="33">
                        <c:v>-4.5559302713193972E-4</c:v>
                      </c:pt>
                      <c:pt idx="34">
                        <c:v>-6.4476201417029699E-4</c:v>
                      </c:pt>
                      <c:pt idx="35">
                        <c:v>-7.5213757183867358E-4</c:v>
                      </c:pt>
                      <c:pt idx="36">
                        <c:v>-6.0073848519692774E-4</c:v>
                      </c:pt>
                      <c:pt idx="37">
                        <c:v>-2.7980686223472162E-4</c:v>
                      </c:pt>
                      <c:pt idx="38">
                        <c:v>1.5910419459075342E-4</c:v>
                      </c:pt>
                      <c:pt idx="39">
                        <c:v>6.698402984177676E-4</c:v>
                      </c:pt>
                      <c:pt idx="40">
                        <c:v>1.2321475779462077E-3</c:v>
                      </c:pt>
                      <c:pt idx="41">
                        <c:v>7.3990962425618534E-4</c:v>
                      </c:pt>
                      <c:pt idx="42">
                        <c:v>3.0779294756122511E-4</c:v>
                      </c:pt>
                      <c:pt idx="43">
                        <c:v>2.0223547295472599E-5</c:v>
                      </c:pt>
                      <c:pt idx="44">
                        <c:v>-1.4794998445211149E-4</c:v>
                      </c:pt>
                      <c:pt idx="45">
                        <c:v>-2.2215174095130408E-4</c:v>
                      </c:pt>
                      <c:pt idx="46">
                        <c:v>-2.1930275037007618E-4</c:v>
                      </c:pt>
                      <c:pt idx="47">
                        <c:v>-1.5380103265982825E-4</c:v>
                      </c:pt>
                      <c:pt idx="48">
                        <c:v>-4.0001580918769264E-5</c:v>
                      </c:pt>
                      <c:pt idx="49">
                        <c:v>1.1546649518123786E-4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1.316194778564225</c:v>
                      </c:pt>
                      <c:pt idx="2">
                        <c:v>0.42656075339890798</c:v>
                      </c:pt>
                      <c:pt idx="3">
                        <c:v>-0.10634024284000176</c:v>
                      </c:pt>
                      <c:pt idx="4">
                        <c:v>-0.60444208400731725</c:v>
                      </c:pt>
                      <c:pt idx="5">
                        <c:v>-0.82896391776927203</c:v>
                      </c:pt>
                      <c:pt idx="6">
                        <c:v>-0.91938990721773806</c:v>
                      </c:pt>
                      <c:pt idx="7">
                        <c:v>-0.68995913989056135</c:v>
                      </c:pt>
                      <c:pt idx="8">
                        <c:v>-0.25000490703259715</c:v>
                      </c:pt>
                      <c:pt idx="9">
                        <c:v>0.32410387380177319</c:v>
                      </c:pt>
                      <c:pt idx="10">
                        <c:v>0.99352875199150148</c:v>
                      </c:pt>
                      <c:pt idx="11">
                        <c:v>1.7351232463558297</c:v>
                      </c:pt>
                      <c:pt idx="12">
                        <c:v>1.2556802183972593</c:v>
                      </c:pt>
                      <c:pt idx="13">
                        <c:v>0.67218083495661496</c:v>
                      </c:pt>
                      <c:pt idx="14">
                        <c:v>0.20374859275529289</c:v>
                      </c:pt>
                      <c:pt idx="15">
                        <c:v>-0.1665914642663413</c:v>
                      </c:pt>
                      <c:pt idx="16">
                        <c:v>-0.45146817103756121</c:v>
                      </c:pt>
                      <c:pt idx="17">
                        <c:v>-0.66131775920075242</c:v>
                      </c:pt>
                      <c:pt idx="18">
                        <c:v>-0.80467364769765126</c:v>
                      </c:pt>
                      <c:pt idx="19">
                        <c:v>-0.88841180380194729</c:v>
                      </c:pt>
                      <c:pt idx="20">
                        <c:v>-0.91786691022832656</c:v>
                      </c:pt>
                      <c:pt idx="21">
                        <c:v>-0.89845623389654961</c:v>
                      </c:pt>
                      <c:pt idx="22">
                        <c:v>-0.83435369220499211</c:v>
                      </c:pt>
                      <c:pt idx="23">
                        <c:v>-0.72935159326634746</c:v>
                      </c:pt>
                      <c:pt idx="24">
                        <c:v>-0.58552122996946565</c:v>
                      </c:pt>
                      <c:pt idx="25">
                        <c:v>-0.19598421856379389</c:v>
                      </c:pt>
                      <c:pt idx="26">
                        <c:v>0.31581228342432155</c:v>
                      </c:pt>
                      <c:pt idx="27">
                        <c:v>0.93428258616397031</c:v>
                      </c:pt>
                      <c:pt idx="28">
                        <c:v>1.6492902181131086</c:v>
                      </c:pt>
                      <c:pt idx="29">
                        <c:v>1.3866854087982716</c:v>
                      </c:pt>
                      <c:pt idx="30">
                        <c:v>0.76929964904479675</c:v>
                      </c:pt>
                      <c:pt idx="31">
                        <c:v>0.26643378536572726</c:v>
                      </c:pt>
                      <c:pt idx="32">
                        <c:v>-0.13089164991075819</c:v>
                      </c:pt>
                      <c:pt idx="33">
                        <c:v>-0.43281337577534273</c:v>
                      </c:pt>
                      <c:pt idx="34">
                        <c:v>-0.64476201417029699</c:v>
                      </c:pt>
                      <c:pt idx="35">
                        <c:v>-0.82735132902254094</c:v>
                      </c:pt>
                      <c:pt idx="36">
                        <c:v>-0.72088618223631329</c:v>
                      </c:pt>
                      <c:pt idx="37">
                        <c:v>-0.36374892090513811</c:v>
                      </c:pt>
                      <c:pt idx="38">
                        <c:v>0.22274587242705479</c:v>
                      </c:pt>
                      <c:pt idx="39">
                        <c:v>1.0047604476266514</c:v>
                      </c:pt>
                      <c:pt idx="40">
                        <c:v>1.9714361247139323</c:v>
                      </c:pt>
                      <c:pt idx="41">
                        <c:v>1.2578463612355151</c:v>
                      </c:pt>
                      <c:pt idx="42">
                        <c:v>0.55402730561020519</c:v>
                      </c:pt>
                      <c:pt idx="43">
                        <c:v>3.8424739861397939E-2</c:v>
                      </c:pt>
                      <c:pt idx="44">
                        <c:v>-0.29589996890422299</c:v>
                      </c:pt>
                      <c:pt idx="45">
                        <c:v>-0.46651865599773856</c:v>
                      </c:pt>
                      <c:pt idx="46">
                        <c:v>-0.4824660508141676</c:v>
                      </c:pt>
                      <c:pt idx="47">
                        <c:v>-0.35374237511760498</c:v>
                      </c:pt>
                      <c:pt idx="48">
                        <c:v>-9.6003794205046233E-2</c:v>
                      </c:pt>
                      <c:pt idx="49">
                        <c:v>0.28866623795309465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7.8125E-3</c:v>
                </c:pt>
                <c:pt idx="3">
                  <c:v>0</c:v>
                </c:pt>
                <c:pt idx="4">
                  <c:v>7.8125E-3</c:v>
                </c:pt>
                <c:pt idx="5">
                  <c:v>7.8125E-3</c:v>
                </c:pt>
                <c:pt idx="6">
                  <c:v>1.5625E-2</c:v>
                </c:pt>
                <c:pt idx="7">
                  <c:v>2.34375E-2</c:v>
                </c:pt>
                <c:pt idx="8">
                  <c:v>3.90625E-2</c:v>
                </c:pt>
                <c:pt idx="9">
                  <c:v>5.46875E-2</c:v>
                </c:pt>
                <c:pt idx="10">
                  <c:v>7.03125E-2</c:v>
                </c:pt>
                <c:pt idx="11">
                  <c:v>8.59375E-2</c:v>
                </c:pt>
                <c:pt idx="12">
                  <c:v>0.109375</c:v>
                </c:pt>
                <c:pt idx="13">
                  <c:v>0.125</c:v>
                </c:pt>
                <c:pt idx="14">
                  <c:v>0.1328125</c:v>
                </c:pt>
                <c:pt idx="15">
                  <c:v>0.15625</c:v>
                </c:pt>
                <c:pt idx="16">
                  <c:v>0.1875</c:v>
                </c:pt>
                <c:pt idx="17">
                  <c:v>0.2109375</c:v>
                </c:pt>
                <c:pt idx="18">
                  <c:v>0.2265625</c:v>
                </c:pt>
                <c:pt idx="19">
                  <c:v>0.25</c:v>
                </c:pt>
                <c:pt idx="20">
                  <c:v>0.28125</c:v>
                </c:pt>
                <c:pt idx="21">
                  <c:v>0.2890625</c:v>
                </c:pt>
                <c:pt idx="22">
                  <c:v>0.3203125</c:v>
                </c:pt>
                <c:pt idx="23">
                  <c:v>0.34375</c:v>
                </c:pt>
                <c:pt idx="24">
                  <c:v>0.3828125</c:v>
                </c:pt>
                <c:pt idx="25">
                  <c:v>0.515625</c:v>
                </c:pt>
                <c:pt idx="26">
                  <c:v>0.5</c:v>
                </c:pt>
                <c:pt idx="27">
                  <c:v>0.5546875</c:v>
                </c:pt>
                <c:pt idx="28">
                  <c:v>0.625</c:v>
                </c:pt>
                <c:pt idx="29">
                  <c:v>0.6953125</c:v>
                </c:pt>
                <c:pt idx="30">
                  <c:v>0.765625</c:v>
                </c:pt>
                <c:pt idx="31">
                  <c:v>0.828125</c:v>
                </c:pt>
                <c:pt idx="32">
                  <c:v>0.890625</c:v>
                </c:pt>
                <c:pt idx="33">
                  <c:v>1.03125</c:v>
                </c:pt>
                <c:pt idx="34">
                  <c:v>1.0234375</c:v>
                </c:pt>
                <c:pt idx="35">
                  <c:v>1.1953125</c:v>
                </c:pt>
                <c:pt idx="36">
                  <c:v>1.421875</c:v>
                </c:pt>
                <c:pt idx="37">
                  <c:v>1.546875</c:v>
                </c:pt>
                <c:pt idx="38">
                  <c:v>1.703125</c:v>
                </c:pt>
                <c:pt idx="39">
                  <c:v>1.90625</c:v>
                </c:pt>
                <c:pt idx="40">
                  <c:v>2.1640625</c:v>
                </c:pt>
                <c:pt idx="41">
                  <c:v>2.2265625</c:v>
                </c:pt>
                <c:pt idx="42">
                  <c:v>2.453125</c:v>
                </c:pt>
                <c:pt idx="43">
                  <c:v>2.65625</c:v>
                </c:pt>
                <c:pt idx="44">
                  <c:v>2.8828125</c:v>
                </c:pt>
                <c:pt idx="45">
                  <c:v>3.09375</c:v>
                </c:pt>
                <c:pt idx="46">
                  <c:v>3.3125</c:v>
                </c:pt>
                <c:pt idx="47">
                  <c:v>3.4453125</c:v>
                </c:pt>
                <c:pt idx="48">
                  <c:v>3.765625</c:v>
                </c:pt>
                <c:pt idx="49">
                  <c:v>3.9765625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7.4556203156786394</c:v>
                      </c:pt>
                      <c:pt idx="2">
                        <c:v>8.6865029435630827</c:v>
                      </c:pt>
                      <c:pt idx="3">
                        <c:v>8.7824491185268645</c:v>
                      </c:pt>
                      <c:pt idx="4">
                        <c:v>8.8020371984432302</c:v>
                      </c:pt>
                      <c:pt idx="5">
                        <c:v>8.7994472248351734</c:v>
                      </c:pt>
                      <c:pt idx="6">
                        <c:v>8.7902028923872191</c:v>
                      </c:pt>
                      <c:pt idx="7">
                        <c:v>8.7810145494414051</c:v>
                      </c:pt>
                      <c:pt idx="8">
                        <c:v>8.7743151433131903</c:v>
                      </c:pt>
                      <c:pt idx="9">
                        <c:v>8.7692222632524501</c:v>
                      </c:pt>
                      <c:pt idx="10">
                        <c:v>8.7651915692295876</c:v>
                      </c:pt>
                      <c:pt idx="11">
                        <c:v>8.7619001042636881</c:v>
                      </c:pt>
                      <c:pt idx="12">
                        <c:v>8.765536693150878</c:v>
                      </c:pt>
                      <c:pt idx="13">
                        <c:v>8.7688276238652794</c:v>
                      </c:pt>
                      <c:pt idx="14">
                        <c:v>8.7710000998718431</c:v>
                      </c:pt>
                      <c:pt idx="15">
                        <c:v>8.772420881385651</c:v>
                      </c:pt>
                      <c:pt idx="16">
                        <c:v>8.7733199881463229</c:v>
                      </c:pt>
                      <c:pt idx="17">
                        <c:v>8.7738499181173282</c:v>
                      </c:pt>
                      <c:pt idx="18">
                        <c:v>8.7741141618077148</c:v>
                      </c:pt>
                      <c:pt idx="19">
                        <c:v>8.7741841923863362</c:v>
                      </c:pt>
                      <c:pt idx="20">
                        <c:v>8.7741097615184351</c:v>
                      </c:pt>
                      <c:pt idx="21">
                        <c:v>8.7739291089108562</c:v>
                      </c:pt>
                      <c:pt idx="22">
                        <c:v>8.7736692135588754</c:v>
                      </c:pt>
                      <c:pt idx="23">
                        <c:v>8.7733505712813198</c:v>
                      </c:pt>
                      <c:pt idx="24">
                        <c:v>8.7729861367028033</c:v>
                      </c:pt>
                      <c:pt idx="25">
                        <c:v>8.7721714291857076</c:v>
                      </c:pt>
                      <c:pt idx="26">
                        <c:v>8.7712887404371571</c:v>
                      </c:pt>
                      <c:pt idx="27">
                        <c:v>8.7703777364179967</c:v>
                      </c:pt>
                      <c:pt idx="28">
                        <c:v>8.7694589653598456</c:v>
                      </c:pt>
                      <c:pt idx="29">
                        <c:v>8.7699661803644666</c:v>
                      </c:pt>
                      <c:pt idx="30">
                        <c:v>8.7708534696815583</c:v>
                      </c:pt>
                      <c:pt idx="31">
                        <c:v>8.7715016427306693</c:v>
                      </c:pt>
                      <c:pt idx="32">
                        <c:v>8.7719605294094318</c:v>
                      </c:pt>
                      <c:pt idx="33">
                        <c:v>8.7722706872699963</c:v>
                      </c:pt>
                      <c:pt idx="34">
                        <c:v>8.7724598562570346</c:v>
                      </c:pt>
                      <c:pt idx="35">
                        <c:v>8.772567231814703</c:v>
                      </c:pt>
                      <c:pt idx="36">
                        <c:v>8.7724158327280612</c:v>
                      </c:pt>
                      <c:pt idx="37">
                        <c:v>8.772094901105099</c:v>
                      </c:pt>
                      <c:pt idx="38">
                        <c:v>8.7716559900482736</c:v>
                      </c:pt>
                      <c:pt idx="39">
                        <c:v>8.7711452539444466</c:v>
                      </c:pt>
                      <c:pt idx="40">
                        <c:v>8.7705829466649181</c:v>
                      </c:pt>
                      <c:pt idx="41">
                        <c:v>8.7710751846186081</c:v>
                      </c:pt>
                      <c:pt idx="42">
                        <c:v>8.7715073012953031</c:v>
                      </c:pt>
                      <c:pt idx="43">
                        <c:v>8.7717948706955688</c:v>
                      </c:pt>
                      <c:pt idx="44">
                        <c:v>8.7719630442273164</c:v>
                      </c:pt>
                      <c:pt idx="45">
                        <c:v>8.7720372459838156</c:v>
                      </c:pt>
                      <c:pt idx="46">
                        <c:v>8.7720343969932344</c:v>
                      </c:pt>
                      <c:pt idx="47">
                        <c:v>8.7719688952755241</c:v>
                      </c:pt>
                      <c:pt idx="48">
                        <c:v>8.7718550958237831</c:v>
                      </c:pt>
                      <c:pt idx="49">
                        <c:v>8.7716996277476831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8.7718150942428643</c:v>
                      </c:pt>
                      <c:pt idx="2">
                        <c:v>8.7718150942428643</c:v>
                      </c:pt>
                      <c:pt idx="3">
                        <c:v>8.7718150942428643</c:v>
                      </c:pt>
                      <c:pt idx="4">
                        <c:v>8.7718150942428643</c:v>
                      </c:pt>
                      <c:pt idx="5">
                        <c:v>8.7718150942428643</c:v>
                      </c:pt>
                      <c:pt idx="6">
                        <c:v>8.7718150942428643</c:v>
                      </c:pt>
                      <c:pt idx="7">
                        <c:v>8.7718150942428643</c:v>
                      </c:pt>
                      <c:pt idx="8">
                        <c:v>8.7718150942428643</c:v>
                      </c:pt>
                      <c:pt idx="9">
                        <c:v>8.7718150942428643</c:v>
                      </c:pt>
                      <c:pt idx="10">
                        <c:v>8.7718150942428643</c:v>
                      </c:pt>
                      <c:pt idx="11">
                        <c:v>8.7718150942428643</c:v>
                      </c:pt>
                      <c:pt idx="12">
                        <c:v>8.7718150942428643</c:v>
                      </c:pt>
                      <c:pt idx="13">
                        <c:v>8.7718150942428643</c:v>
                      </c:pt>
                      <c:pt idx="14">
                        <c:v>8.7718150942428643</c:v>
                      </c:pt>
                      <c:pt idx="15">
                        <c:v>8.7718150942428643</c:v>
                      </c:pt>
                      <c:pt idx="16">
                        <c:v>8.7718150942428643</c:v>
                      </c:pt>
                      <c:pt idx="17">
                        <c:v>8.7718150942428643</c:v>
                      </c:pt>
                      <c:pt idx="18">
                        <c:v>8.7718150942428643</c:v>
                      </c:pt>
                      <c:pt idx="19">
                        <c:v>8.7718150942428643</c:v>
                      </c:pt>
                      <c:pt idx="20">
                        <c:v>8.7718150942428643</c:v>
                      </c:pt>
                      <c:pt idx="21">
                        <c:v>8.7718150942428643</c:v>
                      </c:pt>
                      <c:pt idx="22">
                        <c:v>8.7718150942428643</c:v>
                      </c:pt>
                      <c:pt idx="23">
                        <c:v>8.7718150942428643</c:v>
                      </c:pt>
                      <c:pt idx="24">
                        <c:v>8.7718150942428643</c:v>
                      </c:pt>
                      <c:pt idx="25">
                        <c:v>8.7718150942428643</c:v>
                      </c:pt>
                      <c:pt idx="26">
                        <c:v>8.7718150942428643</c:v>
                      </c:pt>
                      <c:pt idx="27">
                        <c:v>8.7718150942428643</c:v>
                      </c:pt>
                      <c:pt idx="28">
                        <c:v>8.7718150942428643</c:v>
                      </c:pt>
                      <c:pt idx="29">
                        <c:v>8.7718150942428643</c:v>
                      </c:pt>
                      <c:pt idx="30">
                        <c:v>8.7718150942428643</c:v>
                      </c:pt>
                      <c:pt idx="31">
                        <c:v>8.7718150942428643</c:v>
                      </c:pt>
                      <c:pt idx="32">
                        <c:v>8.7718150942428643</c:v>
                      </c:pt>
                      <c:pt idx="33">
                        <c:v>8.7718150942428643</c:v>
                      </c:pt>
                      <c:pt idx="34">
                        <c:v>8.7718150942428643</c:v>
                      </c:pt>
                      <c:pt idx="35">
                        <c:v>8.7718150942428643</c:v>
                      </c:pt>
                      <c:pt idx="36">
                        <c:v>8.7718150942428643</c:v>
                      </c:pt>
                      <c:pt idx="37">
                        <c:v>8.7718150942428643</c:v>
                      </c:pt>
                      <c:pt idx="38">
                        <c:v>8.7718150942428643</c:v>
                      </c:pt>
                      <c:pt idx="39">
                        <c:v>8.7718150942428643</c:v>
                      </c:pt>
                      <c:pt idx="40">
                        <c:v>8.7718150942428643</c:v>
                      </c:pt>
                      <c:pt idx="41">
                        <c:v>8.7718150942428643</c:v>
                      </c:pt>
                      <c:pt idx="42">
                        <c:v>8.7718150942428643</c:v>
                      </c:pt>
                      <c:pt idx="43">
                        <c:v>8.7718150942428643</c:v>
                      </c:pt>
                      <c:pt idx="44">
                        <c:v>8.7718150942428643</c:v>
                      </c:pt>
                      <c:pt idx="45">
                        <c:v>8.7718150942428643</c:v>
                      </c:pt>
                      <c:pt idx="46">
                        <c:v>8.7718150942428643</c:v>
                      </c:pt>
                      <c:pt idx="47">
                        <c:v>8.7718150942428643</c:v>
                      </c:pt>
                      <c:pt idx="48">
                        <c:v>8.7718150942428643</c:v>
                      </c:pt>
                      <c:pt idx="49">
                        <c:v>8.7718150942428643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1.316194778564225</c:v>
                      </c:pt>
                      <c:pt idx="2">
                        <c:v>8.5312150679781595E-2</c:v>
                      </c:pt>
                      <c:pt idx="3">
                        <c:v>-1.0634024284000176E-2</c:v>
                      </c:pt>
                      <c:pt idx="4">
                        <c:v>-3.0222104200365862E-2</c:v>
                      </c:pt>
                      <c:pt idx="5">
                        <c:v>-2.7632130592309068E-2</c:v>
                      </c:pt>
                      <c:pt idx="6">
                        <c:v>-1.8387798144354761E-2</c:v>
                      </c:pt>
                      <c:pt idx="7">
                        <c:v>-9.1994551985408179E-3</c:v>
                      </c:pt>
                      <c:pt idx="8">
                        <c:v>-2.5000490703259715E-3</c:v>
                      </c:pt>
                      <c:pt idx="9">
                        <c:v>2.5928309904141855E-3</c:v>
                      </c:pt>
                      <c:pt idx="10">
                        <c:v>6.6235250132766765E-3</c:v>
                      </c:pt>
                      <c:pt idx="11">
                        <c:v>9.9149899791761698E-3</c:v>
                      </c:pt>
                      <c:pt idx="12">
                        <c:v>6.2784010919862965E-3</c:v>
                      </c:pt>
                      <c:pt idx="13">
                        <c:v>2.9874703775849554E-3</c:v>
                      </c:pt>
                      <c:pt idx="14">
                        <c:v>8.1499437102117156E-4</c:v>
                      </c:pt>
                      <c:pt idx="15">
                        <c:v>-6.0578714278669565E-4</c:v>
                      </c:pt>
                      <c:pt idx="16">
                        <c:v>-1.5048939034585374E-3</c:v>
                      </c:pt>
                      <c:pt idx="17">
                        <c:v>-2.0348238744638536E-3</c:v>
                      </c:pt>
                      <c:pt idx="18">
                        <c:v>-2.2990675648504322E-3</c:v>
                      </c:pt>
                      <c:pt idx="19">
                        <c:v>-2.3690981434718594E-3</c:v>
                      </c:pt>
                      <c:pt idx="20">
                        <c:v>-2.2946672755708164E-3</c:v>
                      </c:pt>
                      <c:pt idx="21">
                        <c:v>-2.1140146679918814E-3</c:v>
                      </c:pt>
                      <c:pt idx="22">
                        <c:v>-1.8541193160110936E-3</c:v>
                      </c:pt>
                      <c:pt idx="23">
                        <c:v>-1.5354770384554683E-3</c:v>
                      </c:pt>
                      <c:pt idx="24">
                        <c:v>-1.1710424599389313E-3</c:v>
                      </c:pt>
                      <c:pt idx="25">
                        <c:v>-3.5633494284326162E-4</c:v>
                      </c:pt>
                      <c:pt idx="26">
                        <c:v>5.2635380570720258E-4</c:v>
                      </c:pt>
                      <c:pt idx="27">
                        <c:v>1.4373578248676466E-3</c:v>
                      </c:pt>
                      <c:pt idx="28">
                        <c:v>2.3561288830187266E-3</c:v>
                      </c:pt>
                      <c:pt idx="29">
                        <c:v>1.8489138783976955E-3</c:v>
                      </c:pt>
                      <c:pt idx="30">
                        <c:v>9.6162456130599594E-4</c:v>
                      </c:pt>
                      <c:pt idx="31">
                        <c:v>3.1345151219497325E-4</c:v>
                      </c:pt>
                      <c:pt idx="32">
                        <c:v>-1.454351665675091E-4</c:v>
                      </c:pt>
                      <c:pt idx="33">
                        <c:v>-4.5559302713193972E-4</c:v>
                      </c:pt>
                      <c:pt idx="34">
                        <c:v>-6.4476201417029699E-4</c:v>
                      </c:pt>
                      <c:pt idx="35">
                        <c:v>-7.5213757183867358E-4</c:v>
                      </c:pt>
                      <c:pt idx="36">
                        <c:v>-6.0073848519692774E-4</c:v>
                      </c:pt>
                      <c:pt idx="37">
                        <c:v>-2.7980686223472162E-4</c:v>
                      </c:pt>
                      <c:pt idx="38">
                        <c:v>1.5910419459075342E-4</c:v>
                      </c:pt>
                      <c:pt idx="39">
                        <c:v>6.698402984177676E-4</c:v>
                      </c:pt>
                      <c:pt idx="40">
                        <c:v>1.2321475779462077E-3</c:v>
                      </c:pt>
                      <c:pt idx="41">
                        <c:v>7.3990962425618534E-4</c:v>
                      </c:pt>
                      <c:pt idx="42">
                        <c:v>3.0779294756122511E-4</c:v>
                      </c:pt>
                      <c:pt idx="43">
                        <c:v>2.0223547295472599E-5</c:v>
                      </c:pt>
                      <c:pt idx="44">
                        <c:v>-1.4794998445211149E-4</c:v>
                      </c:pt>
                      <c:pt idx="45">
                        <c:v>-2.2215174095130408E-4</c:v>
                      </c:pt>
                      <c:pt idx="46">
                        <c:v>-2.1930275037007618E-4</c:v>
                      </c:pt>
                      <c:pt idx="47">
                        <c:v>-1.5380103265982825E-4</c:v>
                      </c:pt>
                      <c:pt idx="48">
                        <c:v>-4.0001580918769264E-5</c:v>
                      </c:pt>
                      <c:pt idx="49">
                        <c:v>1.1546649518123786E-4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1.316194778564225</c:v>
                      </c:pt>
                      <c:pt idx="2">
                        <c:v>0.42656075339890798</c:v>
                      </c:pt>
                      <c:pt idx="3">
                        <c:v>-0.10634024284000176</c:v>
                      </c:pt>
                      <c:pt idx="4">
                        <c:v>-0.60444208400731725</c:v>
                      </c:pt>
                      <c:pt idx="5">
                        <c:v>-0.82896391776927203</c:v>
                      </c:pt>
                      <c:pt idx="6">
                        <c:v>-0.91938990721773806</c:v>
                      </c:pt>
                      <c:pt idx="7">
                        <c:v>-0.68995913989056135</c:v>
                      </c:pt>
                      <c:pt idx="8">
                        <c:v>-0.25000490703259715</c:v>
                      </c:pt>
                      <c:pt idx="9">
                        <c:v>0.32410387380177319</c:v>
                      </c:pt>
                      <c:pt idx="10">
                        <c:v>0.99352875199150148</c:v>
                      </c:pt>
                      <c:pt idx="11">
                        <c:v>1.7351232463558297</c:v>
                      </c:pt>
                      <c:pt idx="12">
                        <c:v>1.2556802183972593</c:v>
                      </c:pt>
                      <c:pt idx="13">
                        <c:v>0.67218083495661496</c:v>
                      </c:pt>
                      <c:pt idx="14">
                        <c:v>0.20374859275529289</c:v>
                      </c:pt>
                      <c:pt idx="15">
                        <c:v>-0.1665914642663413</c:v>
                      </c:pt>
                      <c:pt idx="16">
                        <c:v>-0.45146817103756121</c:v>
                      </c:pt>
                      <c:pt idx="17">
                        <c:v>-0.66131775920075242</c:v>
                      </c:pt>
                      <c:pt idx="18">
                        <c:v>-0.80467364769765126</c:v>
                      </c:pt>
                      <c:pt idx="19">
                        <c:v>-0.88841180380194729</c:v>
                      </c:pt>
                      <c:pt idx="20">
                        <c:v>-0.91786691022832656</c:v>
                      </c:pt>
                      <c:pt idx="21">
                        <c:v>-0.89845623389654961</c:v>
                      </c:pt>
                      <c:pt idx="22">
                        <c:v>-0.83435369220499211</c:v>
                      </c:pt>
                      <c:pt idx="23">
                        <c:v>-0.72935159326634746</c:v>
                      </c:pt>
                      <c:pt idx="24">
                        <c:v>-0.58552122996946565</c:v>
                      </c:pt>
                      <c:pt idx="25">
                        <c:v>-0.19598421856379389</c:v>
                      </c:pt>
                      <c:pt idx="26">
                        <c:v>0.31581228342432155</c:v>
                      </c:pt>
                      <c:pt idx="27">
                        <c:v>0.93428258616397031</c:v>
                      </c:pt>
                      <c:pt idx="28">
                        <c:v>1.6492902181131086</c:v>
                      </c:pt>
                      <c:pt idx="29">
                        <c:v>1.3866854087982716</c:v>
                      </c:pt>
                      <c:pt idx="30">
                        <c:v>0.76929964904479675</c:v>
                      </c:pt>
                      <c:pt idx="31">
                        <c:v>0.26643378536572726</c:v>
                      </c:pt>
                      <c:pt idx="32">
                        <c:v>-0.13089164991075819</c:v>
                      </c:pt>
                      <c:pt idx="33">
                        <c:v>-0.43281337577534273</c:v>
                      </c:pt>
                      <c:pt idx="34">
                        <c:v>-0.64476201417029699</c:v>
                      </c:pt>
                      <c:pt idx="35">
                        <c:v>-0.82735132902254094</c:v>
                      </c:pt>
                      <c:pt idx="36">
                        <c:v>-0.72088618223631329</c:v>
                      </c:pt>
                      <c:pt idx="37">
                        <c:v>-0.36374892090513811</c:v>
                      </c:pt>
                      <c:pt idx="38">
                        <c:v>0.22274587242705479</c:v>
                      </c:pt>
                      <c:pt idx="39">
                        <c:v>1.0047604476266514</c:v>
                      </c:pt>
                      <c:pt idx="40">
                        <c:v>1.9714361247139323</c:v>
                      </c:pt>
                      <c:pt idx="41">
                        <c:v>1.2578463612355151</c:v>
                      </c:pt>
                      <c:pt idx="42">
                        <c:v>0.55402730561020519</c:v>
                      </c:pt>
                      <c:pt idx="43">
                        <c:v>3.8424739861397939E-2</c:v>
                      </c:pt>
                      <c:pt idx="44">
                        <c:v>-0.29589996890422299</c:v>
                      </c:pt>
                      <c:pt idx="45">
                        <c:v>-0.46651865599773856</c:v>
                      </c:pt>
                      <c:pt idx="46">
                        <c:v>-0.4824660508141676</c:v>
                      </c:pt>
                      <c:pt idx="47">
                        <c:v>-0.35374237511760498</c:v>
                      </c:pt>
                      <c:pt idx="48">
                        <c:v>-9.6003794205046233E-2</c:v>
                      </c:pt>
                      <c:pt idx="49">
                        <c:v>0.28866623795309465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1.316194778564225</c:v>
                </c:pt>
                <c:pt idx="2">
                  <c:v>8.5312150679781595E-2</c:v>
                </c:pt>
                <c:pt idx="3">
                  <c:v>-1.0634024284000176E-2</c:v>
                </c:pt>
                <c:pt idx="4">
                  <c:v>-3.0222104200365862E-2</c:v>
                </c:pt>
                <c:pt idx="5">
                  <c:v>-2.7632130592309068E-2</c:v>
                </c:pt>
                <c:pt idx="6">
                  <c:v>-1.8387798144354761E-2</c:v>
                </c:pt>
                <c:pt idx="7">
                  <c:v>-9.1994551985408179E-3</c:v>
                </c:pt>
                <c:pt idx="8">
                  <c:v>-2.5000490703259715E-3</c:v>
                </c:pt>
                <c:pt idx="9">
                  <c:v>2.5928309904141855E-3</c:v>
                </c:pt>
                <c:pt idx="10">
                  <c:v>6.6235250132766765E-3</c:v>
                </c:pt>
                <c:pt idx="11">
                  <c:v>9.9149899791761698E-3</c:v>
                </c:pt>
                <c:pt idx="12">
                  <c:v>6.2784010919862965E-3</c:v>
                </c:pt>
                <c:pt idx="13">
                  <c:v>2.9874703775849554E-3</c:v>
                </c:pt>
                <c:pt idx="14">
                  <c:v>8.1499437102117156E-4</c:v>
                </c:pt>
                <c:pt idx="15">
                  <c:v>-6.0578714278669565E-4</c:v>
                </c:pt>
                <c:pt idx="16">
                  <c:v>-1.5048939034585374E-3</c:v>
                </c:pt>
                <c:pt idx="17">
                  <c:v>-2.0348238744638536E-3</c:v>
                </c:pt>
                <c:pt idx="18">
                  <c:v>-2.2990675648504322E-3</c:v>
                </c:pt>
                <c:pt idx="19">
                  <c:v>-2.3690981434718594E-3</c:v>
                </c:pt>
                <c:pt idx="20">
                  <c:v>-2.2946672755708164E-3</c:v>
                </c:pt>
                <c:pt idx="21">
                  <c:v>-2.1140146679918814E-3</c:v>
                </c:pt>
                <c:pt idx="22">
                  <c:v>-1.8541193160110936E-3</c:v>
                </c:pt>
                <c:pt idx="23">
                  <c:v>-1.5354770384554683E-3</c:v>
                </c:pt>
                <c:pt idx="24">
                  <c:v>-1.1710424599389313E-3</c:v>
                </c:pt>
                <c:pt idx="25">
                  <c:v>-3.5633494284326162E-4</c:v>
                </c:pt>
                <c:pt idx="26">
                  <c:v>5.2635380570720258E-4</c:v>
                </c:pt>
                <c:pt idx="27">
                  <c:v>1.4373578248676466E-3</c:v>
                </c:pt>
                <c:pt idx="28">
                  <c:v>2.3561288830187266E-3</c:v>
                </c:pt>
                <c:pt idx="29">
                  <c:v>1.8489138783976955E-3</c:v>
                </c:pt>
                <c:pt idx="30">
                  <c:v>9.6162456130599594E-4</c:v>
                </c:pt>
                <c:pt idx="31">
                  <c:v>3.1345151219497325E-4</c:v>
                </c:pt>
                <c:pt idx="32">
                  <c:v>-1.454351665675091E-4</c:v>
                </c:pt>
                <c:pt idx="33">
                  <c:v>-4.5559302713193972E-4</c:v>
                </c:pt>
                <c:pt idx="34">
                  <c:v>-6.4476201417029699E-4</c:v>
                </c:pt>
                <c:pt idx="35">
                  <c:v>-7.5213757183867358E-4</c:v>
                </c:pt>
                <c:pt idx="36">
                  <c:v>-6.0073848519692774E-4</c:v>
                </c:pt>
                <c:pt idx="37">
                  <c:v>-2.7980686223472162E-4</c:v>
                </c:pt>
                <c:pt idx="38">
                  <c:v>1.5910419459075342E-4</c:v>
                </c:pt>
                <c:pt idx="39">
                  <c:v>6.698402984177676E-4</c:v>
                </c:pt>
                <c:pt idx="40">
                  <c:v>1.2321475779462077E-3</c:v>
                </c:pt>
                <c:pt idx="41">
                  <c:v>7.3990962425618534E-4</c:v>
                </c:pt>
                <c:pt idx="42">
                  <c:v>3.0779294756122511E-4</c:v>
                </c:pt>
                <c:pt idx="43">
                  <c:v>2.0223547295472599E-5</c:v>
                </c:pt>
                <c:pt idx="44">
                  <c:v>-1.4794998445211149E-4</c:v>
                </c:pt>
                <c:pt idx="45">
                  <c:v>-2.2215174095130408E-4</c:v>
                </c:pt>
                <c:pt idx="46">
                  <c:v>-2.1930275037007618E-4</c:v>
                </c:pt>
                <c:pt idx="47">
                  <c:v>-1.5380103265982825E-4</c:v>
                </c:pt>
                <c:pt idx="48">
                  <c:v>-4.0001580918769264E-5</c:v>
                </c:pt>
                <c:pt idx="49">
                  <c:v>1.1546649518123786E-4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7.4556203156786394</c:v>
                      </c:pt>
                      <c:pt idx="2">
                        <c:v>8.6865029435630827</c:v>
                      </c:pt>
                      <c:pt idx="3">
                        <c:v>8.7824491185268645</c:v>
                      </c:pt>
                      <c:pt idx="4">
                        <c:v>8.8020371984432302</c:v>
                      </c:pt>
                      <c:pt idx="5">
                        <c:v>8.7994472248351734</c:v>
                      </c:pt>
                      <c:pt idx="6">
                        <c:v>8.7902028923872191</c:v>
                      </c:pt>
                      <c:pt idx="7">
                        <c:v>8.7810145494414051</c:v>
                      </c:pt>
                      <c:pt idx="8">
                        <c:v>8.7743151433131903</c:v>
                      </c:pt>
                      <c:pt idx="9">
                        <c:v>8.7692222632524501</c:v>
                      </c:pt>
                      <c:pt idx="10">
                        <c:v>8.7651915692295876</c:v>
                      </c:pt>
                      <c:pt idx="11">
                        <c:v>8.7619001042636881</c:v>
                      </c:pt>
                      <c:pt idx="12">
                        <c:v>8.765536693150878</c:v>
                      </c:pt>
                      <c:pt idx="13">
                        <c:v>8.7688276238652794</c:v>
                      </c:pt>
                      <c:pt idx="14">
                        <c:v>8.7710000998718431</c:v>
                      </c:pt>
                      <c:pt idx="15">
                        <c:v>8.772420881385651</c:v>
                      </c:pt>
                      <c:pt idx="16">
                        <c:v>8.7733199881463229</c:v>
                      </c:pt>
                      <c:pt idx="17">
                        <c:v>8.7738499181173282</c:v>
                      </c:pt>
                      <c:pt idx="18">
                        <c:v>8.7741141618077148</c:v>
                      </c:pt>
                      <c:pt idx="19">
                        <c:v>8.7741841923863362</c:v>
                      </c:pt>
                      <c:pt idx="20">
                        <c:v>8.7741097615184351</c:v>
                      </c:pt>
                      <c:pt idx="21">
                        <c:v>8.7739291089108562</c:v>
                      </c:pt>
                      <c:pt idx="22">
                        <c:v>8.7736692135588754</c:v>
                      </c:pt>
                      <c:pt idx="23">
                        <c:v>8.7733505712813198</c:v>
                      </c:pt>
                      <c:pt idx="24">
                        <c:v>8.7729861367028033</c:v>
                      </c:pt>
                      <c:pt idx="25">
                        <c:v>8.7721714291857076</c:v>
                      </c:pt>
                      <c:pt idx="26">
                        <c:v>8.7712887404371571</c:v>
                      </c:pt>
                      <c:pt idx="27">
                        <c:v>8.7703777364179967</c:v>
                      </c:pt>
                      <c:pt idx="28">
                        <c:v>8.7694589653598456</c:v>
                      </c:pt>
                      <c:pt idx="29">
                        <c:v>8.7699661803644666</c:v>
                      </c:pt>
                      <c:pt idx="30">
                        <c:v>8.7708534696815583</c:v>
                      </c:pt>
                      <c:pt idx="31">
                        <c:v>8.7715016427306693</c:v>
                      </c:pt>
                      <c:pt idx="32">
                        <c:v>8.7719605294094318</c:v>
                      </c:pt>
                      <c:pt idx="33">
                        <c:v>8.7722706872699963</c:v>
                      </c:pt>
                      <c:pt idx="34">
                        <c:v>8.7724598562570346</c:v>
                      </c:pt>
                      <c:pt idx="35">
                        <c:v>8.772567231814703</c:v>
                      </c:pt>
                      <c:pt idx="36">
                        <c:v>8.7724158327280612</c:v>
                      </c:pt>
                      <c:pt idx="37">
                        <c:v>8.772094901105099</c:v>
                      </c:pt>
                      <c:pt idx="38">
                        <c:v>8.7716559900482736</c:v>
                      </c:pt>
                      <c:pt idx="39">
                        <c:v>8.7711452539444466</c:v>
                      </c:pt>
                      <c:pt idx="40">
                        <c:v>8.7705829466649181</c:v>
                      </c:pt>
                      <c:pt idx="41">
                        <c:v>8.7710751846186081</c:v>
                      </c:pt>
                      <c:pt idx="42">
                        <c:v>8.7715073012953031</c:v>
                      </c:pt>
                      <c:pt idx="43">
                        <c:v>8.7717948706955688</c:v>
                      </c:pt>
                      <c:pt idx="44">
                        <c:v>8.7719630442273164</c:v>
                      </c:pt>
                      <c:pt idx="45">
                        <c:v>8.7720372459838156</c:v>
                      </c:pt>
                      <c:pt idx="46">
                        <c:v>8.7720343969932344</c:v>
                      </c:pt>
                      <c:pt idx="47">
                        <c:v>8.7719688952755241</c:v>
                      </c:pt>
                      <c:pt idx="48">
                        <c:v>8.7718550958237831</c:v>
                      </c:pt>
                      <c:pt idx="49">
                        <c:v>8.7716996277476831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7.8125E-3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7.8125E-3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7.03125E-2</c:v>
                      </c:pt>
                      <c:pt idx="11">
                        <c:v>8.59375E-2</c:v>
                      </c:pt>
                      <c:pt idx="12">
                        <c:v>0.109375</c:v>
                      </c:pt>
                      <c:pt idx="13">
                        <c:v>0.125</c:v>
                      </c:pt>
                      <c:pt idx="14">
                        <c:v>0.1328125</c:v>
                      </c:pt>
                      <c:pt idx="15">
                        <c:v>0.15625</c:v>
                      </c:pt>
                      <c:pt idx="16">
                        <c:v>0.1875</c:v>
                      </c:pt>
                      <c:pt idx="17">
                        <c:v>0.2109375</c:v>
                      </c:pt>
                      <c:pt idx="18">
                        <c:v>0.2265625</c:v>
                      </c:pt>
                      <c:pt idx="19">
                        <c:v>0.25</c:v>
                      </c:pt>
                      <c:pt idx="20">
                        <c:v>0.28125</c:v>
                      </c:pt>
                      <c:pt idx="21">
                        <c:v>0.2890625</c:v>
                      </c:pt>
                      <c:pt idx="22">
                        <c:v>0.3203125</c:v>
                      </c:pt>
                      <c:pt idx="23">
                        <c:v>0.34375</c:v>
                      </c:pt>
                      <c:pt idx="24">
                        <c:v>0.3828125</c:v>
                      </c:pt>
                      <c:pt idx="25">
                        <c:v>0.515625</c:v>
                      </c:pt>
                      <c:pt idx="26">
                        <c:v>0.5</c:v>
                      </c:pt>
                      <c:pt idx="27">
                        <c:v>0.5546875</c:v>
                      </c:pt>
                      <c:pt idx="28">
                        <c:v>0.625</c:v>
                      </c:pt>
                      <c:pt idx="29">
                        <c:v>0.6953125</c:v>
                      </c:pt>
                      <c:pt idx="30">
                        <c:v>0.765625</c:v>
                      </c:pt>
                      <c:pt idx="31">
                        <c:v>0.828125</c:v>
                      </c:pt>
                      <c:pt idx="32">
                        <c:v>0.890625</c:v>
                      </c:pt>
                      <c:pt idx="33">
                        <c:v>1.03125</c:v>
                      </c:pt>
                      <c:pt idx="34">
                        <c:v>1.0234375</c:v>
                      </c:pt>
                      <c:pt idx="35">
                        <c:v>1.1953125</c:v>
                      </c:pt>
                      <c:pt idx="36">
                        <c:v>1.421875</c:v>
                      </c:pt>
                      <c:pt idx="37">
                        <c:v>1.546875</c:v>
                      </c:pt>
                      <c:pt idx="38">
                        <c:v>1.703125</c:v>
                      </c:pt>
                      <c:pt idx="39">
                        <c:v>1.90625</c:v>
                      </c:pt>
                      <c:pt idx="40">
                        <c:v>2.1640625</c:v>
                      </c:pt>
                      <c:pt idx="41">
                        <c:v>2.2265625</c:v>
                      </c:pt>
                      <c:pt idx="42">
                        <c:v>2.453125</c:v>
                      </c:pt>
                      <c:pt idx="43">
                        <c:v>2.65625</c:v>
                      </c:pt>
                      <c:pt idx="44">
                        <c:v>2.8828125</c:v>
                      </c:pt>
                      <c:pt idx="45">
                        <c:v>3.09375</c:v>
                      </c:pt>
                      <c:pt idx="46">
                        <c:v>3.3125</c:v>
                      </c:pt>
                      <c:pt idx="47">
                        <c:v>3.4453125</c:v>
                      </c:pt>
                      <c:pt idx="48">
                        <c:v>3.765625</c:v>
                      </c:pt>
                      <c:pt idx="49">
                        <c:v>3.9765625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8.7718150942428643</c:v>
                      </c:pt>
                      <c:pt idx="2">
                        <c:v>8.7718150942428643</c:v>
                      </c:pt>
                      <c:pt idx="3">
                        <c:v>8.7718150942428643</c:v>
                      </c:pt>
                      <c:pt idx="4">
                        <c:v>8.7718150942428643</c:v>
                      </c:pt>
                      <c:pt idx="5">
                        <c:v>8.7718150942428643</c:v>
                      </c:pt>
                      <c:pt idx="6">
                        <c:v>8.7718150942428643</c:v>
                      </c:pt>
                      <c:pt idx="7">
                        <c:v>8.7718150942428643</c:v>
                      </c:pt>
                      <c:pt idx="8">
                        <c:v>8.7718150942428643</c:v>
                      </c:pt>
                      <c:pt idx="9">
                        <c:v>8.7718150942428643</c:v>
                      </c:pt>
                      <c:pt idx="10">
                        <c:v>8.7718150942428643</c:v>
                      </c:pt>
                      <c:pt idx="11">
                        <c:v>8.7718150942428643</c:v>
                      </c:pt>
                      <c:pt idx="12">
                        <c:v>8.7718150942428643</c:v>
                      </c:pt>
                      <c:pt idx="13">
                        <c:v>8.7718150942428643</c:v>
                      </c:pt>
                      <c:pt idx="14">
                        <c:v>8.7718150942428643</c:v>
                      </c:pt>
                      <c:pt idx="15">
                        <c:v>8.7718150942428643</c:v>
                      </c:pt>
                      <c:pt idx="16">
                        <c:v>8.7718150942428643</c:v>
                      </c:pt>
                      <c:pt idx="17">
                        <c:v>8.7718150942428643</c:v>
                      </c:pt>
                      <c:pt idx="18">
                        <c:v>8.7718150942428643</c:v>
                      </c:pt>
                      <c:pt idx="19">
                        <c:v>8.7718150942428643</c:v>
                      </c:pt>
                      <c:pt idx="20">
                        <c:v>8.7718150942428643</c:v>
                      </c:pt>
                      <c:pt idx="21">
                        <c:v>8.7718150942428643</c:v>
                      </c:pt>
                      <c:pt idx="22">
                        <c:v>8.7718150942428643</c:v>
                      </c:pt>
                      <c:pt idx="23">
                        <c:v>8.7718150942428643</c:v>
                      </c:pt>
                      <c:pt idx="24">
                        <c:v>8.7718150942428643</c:v>
                      </c:pt>
                      <c:pt idx="25">
                        <c:v>8.7718150942428643</c:v>
                      </c:pt>
                      <c:pt idx="26">
                        <c:v>8.7718150942428643</c:v>
                      </c:pt>
                      <c:pt idx="27">
                        <c:v>8.7718150942428643</c:v>
                      </c:pt>
                      <c:pt idx="28">
                        <c:v>8.7718150942428643</c:v>
                      </c:pt>
                      <c:pt idx="29">
                        <c:v>8.7718150942428643</c:v>
                      </c:pt>
                      <c:pt idx="30">
                        <c:v>8.7718150942428643</c:v>
                      </c:pt>
                      <c:pt idx="31">
                        <c:v>8.7718150942428643</c:v>
                      </c:pt>
                      <c:pt idx="32">
                        <c:v>8.7718150942428643</c:v>
                      </c:pt>
                      <c:pt idx="33">
                        <c:v>8.7718150942428643</c:v>
                      </c:pt>
                      <c:pt idx="34">
                        <c:v>8.7718150942428643</c:v>
                      </c:pt>
                      <c:pt idx="35">
                        <c:v>8.7718150942428643</c:v>
                      </c:pt>
                      <c:pt idx="36">
                        <c:v>8.7718150942428643</c:v>
                      </c:pt>
                      <c:pt idx="37">
                        <c:v>8.7718150942428643</c:v>
                      </c:pt>
                      <c:pt idx="38">
                        <c:v>8.7718150942428643</c:v>
                      </c:pt>
                      <c:pt idx="39">
                        <c:v>8.7718150942428643</c:v>
                      </c:pt>
                      <c:pt idx="40">
                        <c:v>8.7718150942428643</c:v>
                      </c:pt>
                      <c:pt idx="41">
                        <c:v>8.7718150942428643</c:v>
                      </c:pt>
                      <c:pt idx="42">
                        <c:v>8.7718150942428643</c:v>
                      </c:pt>
                      <c:pt idx="43">
                        <c:v>8.7718150942428643</c:v>
                      </c:pt>
                      <c:pt idx="44">
                        <c:v>8.7718150942428643</c:v>
                      </c:pt>
                      <c:pt idx="45">
                        <c:v>8.7718150942428643</c:v>
                      </c:pt>
                      <c:pt idx="46">
                        <c:v>8.7718150942428643</c:v>
                      </c:pt>
                      <c:pt idx="47">
                        <c:v>8.7718150942428643</c:v>
                      </c:pt>
                      <c:pt idx="48">
                        <c:v>8.7718150942428643</c:v>
                      </c:pt>
                      <c:pt idx="49">
                        <c:v>8.7718150942428643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1.316194778564225</c:v>
                      </c:pt>
                      <c:pt idx="2">
                        <c:v>0.42656075339890798</c:v>
                      </c:pt>
                      <c:pt idx="3">
                        <c:v>-0.10634024284000176</c:v>
                      </c:pt>
                      <c:pt idx="4">
                        <c:v>-0.60444208400731725</c:v>
                      </c:pt>
                      <c:pt idx="5">
                        <c:v>-0.82896391776927203</c:v>
                      </c:pt>
                      <c:pt idx="6">
                        <c:v>-0.91938990721773806</c:v>
                      </c:pt>
                      <c:pt idx="7">
                        <c:v>-0.68995913989056135</c:v>
                      </c:pt>
                      <c:pt idx="8">
                        <c:v>-0.25000490703259715</c:v>
                      </c:pt>
                      <c:pt idx="9">
                        <c:v>0.32410387380177319</c:v>
                      </c:pt>
                      <c:pt idx="10">
                        <c:v>0.99352875199150148</c:v>
                      </c:pt>
                      <c:pt idx="11">
                        <c:v>1.7351232463558297</c:v>
                      </c:pt>
                      <c:pt idx="12">
                        <c:v>1.2556802183972593</c:v>
                      </c:pt>
                      <c:pt idx="13">
                        <c:v>0.67218083495661496</c:v>
                      </c:pt>
                      <c:pt idx="14">
                        <c:v>0.20374859275529289</c:v>
                      </c:pt>
                      <c:pt idx="15">
                        <c:v>-0.1665914642663413</c:v>
                      </c:pt>
                      <c:pt idx="16">
                        <c:v>-0.45146817103756121</c:v>
                      </c:pt>
                      <c:pt idx="17">
                        <c:v>-0.66131775920075242</c:v>
                      </c:pt>
                      <c:pt idx="18">
                        <c:v>-0.80467364769765126</c:v>
                      </c:pt>
                      <c:pt idx="19">
                        <c:v>-0.88841180380194729</c:v>
                      </c:pt>
                      <c:pt idx="20">
                        <c:v>-0.91786691022832656</c:v>
                      </c:pt>
                      <c:pt idx="21">
                        <c:v>-0.89845623389654961</c:v>
                      </c:pt>
                      <c:pt idx="22">
                        <c:v>-0.83435369220499211</c:v>
                      </c:pt>
                      <c:pt idx="23">
                        <c:v>-0.72935159326634746</c:v>
                      </c:pt>
                      <c:pt idx="24">
                        <c:v>-0.58552122996946565</c:v>
                      </c:pt>
                      <c:pt idx="25">
                        <c:v>-0.19598421856379389</c:v>
                      </c:pt>
                      <c:pt idx="26">
                        <c:v>0.31581228342432155</c:v>
                      </c:pt>
                      <c:pt idx="27">
                        <c:v>0.93428258616397031</c:v>
                      </c:pt>
                      <c:pt idx="28">
                        <c:v>1.6492902181131086</c:v>
                      </c:pt>
                      <c:pt idx="29">
                        <c:v>1.3866854087982716</c:v>
                      </c:pt>
                      <c:pt idx="30">
                        <c:v>0.76929964904479675</c:v>
                      </c:pt>
                      <c:pt idx="31">
                        <c:v>0.26643378536572726</c:v>
                      </c:pt>
                      <c:pt idx="32">
                        <c:v>-0.13089164991075819</c:v>
                      </c:pt>
                      <c:pt idx="33">
                        <c:v>-0.43281337577534273</c:v>
                      </c:pt>
                      <c:pt idx="34">
                        <c:v>-0.64476201417029699</c:v>
                      </c:pt>
                      <c:pt idx="35">
                        <c:v>-0.82735132902254094</c:v>
                      </c:pt>
                      <c:pt idx="36">
                        <c:v>-0.72088618223631329</c:v>
                      </c:pt>
                      <c:pt idx="37">
                        <c:v>-0.36374892090513811</c:v>
                      </c:pt>
                      <c:pt idx="38">
                        <c:v>0.22274587242705479</c:v>
                      </c:pt>
                      <c:pt idx="39">
                        <c:v>1.0047604476266514</c:v>
                      </c:pt>
                      <c:pt idx="40">
                        <c:v>1.9714361247139323</c:v>
                      </c:pt>
                      <c:pt idx="41">
                        <c:v>1.2578463612355151</c:v>
                      </c:pt>
                      <c:pt idx="42">
                        <c:v>0.55402730561020519</c:v>
                      </c:pt>
                      <c:pt idx="43">
                        <c:v>3.8424739861397939E-2</c:v>
                      </c:pt>
                      <c:pt idx="44">
                        <c:v>-0.29589996890422299</c:v>
                      </c:pt>
                      <c:pt idx="45">
                        <c:v>-0.46651865599773856</c:v>
                      </c:pt>
                      <c:pt idx="46">
                        <c:v>-0.4824660508141676</c:v>
                      </c:pt>
                      <c:pt idx="47">
                        <c:v>-0.35374237511760498</c:v>
                      </c:pt>
                      <c:pt idx="48">
                        <c:v>-9.6003794205046233E-2</c:v>
                      </c:pt>
                      <c:pt idx="49">
                        <c:v>0.28866623795309465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1.316194778564225</c:v>
                </c:pt>
                <c:pt idx="2">
                  <c:v>0.42656075339890798</c:v>
                </c:pt>
                <c:pt idx="3">
                  <c:v>-0.10634024284000176</c:v>
                </c:pt>
                <c:pt idx="4">
                  <c:v>-0.60444208400731725</c:v>
                </c:pt>
                <c:pt idx="5">
                  <c:v>-0.82896391776927203</c:v>
                </c:pt>
                <c:pt idx="6">
                  <c:v>-0.91938990721773806</c:v>
                </c:pt>
                <c:pt idx="7">
                  <c:v>-0.68995913989056135</c:v>
                </c:pt>
                <c:pt idx="8">
                  <c:v>-0.25000490703259715</c:v>
                </c:pt>
                <c:pt idx="9">
                  <c:v>0.32410387380177319</c:v>
                </c:pt>
                <c:pt idx="10">
                  <c:v>0.99352875199150148</c:v>
                </c:pt>
                <c:pt idx="11">
                  <c:v>1.7351232463558297</c:v>
                </c:pt>
                <c:pt idx="12">
                  <c:v>1.2556802183972593</c:v>
                </c:pt>
                <c:pt idx="13">
                  <c:v>0.67218083495661496</c:v>
                </c:pt>
                <c:pt idx="14">
                  <c:v>0.20374859275529289</c:v>
                </c:pt>
                <c:pt idx="15">
                  <c:v>-0.1665914642663413</c:v>
                </c:pt>
                <c:pt idx="16">
                  <c:v>-0.45146817103756121</c:v>
                </c:pt>
                <c:pt idx="17">
                  <c:v>-0.66131775920075242</c:v>
                </c:pt>
                <c:pt idx="18">
                  <c:v>-0.80467364769765126</c:v>
                </c:pt>
                <c:pt idx="19">
                  <c:v>-0.88841180380194729</c:v>
                </c:pt>
                <c:pt idx="20">
                  <c:v>-0.91786691022832656</c:v>
                </c:pt>
                <c:pt idx="21">
                  <c:v>-0.89845623389654961</c:v>
                </c:pt>
                <c:pt idx="22">
                  <c:v>-0.83435369220499211</c:v>
                </c:pt>
                <c:pt idx="23">
                  <c:v>-0.72935159326634746</c:v>
                </c:pt>
                <c:pt idx="24">
                  <c:v>-0.58552122996946565</c:v>
                </c:pt>
                <c:pt idx="25">
                  <c:v>-0.19598421856379389</c:v>
                </c:pt>
                <c:pt idx="26">
                  <c:v>0.31581228342432155</c:v>
                </c:pt>
                <c:pt idx="27">
                  <c:v>0.93428258616397031</c:v>
                </c:pt>
                <c:pt idx="28">
                  <c:v>1.6492902181131086</c:v>
                </c:pt>
                <c:pt idx="29">
                  <c:v>1.3866854087982716</c:v>
                </c:pt>
                <c:pt idx="30">
                  <c:v>0.76929964904479675</c:v>
                </c:pt>
                <c:pt idx="31">
                  <c:v>0.26643378536572726</c:v>
                </c:pt>
                <c:pt idx="32">
                  <c:v>-0.13089164991075819</c:v>
                </c:pt>
                <c:pt idx="33">
                  <c:v>-0.43281337577534273</c:v>
                </c:pt>
                <c:pt idx="34">
                  <c:v>-0.64476201417029699</c:v>
                </c:pt>
                <c:pt idx="35">
                  <c:v>-0.82735132902254094</c:v>
                </c:pt>
                <c:pt idx="36">
                  <c:v>-0.72088618223631329</c:v>
                </c:pt>
                <c:pt idx="37">
                  <c:v>-0.36374892090513811</c:v>
                </c:pt>
                <c:pt idx="38">
                  <c:v>0.22274587242705479</c:v>
                </c:pt>
                <c:pt idx="39">
                  <c:v>1.0047604476266514</c:v>
                </c:pt>
                <c:pt idx="40">
                  <c:v>1.9714361247139323</c:v>
                </c:pt>
                <c:pt idx="41">
                  <c:v>1.2578463612355151</c:v>
                </c:pt>
                <c:pt idx="42">
                  <c:v>0.55402730561020519</c:v>
                </c:pt>
                <c:pt idx="43">
                  <c:v>3.8424739861397939E-2</c:v>
                </c:pt>
                <c:pt idx="44">
                  <c:v>-0.29589996890422299</c:v>
                </c:pt>
                <c:pt idx="45">
                  <c:v>-0.46651865599773856</c:v>
                </c:pt>
                <c:pt idx="46">
                  <c:v>-0.4824660508141676</c:v>
                </c:pt>
                <c:pt idx="47">
                  <c:v>-0.35374237511760498</c:v>
                </c:pt>
                <c:pt idx="48">
                  <c:v>-9.6003794205046233E-2</c:v>
                </c:pt>
                <c:pt idx="49">
                  <c:v>0.28866623795309465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7.4556203156786394</c:v>
                      </c:pt>
                      <c:pt idx="2">
                        <c:v>8.6865029435630827</c:v>
                      </c:pt>
                      <c:pt idx="3">
                        <c:v>8.7824491185268645</c:v>
                      </c:pt>
                      <c:pt idx="4">
                        <c:v>8.8020371984432302</c:v>
                      </c:pt>
                      <c:pt idx="5">
                        <c:v>8.7994472248351734</c:v>
                      </c:pt>
                      <c:pt idx="6">
                        <c:v>8.7902028923872191</c:v>
                      </c:pt>
                      <c:pt idx="7">
                        <c:v>8.7810145494414051</c:v>
                      </c:pt>
                      <c:pt idx="8">
                        <c:v>8.7743151433131903</c:v>
                      </c:pt>
                      <c:pt idx="9">
                        <c:v>8.7692222632524501</c:v>
                      </c:pt>
                      <c:pt idx="10">
                        <c:v>8.7651915692295876</c:v>
                      </c:pt>
                      <c:pt idx="11">
                        <c:v>8.7619001042636881</c:v>
                      </c:pt>
                      <c:pt idx="12">
                        <c:v>8.765536693150878</c:v>
                      </c:pt>
                      <c:pt idx="13">
                        <c:v>8.7688276238652794</c:v>
                      </c:pt>
                      <c:pt idx="14">
                        <c:v>8.7710000998718431</c:v>
                      </c:pt>
                      <c:pt idx="15">
                        <c:v>8.772420881385651</c:v>
                      </c:pt>
                      <c:pt idx="16">
                        <c:v>8.7733199881463229</c:v>
                      </c:pt>
                      <c:pt idx="17">
                        <c:v>8.7738499181173282</c:v>
                      </c:pt>
                      <c:pt idx="18">
                        <c:v>8.7741141618077148</c:v>
                      </c:pt>
                      <c:pt idx="19">
                        <c:v>8.7741841923863362</c:v>
                      </c:pt>
                      <c:pt idx="20">
                        <c:v>8.7741097615184351</c:v>
                      </c:pt>
                      <c:pt idx="21">
                        <c:v>8.7739291089108562</c:v>
                      </c:pt>
                      <c:pt idx="22">
                        <c:v>8.7736692135588754</c:v>
                      </c:pt>
                      <c:pt idx="23">
                        <c:v>8.7733505712813198</c:v>
                      </c:pt>
                      <c:pt idx="24">
                        <c:v>8.7729861367028033</c:v>
                      </c:pt>
                      <c:pt idx="25">
                        <c:v>8.7721714291857076</c:v>
                      </c:pt>
                      <c:pt idx="26">
                        <c:v>8.7712887404371571</c:v>
                      </c:pt>
                      <c:pt idx="27">
                        <c:v>8.7703777364179967</c:v>
                      </c:pt>
                      <c:pt idx="28">
                        <c:v>8.7694589653598456</c:v>
                      </c:pt>
                      <c:pt idx="29">
                        <c:v>8.7699661803644666</c:v>
                      </c:pt>
                      <c:pt idx="30">
                        <c:v>8.7708534696815583</c:v>
                      </c:pt>
                      <c:pt idx="31">
                        <c:v>8.7715016427306693</c:v>
                      </c:pt>
                      <c:pt idx="32">
                        <c:v>8.7719605294094318</c:v>
                      </c:pt>
                      <c:pt idx="33">
                        <c:v>8.7722706872699963</c:v>
                      </c:pt>
                      <c:pt idx="34">
                        <c:v>8.7724598562570346</c:v>
                      </c:pt>
                      <c:pt idx="35">
                        <c:v>8.772567231814703</c:v>
                      </c:pt>
                      <c:pt idx="36">
                        <c:v>8.7724158327280612</c:v>
                      </c:pt>
                      <c:pt idx="37">
                        <c:v>8.772094901105099</c:v>
                      </c:pt>
                      <c:pt idx="38">
                        <c:v>8.7716559900482736</c:v>
                      </c:pt>
                      <c:pt idx="39">
                        <c:v>8.7711452539444466</c:v>
                      </c:pt>
                      <c:pt idx="40">
                        <c:v>8.7705829466649181</c:v>
                      </c:pt>
                      <c:pt idx="41">
                        <c:v>8.7710751846186081</c:v>
                      </c:pt>
                      <c:pt idx="42">
                        <c:v>8.7715073012953031</c:v>
                      </c:pt>
                      <c:pt idx="43">
                        <c:v>8.7717948706955688</c:v>
                      </c:pt>
                      <c:pt idx="44">
                        <c:v>8.7719630442273164</c:v>
                      </c:pt>
                      <c:pt idx="45">
                        <c:v>8.7720372459838156</c:v>
                      </c:pt>
                      <c:pt idx="46">
                        <c:v>8.7720343969932344</c:v>
                      </c:pt>
                      <c:pt idx="47">
                        <c:v>8.7719688952755241</c:v>
                      </c:pt>
                      <c:pt idx="48">
                        <c:v>8.7718550958237831</c:v>
                      </c:pt>
                      <c:pt idx="49">
                        <c:v>8.7716996277476831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7.8125E-3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7.8125E-3</c:v>
                      </c:pt>
                      <c:pt idx="6">
                        <c:v>1.5625E-2</c:v>
                      </c:pt>
                      <c:pt idx="7">
                        <c:v>2.34375E-2</c:v>
                      </c:pt>
                      <c:pt idx="8">
                        <c:v>3.90625E-2</c:v>
                      </c:pt>
                      <c:pt idx="9">
                        <c:v>5.46875E-2</c:v>
                      </c:pt>
                      <c:pt idx="10">
                        <c:v>7.03125E-2</c:v>
                      </c:pt>
                      <c:pt idx="11">
                        <c:v>8.59375E-2</c:v>
                      </c:pt>
                      <c:pt idx="12">
                        <c:v>0.109375</c:v>
                      </c:pt>
                      <c:pt idx="13">
                        <c:v>0.125</c:v>
                      </c:pt>
                      <c:pt idx="14">
                        <c:v>0.1328125</c:v>
                      </c:pt>
                      <c:pt idx="15">
                        <c:v>0.15625</c:v>
                      </c:pt>
                      <c:pt idx="16">
                        <c:v>0.1875</c:v>
                      </c:pt>
                      <c:pt idx="17">
                        <c:v>0.2109375</c:v>
                      </c:pt>
                      <c:pt idx="18">
                        <c:v>0.2265625</c:v>
                      </c:pt>
                      <c:pt idx="19">
                        <c:v>0.25</c:v>
                      </c:pt>
                      <c:pt idx="20">
                        <c:v>0.28125</c:v>
                      </c:pt>
                      <c:pt idx="21">
                        <c:v>0.2890625</c:v>
                      </c:pt>
                      <c:pt idx="22">
                        <c:v>0.3203125</c:v>
                      </c:pt>
                      <c:pt idx="23">
                        <c:v>0.34375</c:v>
                      </c:pt>
                      <c:pt idx="24">
                        <c:v>0.3828125</c:v>
                      </c:pt>
                      <c:pt idx="25">
                        <c:v>0.515625</c:v>
                      </c:pt>
                      <c:pt idx="26">
                        <c:v>0.5</c:v>
                      </c:pt>
                      <c:pt idx="27">
                        <c:v>0.5546875</c:v>
                      </c:pt>
                      <c:pt idx="28">
                        <c:v>0.625</c:v>
                      </c:pt>
                      <c:pt idx="29">
                        <c:v>0.6953125</c:v>
                      </c:pt>
                      <c:pt idx="30">
                        <c:v>0.765625</c:v>
                      </c:pt>
                      <c:pt idx="31">
                        <c:v>0.828125</c:v>
                      </c:pt>
                      <c:pt idx="32">
                        <c:v>0.890625</c:v>
                      </c:pt>
                      <c:pt idx="33">
                        <c:v>1.03125</c:v>
                      </c:pt>
                      <c:pt idx="34">
                        <c:v>1.0234375</c:v>
                      </c:pt>
                      <c:pt idx="35">
                        <c:v>1.1953125</c:v>
                      </c:pt>
                      <c:pt idx="36">
                        <c:v>1.421875</c:v>
                      </c:pt>
                      <c:pt idx="37">
                        <c:v>1.546875</c:v>
                      </c:pt>
                      <c:pt idx="38">
                        <c:v>1.703125</c:v>
                      </c:pt>
                      <c:pt idx="39">
                        <c:v>1.90625</c:v>
                      </c:pt>
                      <c:pt idx="40">
                        <c:v>2.1640625</c:v>
                      </c:pt>
                      <c:pt idx="41">
                        <c:v>2.2265625</c:v>
                      </c:pt>
                      <c:pt idx="42">
                        <c:v>2.453125</c:v>
                      </c:pt>
                      <c:pt idx="43">
                        <c:v>2.65625</c:v>
                      </c:pt>
                      <c:pt idx="44">
                        <c:v>2.8828125</c:v>
                      </c:pt>
                      <c:pt idx="45">
                        <c:v>3.09375</c:v>
                      </c:pt>
                      <c:pt idx="46">
                        <c:v>3.3125</c:v>
                      </c:pt>
                      <c:pt idx="47">
                        <c:v>3.4453125</c:v>
                      </c:pt>
                      <c:pt idx="48">
                        <c:v>3.765625</c:v>
                      </c:pt>
                      <c:pt idx="49">
                        <c:v>3.9765625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8.7718150942428643</c:v>
                      </c:pt>
                      <c:pt idx="2">
                        <c:v>8.7718150942428643</c:v>
                      </c:pt>
                      <c:pt idx="3">
                        <c:v>8.7718150942428643</c:v>
                      </c:pt>
                      <c:pt idx="4">
                        <c:v>8.7718150942428643</c:v>
                      </c:pt>
                      <c:pt idx="5">
                        <c:v>8.7718150942428643</c:v>
                      </c:pt>
                      <c:pt idx="6">
                        <c:v>8.7718150942428643</c:v>
                      </c:pt>
                      <c:pt idx="7">
                        <c:v>8.7718150942428643</c:v>
                      </c:pt>
                      <c:pt idx="8">
                        <c:v>8.7718150942428643</c:v>
                      </c:pt>
                      <c:pt idx="9">
                        <c:v>8.7718150942428643</c:v>
                      </c:pt>
                      <c:pt idx="10">
                        <c:v>8.7718150942428643</c:v>
                      </c:pt>
                      <c:pt idx="11">
                        <c:v>8.7718150942428643</c:v>
                      </c:pt>
                      <c:pt idx="12">
                        <c:v>8.7718150942428643</c:v>
                      </c:pt>
                      <c:pt idx="13">
                        <c:v>8.7718150942428643</c:v>
                      </c:pt>
                      <c:pt idx="14">
                        <c:v>8.7718150942428643</c:v>
                      </c:pt>
                      <c:pt idx="15">
                        <c:v>8.7718150942428643</c:v>
                      </c:pt>
                      <c:pt idx="16">
                        <c:v>8.7718150942428643</c:v>
                      </c:pt>
                      <c:pt idx="17">
                        <c:v>8.7718150942428643</c:v>
                      </c:pt>
                      <c:pt idx="18">
                        <c:v>8.7718150942428643</c:v>
                      </c:pt>
                      <c:pt idx="19">
                        <c:v>8.7718150942428643</c:v>
                      </c:pt>
                      <c:pt idx="20">
                        <c:v>8.7718150942428643</c:v>
                      </c:pt>
                      <c:pt idx="21">
                        <c:v>8.7718150942428643</c:v>
                      </c:pt>
                      <c:pt idx="22">
                        <c:v>8.7718150942428643</c:v>
                      </c:pt>
                      <c:pt idx="23">
                        <c:v>8.7718150942428643</c:v>
                      </c:pt>
                      <c:pt idx="24">
                        <c:v>8.7718150942428643</c:v>
                      </c:pt>
                      <c:pt idx="25">
                        <c:v>8.7718150942428643</c:v>
                      </c:pt>
                      <c:pt idx="26">
                        <c:v>8.7718150942428643</c:v>
                      </c:pt>
                      <c:pt idx="27">
                        <c:v>8.7718150942428643</c:v>
                      </c:pt>
                      <c:pt idx="28">
                        <c:v>8.7718150942428643</c:v>
                      </c:pt>
                      <c:pt idx="29">
                        <c:v>8.7718150942428643</c:v>
                      </c:pt>
                      <c:pt idx="30">
                        <c:v>8.7718150942428643</c:v>
                      </c:pt>
                      <c:pt idx="31">
                        <c:v>8.7718150942428643</c:v>
                      </c:pt>
                      <c:pt idx="32">
                        <c:v>8.7718150942428643</c:v>
                      </c:pt>
                      <c:pt idx="33">
                        <c:v>8.7718150942428643</c:v>
                      </c:pt>
                      <c:pt idx="34">
                        <c:v>8.7718150942428643</c:v>
                      </c:pt>
                      <c:pt idx="35">
                        <c:v>8.7718150942428643</c:v>
                      </c:pt>
                      <c:pt idx="36">
                        <c:v>8.7718150942428643</c:v>
                      </c:pt>
                      <c:pt idx="37">
                        <c:v>8.7718150942428643</c:v>
                      </c:pt>
                      <c:pt idx="38">
                        <c:v>8.7718150942428643</c:v>
                      </c:pt>
                      <c:pt idx="39">
                        <c:v>8.7718150942428643</c:v>
                      </c:pt>
                      <c:pt idx="40">
                        <c:v>8.7718150942428643</c:v>
                      </c:pt>
                      <c:pt idx="41">
                        <c:v>8.7718150942428643</c:v>
                      </c:pt>
                      <c:pt idx="42">
                        <c:v>8.7718150942428643</c:v>
                      </c:pt>
                      <c:pt idx="43">
                        <c:v>8.7718150942428643</c:v>
                      </c:pt>
                      <c:pt idx="44">
                        <c:v>8.7718150942428643</c:v>
                      </c:pt>
                      <c:pt idx="45">
                        <c:v>8.7718150942428643</c:v>
                      </c:pt>
                      <c:pt idx="46">
                        <c:v>8.7718150942428643</c:v>
                      </c:pt>
                      <c:pt idx="47">
                        <c:v>8.7718150942428643</c:v>
                      </c:pt>
                      <c:pt idx="48">
                        <c:v>8.7718150942428643</c:v>
                      </c:pt>
                      <c:pt idx="49">
                        <c:v>8.7718150942428643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1.316194778564225</c:v>
                      </c:pt>
                      <c:pt idx="2">
                        <c:v>8.5312150679781595E-2</c:v>
                      </c:pt>
                      <c:pt idx="3">
                        <c:v>-1.0634024284000176E-2</c:v>
                      </c:pt>
                      <c:pt idx="4">
                        <c:v>-3.0222104200365862E-2</c:v>
                      </c:pt>
                      <c:pt idx="5">
                        <c:v>-2.7632130592309068E-2</c:v>
                      </c:pt>
                      <c:pt idx="6">
                        <c:v>-1.8387798144354761E-2</c:v>
                      </c:pt>
                      <c:pt idx="7">
                        <c:v>-9.1994551985408179E-3</c:v>
                      </c:pt>
                      <c:pt idx="8">
                        <c:v>-2.5000490703259715E-3</c:v>
                      </c:pt>
                      <c:pt idx="9">
                        <c:v>2.5928309904141855E-3</c:v>
                      </c:pt>
                      <c:pt idx="10">
                        <c:v>6.6235250132766765E-3</c:v>
                      </c:pt>
                      <c:pt idx="11">
                        <c:v>9.9149899791761698E-3</c:v>
                      </c:pt>
                      <c:pt idx="12">
                        <c:v>6.2784010919862965E-3</c:v>
                      </c:pt>
                      <c:pt idx="13">
                        <c:v>2.9874703775849554E-3</c:v>
                      </c:pt>
                      <c:pt idx="14">
                        <c:v>8.1499437102117156E-4</c:v>
                      </c:pt>
                      <c:pt idx="15">
                        <c:v>-6.0578714278669565E-4</c:v>
                      </c:pt>
                      <c:pt idx="16">
                        <c:v>-1.5048939034585374E-3</c:v>
                      </c:pt>
                      <c:pt idx="17">
                        <c:v>-2.0348238744638536E-3</c:v>
                      </c:pt>
                      <c:pt idx="18">
                        <c:v>-2.2990675648504322E-3</c:v>
                      </c:pt>
                      <c:pt idx="19">
                        <c:v>-2.3690981434718594E-3</c:v>
                      </c:pt>
                      <c:pt idx="20">
                        <c:v>-2.2946672755708164E-3</c:v>
                      </c:pt>
                      <c:pt idx="21">
                        <c:v>-2.1140146679918814E-3</c:v>
                      </c:pt>
                      <c:pt idx="22">
                        <c:v>-1.8541193160110936E-3</c:v>
                      </c:pt>
                      <c:pt idx="23">
                        <c:v>-1.5354770384554683E-3</c:v>
                      </c:pt>
                      <c:pt idx="24">
                        <c:v>-1.1710424599389313E-3</c:v>
                      </c:pt>
                      <c:pt idx="25">
                        <c:v>-3.5633494284326162E-4</c:v>
                      </c:pt>
                      <c:pt idx="26">
                        <c:v>5.2635380570720258E-4</c:v>
                      </c:pt>
                      <c:pt idx="27">
                        <c:v>1.4373578248676466E-3</c:v>
                      </c:pt>
                      <c:pt idx="28">
                        <c:v>2.3561288830187266E-3</c:v>
                      </c:pt>
                      <c:pt idx="29">
                        <c:v>1.8489138783976955E-3</c:v>
                      </c:pt>
                      <c:pt idx="30">
                        <c:v>9.6162456130599594E-4</c:v>
                      </c:pt>
                      <c:pt idx="31">
                        <c:v>3.1345151219497325E-4</c:v>
                      </c:pt>
                      <c:pt idx="32">
                        <c:v>-1.454351665675091E-4</c:v>
                      </c:pt>
                      <c:pt idx="33">
                        <c:v>-4.5559302713193972E-4</c:v>
                      </c:pt>
                      <c:pt idx="34">
                        <c:v>-6.4476201417029699E-4</c:v>
                      </c:pt>
                      <c:pt idx="35">
                        <c:v>-7.5213757183867358E-4</c:v>
                      </c:pt>
                      <c:pt idx="36">
                        <c:v>-6.0073848519692774E-4</c:v>
                      </c:pt>
                      <c:pt idx="37">
                        <c:v>-2.7980686223472162E-4</c:v>
                      </c:pt>
                      <c:pt idx="38">
                        <c:v>1.5910419459075342E-4</c:v>
                      </c:pt>
                      <c:pt idx="39">
                        <c:v>6.698402984177676E-4</c:v>
                      </c:pt>
                      <c:pt idx="40">
                        <c:v>1.2321475779462077E-3</c:v>
                      </c:pt>
                      <c:pt idx="41">
                        <c:v>7.3990962425618534E-4</c:v>
                      </c:pt>
                      <c:pt idx="42">
                        <c:v>3.0779294756122511E-4</c:v>
                      </c:pt>
                      <c:pt idx="43">
                        <c:v>2.0223547295472599E-5</c:v>
                      </c:pt>
                      <c:pt idx="44">
                        <c:v>-1.4794998445211149E-4</c:v>
                      </c:pt>
                      <c:pt idx="45">
                        <c:v>-2.2215174095130408E-4</c:v>
                      </c:pt>
                      <c:pt idx="46">
                        <c:v>-2.1930275037007618E-4</c:v>
                      </c:pt>
                      <c:pt idx="47">
                        <c:v>-1.5380103265982825E-4</c:v>
                      </c:pt>
                      <c:pt idx="48">
                        <c:v>-4.0001580918769264E-5</c:v>
                      </c:pt>
                      <c:pt idx="49">
                        <c:v>1.1546649518123786E-4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-0.75332696968716917</c:v>
                </c:pt>
                <c:pt idx="2">
                  <c:v>-0.73534801132510452</c:v>
                </c:pt>
                <c:pt idx="3">
                  <c:v>-0.67473334197496015</c:v>
                </c:pt>
                <c:pt idx="4">
                  <c:v>-0.67473334197496371</c:v>
                </c:pt>
                <c:pt idx="5">
                  <c:v>-0.67473334197497081</c:v>
                </c:pt>
                <c:pt idx="6">
                  <c:v>-0.6747333419749495</c:v>
                </c:pt>
                <c:pt idx="7">
                  <c:v>-0.65029075359591815</c:v>
                </c:pt>
                <c:pt idx="8">
                  <c:v>-0.58591730978314516</c:v>
                </c:pt>
                <c:pt idx="9">
                  <c:v>-0.58591730978314693</c:v>
                </c:pt>
                <c:pt idx="10">
                  <c:v>-0.58591730978315226</c:v>
                </c:pt>
                <c:pt idx="11">
                  <c:v>-0.58591730978313983</c:v>
                </c:pt>
                <c:pt idx="12">
                  <c:v>-0.5822437195706005</c:v>
                </c:pt>
                <c:pt idx="13">
                  <c:v>-0.49139517752465878</c:v>
                </c:pt>
                <c:pt idx="14">
                  <c:v>-0.49139517752466588</c:v>
                </c:pt>
                <c:pt idx="15">
                  <c:v>-0.49139517752466233</c:v>
                </c:pt>
                <c:pt idx="16">
                  <c:v>-0.49139517752466411</c:v>
                </c:pt>
                <c:pt idx="17">
                  <c:v>-0.49139517752466055</c:v>
                </c:pt>
                <c:pt idx="18">
                  <c:v>-0.44368701151133827</c:v>
                </c:pt>
                <c:pt idx="19">
                  <c:v>-0.39666007936988734</c:v>
                </c:pt>
                <c:pt idx="20">
                  <c:v>-0.39666007936988201</c:v>
                </c:pt>
                <c:pt idx="21">
                  <c:v>-0.39666007936988645</c:v>
                </c:pt>
                <c:pt idx="22">
                  <c:v>-0.39666007936988379</c:v>
                </c:pt>
                <c:pt idx="23">
                  <c:v>-0.39666007936988557</c:v>
                </c:pt>
                <c:pt idx="24">
                  <c:v>-0.33833023549543828</c:v>
                </c:pt>
                <c:pt idx="25">
                  <c:v>-0.30724256974470077</c:v>
                </c:pt>
                <c:pt idx="26">
                  <c:v>-0.30724256974469544</c:v>
                </c:pt>
                <c:pt idx="27">
                  <c:v>-0.30724256974469721</c:v>
                </c:pt>
                <c:pt idx="28">
                  <c:v>-0.30724256974469544</c:v>
                </c:pt>
                <c:pt idx="29">
                  <c:v>-0.30724256974470254</c:v>
                </c:pt>
                <c:pt idx="30">
                  <c:v>-0.2701217821317945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-0.73546883244415184</c:v>
                </c:pt>
                <c:pt idx="2">
                  <c:v>-0.71942120609408278</c:v>
                </c:pt>
                <c:pt idx="3">
                  <c:v>-0.7030355075205641</c:v>
                </c:pt>
                <c:pt idx="4">
                  <c:v>-0.68635130127900013</c:v>
                </c:pt>
                <c:pt idx="5">
                  <c:v>-0.66940899869878834</c:v>
                </c:pt>
                <c:pt idx="6">
                  <c:v>-0.65224952878383924</c:v>
                </c:pt>
                <c:pt idx="7">
                  <c:v>-0.63491402070151537</c:v>
                </c:pt>
                <c:pt idx="8">
                  <c:v>-0.61744350103952428</c:v>
                </c:pt>
                <c:pt idx="9">
                  <c:v>-0.59987860851990504</c:v>
                </c:pt>
                <c:pt idx="10">
                  <c:v>-0.58225932837327221</c:v>
                </c:pt>
                <c:pt idx="11">
                  <c:v>-0.56462474809928942</c:v>
                </c:pt>
                <c:pt idx="12">
                  <c:v>-0.5470128358827111</c:v>
                </c:pt>
                <c:pt idx="13">
                  <c:v>-0.52946024250394252</c:v>
                </c:pt>
                <c:pt idx="14">
                  <c:v>-0.51200212718262428</c:v>
                </c:pt>
                <c:pt idx="15">
                  <c:v>-0.49467200742834017</c:v>
                </c:pt>
                <c:pt idx="16">
                  <c:v>-0.47750163264559475</c:v>
                </c:pt>
                <c:pt idx="17">
                  <c:v>-0.46052088095148491</c:v>
                </c:pt>
                <c:pt idx="18">
                  <c:v>-0.44375767841599156</c:v>
                </c:pt>
                <c:pt idx="19">
                  <c:v>-0.42723793972498036</c:v>
                </c:pt>
                <c:pt idx="20">
                  <c:v>-0.41098552909399721</c:v>
                </c:pt>
                <c:pt idx="21">
                  <c:v>-0.39502224012551146</c:v>
                </c:pt>
                <c:pt idx="22">
                  <c:v>-0.37936779319951608</c:v>
                </c:pt>
                <c:pt idx="23">
                  <c:v>-0.36403984891840224</c:v>
                </c:pt>
                <c:pt idx="24">
                  <c:v>-0.34905403608378105</c:v>
                </c:pt>
                <c:pt idx="25">
                  <c:v>-0.33442399266796308</c:v>
                </c:pt>
                <c:pt idx="26">
                  <c:v>-0.32016141824897915</c:v>
                </c:pt>
                <c:pt idx="27">
                  <c:v>-0.30627613640454143</c:v>
                </c:pt>
                <c:pt idx="28">
                  <c:v>-0.29277616560372532</c:v>
                </c:pt>
                <c:pt idx="29">
                  <c:v>-0.27966779719252521</c:v>
                </c:pt>
                <c:pt idx="30">
                  <c:v>-0.26695567913803586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1.0979769644873016E-2</c:v>
                </c:pt>
                <c:pt idx="1">
                  <c:v>-6.8783675981443082E-3</c:v>
                </c:pt>
                <c:pt idx="2">
                  <c:v>-2.2805172829166054E-2</c:v>
                </c:pt>
                <c:pt idx="3">
                  <c:v>5.4969927164378873E-3</c:v>
                </c:pt>
                <c:pt idx="4">
                  <c:v>1.7114952020474306E-2</c:v>
                </c:pt>
                <c:pt idx="5">
                  <c:v>1.1790608744291831E-2</c:v>
                </c:pt>
                <c:pt idx="6">
                  <c:v>-1.0693204446818427E-2</c:v>
                </c:pt>
                <c:pt idx="7">
                  <c:v>-2.6069937341221205E-2</c:v>
                </c:pt>
                <c:pt idx="8">
                  <c:v>5.4562539151579159E-3</c:v>
                </c:pt>
                <c:pt idx="9">
                  <c:v>1.9417552651916026E-2</c:v>
                </c:pt>
                <c:pt idx="10">
                  <c:v>1.5759571242035975E-2</c:v>
                </c:pt>
                <c:pt idx="11">
                  <c:v>-5.5329904418144338E-3</c:v>
                </c:pt>
                <c:pt idx="12">
                  <c:v>-4.0763874129703837E-2</c:v>
                </c:pt>
                <c:pt idx="13">
                  <c:v>-2.6988091504200895E-3</c:v>
                </c:pt>
                <c:pt idx="14">
                  <c:v>1.7908140507538306E-2</c:v>
                </c:pt>
                <c:pt idx="15">
                  <c:v>2.1184970411216142E-2</c:v>
                </c:pt>
                <c:pt idx="16">
                  <c:v>7.2914255321467891E-3</c:v>
                </c:pt>
                <c:pt idx="17">
                  <c:v>-2.3582871041028852E-2</c:v>
                </c:pt>
                <c:pt idx="18">
                  <c:v>-2.3512204136375559E-2</c:v>
                </c:pt>
                <c:pt idx="19">
                  <c:v>7.0656562187174643E-3</c:v>
                </c:pt>
                <c:pt idx="20">
                  <c:v>2.1391105942832667E-2</c:v>
                </c:pt>
                <c:pt idx="21">
                  <c:v>1.9753266698457672E-2</c:v>
                </c:pt>
                <c:pt idx="22">
                  <c:v>2.4609805280899621E-3</c:v>
                </c:pt>
                <c:pt idx="23">
                  <c:v>-3.0159249923393361E-2</c:v>
                </c:pt>
                <c:pt idx="24">
                  <c:v>-1.9435449335050592E-2</c:v>
                </c:pt>
                <c:pt idx="25">
                  <c:v>7.7459735882117187E-3</c:v>
                </c:pt>
                <c:pt idx="26">
                  <c:v>2.0664822092495427E-2</c:v>
                </c:pt>
                <c:pt idx="27">
                  <c:v>1.9698388752339646E-2</c:v>
                </c:pt>
                <c:pt idx="28">
                  <c:v>5.2319846113695334E-3</c:v>
                </c:pt>
                <c:pt idx="29">
                  <c:v>-2.2342787940807796E-2</c:v>
                </c:pt>
                <c:pt idx="30">
                  <c:v>-2.5508890934566431E-2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19.442247884202345</c:v>
                </c:pt>
                <c:pt idx="1">
                  <c:v>18.688920914515176</c:v>
                </c:pt>
                <c:pt idx="2">
                  <c:v>17.953572903190071</c:v>
                </c:pt>
                <c:pt idx="3">
                  <c:v>17.278839561215111</c:v>
                </c:pt>
                <c:pt idx="4">
                  <c:v>16.604106219240148</c:v>
                </c:pt>
                <c:pt idx="5">
                  <c:v>15.929372877265177</c:v>
                </c:pt>
                <c:pt idx="6">
                  <c:v>15.254639535290227</c:v>
                </c:pt>
                <c:pt idx="7">
                  <c:v>14.604348781694309</c:v>
                </c:pt>
                <c:pt idx="8">
                  <c:v>14.018431471911164</c:v>
                </c:pt>
                <c:pt idx="9">
                  <c:v>13.432514162128017</c:v>
                </c:pt>
                <c:pt idx="10">
                  <c:v>12.846596852344865</c:v>
                </c:pt>
                <c:pt idx="11">
                  <c:v>12.260679542561725</c:v>
                </c:pt>
                <c:pt idx="12">
                  <c:v>11.678435822991124</c:v>
                </c:pt>
                <c:pt idx="13">
                  <c:v>11.187040645466466</c:v>
                </c:pt>
                <c:pt idx="14">
                  <c:v>10.6956454679418</c:v>
                </c:pt>
                <c:pt idx="15">
                  <c:v>10.204250290417137</c:v>
                </c:pt>
                <c:pt idx="16">
                  <c:v>9.7128551128924734</c:v>
                </c:pt>
                <c:pt idx="17">
                  <c:v>9.2214599353678128</c:v>
                </c:pt>
                <c:pt idx="18">
                  <c:v>8.7777729238564746</c:v>
                </c:pt>
                <c:pt idx="19">
                  <c:v>8.3811128444865872</c:v>
                </c:pt>
                <c:pt idx="20">
                  <c:v>7.9844527651167052</c:v>
                </c:pt>
                <c:pt idx="21">
                  <c:v>7.5877926857468188</c:v>
                </c:pt>
                <c:pt idx="22">
                  <c:v>7.191132606376935</c:v>
                </c:pt>
                <c:pt idx="23">
                  <c:v>6.7944725270070494</c:v>
                </c:pt>
                <c:pt idx="24">
                  <c:v>6.4561422915116111</c:v>
                </c:pt>
                <c:pt idx="25">
                  <c:v>6.1488997217669104</c:v>
                </c:pt>
                <c:pt idx="26">
                  <c:v>5.8416571520222149</c:v>
                </c:pt>
                <c:pt idx="27">
                  <c:v>5.5344145822775177</c:v>
                </c:pt>
                <c:pt idx="28">
                  <c:v>5.2271720125328223</c:v>
                </c:pt>
                <c:pt idx="29">
                  <c:v>4.9199294427881197</c:v>
                </c:pt>
                <c:pt idx="30">
                  <c:v>4.6498076606563252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19.431268114557472</c:v>
                </c:pt>
                <c:pt idx="1">
                  <c:v>18.69579928211332</c:v>
                </c:pt>
                <c:pt idx="2">
                  <c:v>17.976378076019238</c:v>
                </c:pt>
                <c:pt idx="3">
                  <c:v>17.273342568498673</c:v>
                </c:pt>
                <c:pt idx="4">
                  <c:v>16.586991267219673</c:v>
                </c:pt>
                <c:pt idx="5">
                  <c:v>15.917582268520885</c:v>
                </c:pt>
                <c:pt idx="6">
                  <c:v>15.265332739737046</c:v>
                </c:pt>
                <c:pt idx="7">
                  <c:v>14.63041871903553</c:v>
                </c:pt>
                <c:pt idx="8">
                  <c:v>14.012975217996006</c:v>
                </c:pt>
                <c:pt idx="9">
                  <c:v>13.413096609476101</c:v>
                </c:pt>
                <c:pt idx="10">
                  <c:v>12.830837281102829</c:v>
                </c:pt>
                <c:pt idx="11">
                  <c:v>12.266212533003539</c:v>
                </c:pt>
                <c:pt idx="12">
                  <c:v>11.719199697120828</c:v>
                </c:pt>
                <c:pt idx="13">
                  <c:v>11.189739454616886</c:v>
                </c:pt>
                <c:pt idx="14">
                  <c:v>10.677737327434262</c:v>
                </c:pt>
                <c:pt idx="15">
                  <c:v>10.183065320005921</c:v>
                </c:pt>
                <c:pt idx="16">
                  <c:v>9.7055636873603266</c:v>
                </c:pt>
                <c:pt idx="17">
                  <c:v>9.2450428064088417</c:v>
                </c:pt>
                <c:pt idx="18">
                  <c:v>8.8012851279928501</c:v>
                </c:pt>
                <c:pt idx="19">
                  <c:v>8.3740471882678698</c:v>
                </c:pt>
                <c:pt idx="20">
                  <c:v>7.9630616591738725</c:v>
                </c:pt>
                <c:pt idx="21">
                  <c:v>7.5680394190483611</c:v>
                </c:pt>
                <c:pt idx="22">
                  <c:v>7.188671625848845</c:v>
                </c:pt>
                <c:pt idx="23">
                  <c:v>6.8246317769304428</c:v>
                </c:pt>
                <c:pt idx="24">
                  <c:v>6.4755777408466617</c:v>
                </c:pt>
                <c:pt idx="25">
                  <c:v>6.1411537481786986</c:v>
                </c:pt>
                <c:pt idx="26">
                  <c:v>5.8209923299297195</c:v>
                </c:pt>
                <c:pt idx="27">
                  <c:v>5.5147161935251781</c:v>
                </c:pt>
                <c:pt idx="28">
                  <c:v>5.2219400279214527</c:v>
                </c:pt>
                <c:pt idx="29">
                  <c:v>4.9422722307289275</c:v>
                </c:pt>
                <c:pt idx="30">
                  <c:v>4.6753165515908917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chart" Target="../charts/chart3.xml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chart" Target="../charts/chart4.xml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678008</xdr:colOff>
      <xdr:row>37</xdr:row>
      <xdr:rowOff>865</xdr:rowOff>
    </xdr:from>
    <xdr:to>
      <xdr:col>7</xdr:col>
      <xdr:colOff>170445</xdr:colOff>
      <xdr:row>39</xdr:row>
      <xdr:rowOff>137680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5608" y="7382740"/>
          <a:ext cx="1883212" cy="51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28</xdr:row>
          <xdr:rowOff>144780</xdr:rowOff>
        </xdr:from>
        <xdr:to>
          <xdr:col>7</xdr:col>
          <xdr:colOff>350520</xdr:colOff>
          <xdr:row>31</xdr:row>
          <xdr:rowOff>99060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31</xdr:row>
          <xdr:rowOff>160020</xdr:rowOff>
        </xdr:from>
        <xdr:to>
          <xdr:col>7</xdr:col>
          <xdr:colOff>350520</xdr:colOff>
          <xdr:row>33</xdr:row>
          <xdr:rowOff>190500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Tree Memory Allocation Price (No div)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228601</xdr:colOff>
      <xdr:row>37</xdr:row>
      <xdr:rowOff>19050</xdr:rowOff>
    </xdr:from>
    <xdr:to>
      <xdr:col>4</xdr:col>
      <xdr:colOff>76200</xdr:colOff>
      <xdr:row>39</xdr:row>
      <xdr:rowOff>168741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F8D2A10-9C4F-FC2C-439B-E4731A973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676" y="7400925"/>
          <a:ext cx="2905124" cy="530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99060</xdr:rowOff>
        </xdr:from>
        <xdr:to>
          <xdr:col>20</xdr:col>
          <xdr:colOff>541020</xdr:colOff>
          <xdr:row>10</xdr:row>
          <xdr:rowOff>175260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Génération des graphiques des grecs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205840</xdr:colOff>
      <xdr:row>1</xdr:row>
      <xdr:rowOff>116773</xdr:rowOff>
    </xdr:from>
    <xdr:to>
      <xdr:col>7</xdr:col>
      <xdr:colOff>469076</xdr:colOff>
      <xdr:row>18</xdr:row>
      <xdr:rowOff>35664</xdr:rowOff>
    </xdr:to>
    <xdr:pic>
      <xdr:nvPicPr>
        <xdr:cNvPr id="3" name="Chart 1">
          <a:extLst>
            <a:ext uri="{FF2B5EF4-FFF2-40B4-BE49-F238E27FC236}">
              <a16:creationId xmlns:a16="http://schemas.microsoft.com/office/drawing/2014/main" id="{FA7ECF17-AF51-5E1E-3523-A205DFAA4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840" y="299653"/>
          <a:ext cx="4530436" cy="3027851"/>
        </a:xfrm>
        <a:prstGeom prst="rect">
          <a:avLst/>
        </a:prstGeom>
      </xdr:spPr>
    </xdr:pic>
    <xdr:clientData/>
  </xdr:twoCellAnchor>
  <xdr:twoCellAnchor editAs="oneCell">
    <xdr:from>
      <xdr:col>8</xdr:col>
      <xdr:colOff>425650</xdr:colOff>
      <xdr:row>1</xdr:row>
      <xdr:rowOff>139240</xdr:rowOff>
    </xdr:from>
    <xdr:to>
      <xdr:col>16</xdr:col>
      <xdr:colOff>124692</xdr:colOff>
      <xdr:row>18</xdr:row>
      <xdr:rowOff>61725</xdr:rowOff>
    </xdr:to>
    <xdr:pic>
      <xdr:nvPicPr>
        <xdr:cNvPr id="5" name="Chart 2">
          <a:extLst>
            <a:ext uri="{FF2B5EF4-FFF2-40B4-BE49-F238E27FC236}">
              <a16:creationId xmlns:a16="http://schemas.microsoft.com/office/drawing/2014/main" id="{2C531B72-AABB-0563-DE7B-72AAA2817C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2450" y="322120"/>
          <a:ext cx="4575842" cy="3031445"/>
        </a:xfrm>
        <a:prstGeom prst="rect">
          <a:avLst/>
        </a:prstGeom>
      </xdr:spPr>
    </xdr:pic>
    <xdr:clientData/>
  </xdr:twoCellAnchor>
  <xdr:twoCellAnchor editAs="oneCell">
    <xdr:from>
      <xdr:col>0</xdr:col>
      <xdr:colOff>96982</xdr:colOff>
      <xdr:row>19</xdr:row>
      <xdr:rowOff>14546</xdr:rowOff>
    </xdr:from>
    <xdr:to>
      <xdr:col>7</xdr:col>
      <xdr:colOff>500019</xdr:colOff>
      <xdr:row>36</xdr:row>
      <xdr:rowOff>96981</xdr:rowOff>
    </xdr:to>
    <xdr:pic>
      <xdr:nvPicPr>
        <xdr:cNvPr id="7" name="Chart 3">
          <a:extLst>
            <a:ext uri="{FF2B5EF4-FFF2-40B4-BE49-F238E27FC236}">
              <a16:creationId xmlns:a16="http://schemas.microsoft.com/office/drawing/2014/main" id="{A3F8A609-7235-95BA-6AE5-D52256206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82" y="3489266"/>
          <a:ext cx="4670237" cy="3191395"/>
        </a:xfrm>
        <a:prstGeom prst="rect">
          <a:avLst/>
        </a:prstGeom>
      </xdr:spPr>
    </xdr:pic>
    <xdr:clientData/>
  </xdr:twoCellAnchor>
  <xdr:twoCellAnchor editAs="oneCell">
    <xdr:from>
      <xdr:col>8</xdr:col>
      <xdr:colOff>562332</xdr:colOff>
      <xdr:row>19</xdr:row>
      <xdr:rowOff>26890</xdr:rowOff>
    </xdr:from>
    <xdr:to>
      <xdr:col>16</xdr:col>
      <xdr:colOff>243677</xdr:colOff>
      <xdr:row>36</xdr:row>
      <xdr:rowOff>20727</xdr:rowOff>
    </xdr:to>
    <xdr:pic>
      <xdr:nvPicPr>
        <xdr:cNvPr id="9" name="Chart 4">
          <a:extLst>
            <a:ext uri="{FF2B5EF4-FFF2-40B4-BE49-F238E27FC236}">
              <a16:creationId xmlns:a16="http://schemas.microsoft.com/office/drawing/2014/main" id="{DF985956-5A56-2E16-0661-2C45565F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9132" y="3501610"/>
          <a:ext cx="4558145" cy="3102797"/>
        </a:xfrm>
        <a:prstGeom prst="rect">
          <a:avLst/>
        </a:prstGeom>
      </xdr:spPr>
    </xdr:pic>
    <xdr:clientData/>
  </xdr:twoCellAnchor>
  <xdr:twoCellAnchor editAs="oneCell">
    <xdr:from>
      <xdr:col>4</xdr:col>
      <xdr:colOff>156557</xdr:colOff>
      <xdr:row>37</xdr:row>
      <xdr:rowOff>80356</xdr:rowOff>
    </xdr:from>
    <xdr:to>
      <xdr:col>11</xdr:col>
      <xdr:colOff>499564</xdr:colOff>
      <xdr:row>54</xdr:row>
      <xdr:rowOff>69272</xdr:rowOff>
    </xdr:to>
    <xdr:pic>
      <xdr:nvPicPr>
        <xdr:cNvPr id="11" name="Chart 5">
          <a:extLst>
            <a:ext uri="{FF2B5EF4-FFF2-40B4-BE49-F238E27FC236}">
              <a16:creationId xmlns:a16="http://schemas.microsoft.com/office/drawing/2014/main" id="{E549036F-9368-8680-36FE-AC6B1F7B7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57" y="6846916"/>
          <a:ext cx="4610207" cy="30978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403860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50</xdr:row>
      <xdr:rowOff>0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9A2FD554-3469-94C9-B524-3BAA4E411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9110" y="6316532"/>
          <a:ext cx="5116605" cy="2827468"/>
        </a:xfrm>
        <a:prstGeom prst="rect">
          <a:avLst/>
        </a:prstGeom>
      </xdr:spPr>
    </xdr:pic>
    <xdr:clientData/>
  </xdr:twoCellAnchor>
  <xdr:twoCellAnchor editAs="oneCell">
    <xdr:from>
      <xdr:col>14</xdr:col>
      <xdr:colOff>522416</xdr:colOff>
      <xdr:row>34</xdr:row>
      <xdr:rowOff>123399</xdr:rowOff>
    </xdr:from>
    <xdr:to>
      <xdr:col>22</xdr:col>
      <xdr:colOff>166004</xdr:colOff>
      <xdr:row>50</xdr:row>
      <xdr:rowOff>53787</xdr:rowOff>
    </xdr:to>
    <xdr:pic>
      <xdr:nvPicPr>
        <xdr:cNvPr id="12" name="Picture 2">
          <a:extLst>
            <a:ext uri="{FF2B5EF4-FFF2-40B4-BE49-F238E27FC236}">
              <a16:creationId xmlns:a16="http://schemas.microsoft.com/office/drawing/2014/main" id="{3E756C7C-0885-8200-F34E-79DD4A671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896" y="6341319"/>
          <a:ext cx="4642308" cy="2856468"/>
        </a:xfrm>
        <a:prstGeom prst="rect">
          <a:avLst/>
        </a:prstGeom>
      </xdr:spPr>
    </xdr:pic>
    <xdr:clientData/>
  </xdr:twoCellAnchor>
  <xdr:twoCellAnchor editAs="oneCell">
    <xdr:from>
      <xdr:col>6</xdr:col>
      <xdr:colOff>398110</xdr:colOff>
      <xdr:row>50</xdr:row>
      <xdr:rowOff>129047</xdr:rowOff>
    </xdr:from>
    <xdr:to>
      <xdr:col>14</xdr:col>
      <xdr:colOff>421340</xdr:colOff>
      <xdr:row>66</xdr:row>
      <xdr:rowOff>116541</xdr:rowOff>
    </xdr:to>
    <xdr:pic>
      <xdr:nvPicPr>
        <xdr:cNvPr id="15" name="Picture 7">
          <a:extLst>
            <a:ext uri="{FF2B5EF4-FFF2-40B4-BE49-F238E27FC236}">
              <a16:creationId xmlns:a16="http://schemas.microsoft.com/office/drawing/2014/main" id="{8C85A377-3D5A-9C74-88E1-B289E9C72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4490" y="9273047"/>
          <a:ext cx="5014330" cy="2913574"/>
        </a:xfrm>
        <a:prstGeom prst="rect">
          <a:avLst/>
        </a:prstGeom>
      </xdr:spPr>
    </xdr:pic>
    <xdr:clientData/>
  </xdr:twoCellAnchor>
  <xdr:twoCellAnchor editAs="oneCell">
    <xdr:from>
      <xdr:col>14</xdr:col>
      <xdr:colOff>578863</xdr:colOff>
      <xdr:row>50</xdr:row>
      <xdr:rowOff>157013</xdr:rowOff>
    </xdr:from>
    <xdr:to>
      <xdr:col>22</xdr:col>
      <xdr:colOff>376518</xdr:colOff>
      <xdr:row>67</xdr:row>
      <xdr:rowOff>44823</xdr:rowOff>
    </xdr:to>
    <xdr:pic>
      <xdr:nvPicPr>
        <xdr:cNvPr id="17" name="Picture 8">
          <a:extLst>
            <a:ext uri="{FF2B5EF4-FFF2-40B4-BE49-F238E27FC236}">
              <a16:creationId xmlns:a16="http://schemas.microsoft.com/office/drawing/2014/main" id="{414E5608-0578-DD9E-D836-BDF314662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96343" y="9301013"/>
          <a:ext cx="4796375" cy="29967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9"/>
  <sheetViews>
    <sheetView tabSelected="1" topLeftCell="A18" zoomScale="90" zoomScaleNormal="90" workbookViewId="0">
      <selection activeCell="E8" sqref="E8"/>
    </sheetView>
  </sheetViews>
  <sheetFormatPr defaultColWidth="9" defaultRowHeight="14.4" x14ac:dyDescent="0.3"/>
  <cols>
    <col min="1" max="1" width="9" style="6" customWidth="1"/>
    <col min="2" max="2" width="10.33203125" style="6" customWidth="1"/>
    <col min="3" max="3" width="13.88671875" style="6" customWidth="1"/>
    <col min="4" max="4" width="21.6640625" style="6" customWidth="1"/>
    <col min="5" max="5" width="14.88671875" style="6" customWidth="1"/>
    <col min="6" max="6" width="12" style="6" bestFit="1" customWidth="1"/>
    <col min="7" max="11" width="9" style="6"/>
    <col min="12" max="12" width="8.33203125" style="6" customWidth="1"/>
    <col min="13" max="13" width="9" style="6"/>
    <col min="14" max="14" width="8" style="6" customWidth="1"/>
    <col min="15" max="16384" width="9" style="6"/>
  </cols>
  <sheetData>
    <row r="1" spans="2:15" ht="14.4" customHeight="1" x14ac:dyDescent="0.3">
      <c r="B1" s="44" t="s">
        <v>35</v>
      </c>
      <c r="C1" s="45"/>
      <c r="D1" s="45"/>
      <c r="E1" s="46"/>
    </row>
    <row r="2" spans="2:15" ht="14.4" customHeight="1" x14ac:dyDescent="0.3">
      <c r="B2" s="47"/>
      <c r="C2" s="48"/>
      <c r="D2" s="48"/>
      <c r="E2" s="49"/>
    </row>
    <row r="3" spans="2:15" ht="14.4" customHeight="1" thickBot="1" x14ac:dyDescent="0.35">
      <c r="B3" s="50"/>
      <c r="C3" s="51"/>
      <c r="D3" s="51"/>
      <c r="E3" s="52"/>
    </row>
    <row r="5" spans="2:15" ht="15" thickBot="1" x14ac:dyDescent="0.35"/>
    <row r="6" spans="2:15" ht="14.4" customHeight="1" x14ac:dyDescent="0.3">
      <c r="B6" s="87" t="s">
        <v>0</v>
      </c>
      <c r="C6" s="90" t="s">
        <v>10</v>
      </c>
      <c r="D6" s="31" t="s">
        <v>12</v>
      </c>
      <c r="E6" s="17">
        <v>100</v>
      </c>
      <c r="J6" s="53" t="s">
        <v>16</v>
      </c>
      <c r="K6" s="54"/>
      <c r="L6" s="54"/>
      <c r="M6" s="72" t="s">
        <v>67</v>
      </c>
      <c r="N6" s="72"/>
      <c r="O6" s="73"/>
    </row>
    <row r="7" spans="2:15" ht="15" customHeight="1" x14ac:dyDescent="0.3">
      <c r="B7" s="88"/>
      <c r="C7" s="91"/>
      <c r="D7" s="32" t="s">
        <v>22</v>
      </c>
      <c r="E7" s="18">
        <v>0.25</v>
      </c>
      <c r="J7" s="55"/>
      <c r="K7" s="56"/>
      <c r="L7" s="56"/>
      <c r="M7" s="74"/>
      <c r="N7" s="74"/>
      <c r="O7" s="75"/>
    </row>
    <row r="8" spans="2:15" ht="15" customHeight="1" x14ac:dyDescent="0.3">
      <c r="B8" s="88"/>
      <c r="C8" s="91"/>
      <c r="D8" s="32" t="s">
        <v>23</v>
      </c>
      <c r="E8" s="18">
        <v>0.03</v>
      </c>
      <c r="J8" s="55" t="s">
        <v>15</v>
      </c>
      <c r="K8" s="56"/>
      <c r="L8" s="56"/>
      <c r="M8" s="74" t="s">
        <v>67</v>
      </c>
      <c r="N8" s="74"/>
      <c r="O8" s="75"/>
    </row>
    <row r="9" spans="2:15" ht="15" customHeight="1" thickBot="1" x14ac:dyDescent="0.35">
      <c r="B9" s="88"/>
      <c r="C9" s="91"/>
      <c r="D9" s="32" t="s">
        <v>13</v>
      </c>
      <c r="E9" s="19">
        <v>0</v>
      </c>
      <c r="J9" s="63"/>
      <c r="K9" s="65"/>
      <c r="L9" s="65"/>
      <c r="M9" s="76"/>
      <c r="N9" s="76"/>
      <c r="O9" s="77"/>
    </row>
    <row r="10" spans="2:15" ht="15" customHeight="1" thickBot="1" x14ac:dyDescent="0.35">
      <c r="B10" s="88"/>
      <c r="C10" s="92"/>
      <c r="D10" s="32" t="s">
        <v>3</v>
      </c>
      <c r="E10" s="102">
        <v>45458</v>
      </c>
      <c r="I10" s="15"/>
      <c r="J10" s="78"/>
      <c r="K10" s="79"/>
      <c r="L10" s="79"/>
      <c r="M10" s="79"/>
      <c r="N10" s="79"/>
      <c r="O10" s="80"/>
    </row>
    <row r="11" spans="2:15" ht="15.6" customHeight="1" x14ac:dyDescent="0.3">
      <c r="B11" s="88"/>
      <c r="C11" s="90" t="s">
        <v>11</v>
      </c>
      <c r="D11" s="32" t="s">
        <v>4</v>
      </c>
      <c r="E11" s="20">
        <v>45352</v>
      </c>
      <c r="I11" s="15"/>
      <c r="J11" s="81"/>
      <c r="K11" s="82"/>
      <c r="L11" s="82"/>
      <c r="M11" s="82"/>
      <c r="N11" s="82"/>
      <c r="O11" s="83"/>
    </row>
    <row r="12" spans="2:15" ht="15.6" customHeight="1" x14ac:dyDescent="0.3">
      <c r="B12" s="88"/>
      <c r="C12" s="91"/>
      <c r="D12" s="32" t="s">
        <v>44</v>
      </c>
      <c r="E12" s="20">
        <v>45652</v>
      </c>
      <c r="I12" s="15"/>
      <c r="J12" s="81"/>
      <c r="K12" s="82"/>
      <c r="L12" s="82"/>
      <c r="M12" s="82"/>
      <c r="N12" s="82"/>
      <c r="O12" s="83"/>
    </row>
    <row r="13" spans="2:15" ht="15.6" customHeight="1" x14ac:dyDescent="0.3">
      <c r="B13" s="88"/>
      <c r="C13" s="91"/>
      <c r="D13" s="32" t="s">
        <v>24</v>
      </c>
      <c r="E13" s="37">
        <f>(IEndDate-IStartDate)/365</f>
        <v>0.82191780821917804</v>
      </c>
      <c r="J13" s="81"/>
      <c r="K13" s="82"/>
      <c r="L13" s="82"/>
      <c r="M13" s="82"/>
      <c r="N13" s="82"/>
      <c r="O13" s="83"/>
    </row>
    <row r="14" spans="2:15" ht="14.4" customHeight="1" thickBot="1" x14ac:dyDescent="0.35">
      <c r="B14" s="88"/>
      <c r="C14" s="91"/>
      <c r="D14" s="32" t="s">
        <v>14</v>
      </c>
      <c r="E14" s="19">
        <v>100</v>
      </c>
      <c r="J14" s="84"/>
      <c r="K14" s="85"/>
      <c r="L14" s="85"/>
      <c r="M14" s="85"/>
      <c r="N14" s="85"/>
      <c r="O14" s="86"/>
    </row>
    <row r="15" spans="2:15" ht="14.4" customHeight="1" x14ac:dyDescent="0.3">
      <c r="B15" s="88"/>
      <c r="C15" s="91"/>
      <c r="D15" s="32" t="s">
        <v>1</v>
      </c>
      <c r="E15" s="19" t="s">
        <v>53</v>
      </c>
    </row>
    <row r="16" spans="2:15" ht="14.4" customHeight="1" thickBot="1" x14ac:dyDescent="0.35">
      <c r="B16" s="88"/>
      <c r="C16" s="92"/>
      <c r="D16" s="32" t="s">
        <v>25</v>
      </c>
      <c r="E16" s="19" t="s">
        <v>5</v>
      </c>
    </row>
    <row r="17" spans="2:15" ht="14.4" customHeight="1" thickBot="1" x14ac:dyDescent="0.35">
      <c r="B17" s="88"/>
      <c r="C17" s="93" t="s">
        <v>26</v>
      </c>
      <c r="D17" s="32" t="s">
        <v>61</v>
      </c>
      <c r="E17" s="19" t="s">
        <v>60</v>
      </c>
      <c r="F17" s="29"/>
    </row>
    <row r="18" spans="2:15" ht="16.649999999999999" customHeight="1" x14ac:dyDescent="0.3">
      <c r="B18" s="88"/>
      <c r="C18" s="94"/>
      <c r="D18" s="32" t="s">
        <v>62</v>
      </c>
      <c r="E18" s="43">
        <f>ROUNDUP(E19*(3*(IVol^2)*IMaturity)/(8*SQRT(2*PI()*(EXP(IMaturity*IVol^2)-1))), 0)</f>
        <v>101</v>
      </c>
      <c r="L18" s="53" t="s">
        <v>56</v>
      </c>
      <c r="M18" s="54"/>
      <c r="N18" s="54" t="s">
        <v>57</v>
      </c>
      <c r="O18" s="61"/>
    </row>
    <row r="19" spans="2:15" ht="16.649999999999999" customHeight="1" x14ac:dyDescent="0.3">
      <c r="B19" s="88"/>
      <c r="C19" s="94"/>
      <c r="D19" s="32" t="s">
        <v>60</v>
      </c>
      <c r="E19" s="42">
        <f>3000</f>
        <v>3000</v>
      </c>
      <c r="F19" s="30"/>
      <c r="L19" s="55"/>
      <c r="M19" s="56"/>
      <c r="N19" s="56"/>
      <c r="O19" s="62"/>
    </row>
    <row r="20" spans="2:15" ht="15.75" customHeight="1" thickBot="1" x14ac:dyDescent="0.35">
      <c r="B20" s="88"/>
      <c r="C20" s="94"/>
      <c r="D20" s="32" t="s">
        <v>27</v>
      </c>
      <c r="E20" s="28" t="s">
        <v>68</v>
      </c>
      <c r="L20" s="63"/>
      <c r="M20" s="65"/>
      <c r="N20" s="65"/>
      <c r="O20" s="64"/>
    </row>
    <row r="21" spans="2:15" ht="18.75" customHeight="1" thickBot="1" x14ac:dyDescent="0.35">
      <c r="B21" s="89"/>
      <c r="C21" s="95"/>
      <c r="D21" s="33" t="s">
        <v>58</v>
      </c>
      <c r="E21" s="41">
        <f>10^-8</f>
        <v>1E-8</v>
      </c>
      <c r="J21" s="53" t="s">
        <v>48</v>
      </c>
      <c r="K21" s="61"/>
      <c r="L21" s="57" t="s">
        <v>66</v>
      </c>
      <c r="M21" s="57"/>
      <c r="N21" s="57" t="s">
        <v>66</v>
      </c>
      <c r="O21" s="58"/>
    </row>
    <row r="22" spans="2:15" ht="15" thickBot="1" x14ac:dyDescent="0.35">
      <c r="F22" s="34"/>
      <c r="J22" s="55"/>
      <c r="K22" s="62"/>
      <c r="L22" s="57"/>
      <c r="M22" s="57"/>
      <c r="N22" s="57"/>
      <c r="O22" s="58"/>
    </row>
    <row r="23" spans="2:15" ht="18" customHeight="1" x14ac:dyDescent="0.3">
      <c r="B23" s="66" t="s">
        <v>17</v>
      </c>
      <c r="C23" s="69" t="s">
        <v>7</v>
      </c>
      <c r="D23" s="16" t="s">
        <v>29</v>
      </c>
      <c r="E23" s="21">
        <v>10.195111402925688</v>
      </c>
      <c r="J23" s="55" t="s">
        <v>49</v>
      </c>
      <c r="K23" s="62"/>
      <c r="L23" s="57" t="s">
        <v>66</v>
      </c>
      <c r="M23" s="57"/>
      <c r="N23" s="57" t="s">
        <v>66</v>
      </c>
      <c r="O23" s="58"/>
    </row>
    <row r="24" spans="2:15" ht="18.75" customHeight="1" x14ac:dyDescent="0.3">
      <c r="B24" s="67"/>
      <c r="C24" s="70"/>
      <c r="D24" s="27" t="s">
        <v>30</v>
      </c>
      <c r="E24" s="22">
        <v>10.183065320005921</v>
      </c>
      <c r="J24" s="55"/>
      <c r="K24" s="62"/>
      <c r="L24" s="57"/>
      <c r="M24" s="57"/>
      <c r="N24" s="57"/>
      <c r="O24" s="58"/>
    </row>
    <row r="25" spans="2:15" ht="18" customHeight="1" thickBot="1" x14ac:dyDescent="0.35">
      <c r="B25" s="67"/>
      <c r="C25" s="71"/>
      <c r="D25" s="27" t="s">
        <v>63</v>
      </c>
      <c r="E25" s="23">
        <f>(3*IVol^2)/(INbSteps*8*SQRT(2*PI())*SQRT(EXP(IVol^2)-1))</f>
        <v>3.6453461630544252E-4</v>
      </c>
      <c r="J25" s="55" t="s">
        <v>52</v>
      </c>
      <c r="K25" s="62"/>
      <c r="L25" s="57" t="s">
        <v>66</v>
      </c>
      <c r="M25" s="57"/>
      <c r="N25" s="57" t="s">
        <v>66</v>
      </c>
      <c r="O25" s="58"/>
    </row>
    <row r="26" spans="2:15" ht="16.350000000000001" customHeight="1" x14ac:dyDescent="0.3">
      <c r="B26" s="67"/>
      <c r="C26" s="69" t="s">
        <v>28</v>
      </c>
      <c r="D26" s="27" t="s">
        <v>31</v>
      </c>
      <c r="E26" s="24">
        <v>3.125E-2</v>
      </c>
      <c r="J26" s="55"/>
      <c r="K26" s="62"/>
      <c r="L26" s="57"/>
      <c r="M26" s="57"/>
      <c r="N26" s="57"/>
      <c r="O26" s="58"/>
    </row>
    <row r="27" spans="2:15" ht="19.5" customHeight="1" x14ac:dyDescent="0.3">
      <c r="B27" s="67"/>
      <c r="C27" s="70"/>
      <c r="D27" s="27" t="s">
        <v>32</v>
      </c>
      <c r="E27" s="24">
        <v>0</v>
      </c>
      <c r="J27" s="55" t="s">
        <v>50</v>
      </c>
      <c r="K27" s="62"/>
      <c r="L27" s="57" t="s">
        <v>66</v>
      </c>
      <c r="M27" s="57"/>
      <c r="N27" s="57" t="s">
        <v>66</v>
      </c>
      <c r="O27" s="58"/>
    </row>
    <row r="28" spans="2:15" ht="15.6" thickBot="1" x14ac:dyDescent="0.35">
      <c r="B28" s="67"/>
      <c r="C28" s="71"/>
      <c r="D28" s="27" t="s">
        <v>33</v>
      </c>
      <c r="E28" s="25">
        <f>ITimeTree+IPriceTime</f>
        <v>3.125E-2</v>
      </c>
      <c r="J28" s="55"/>
      <c r="K28" s="62"/>
      <c r="L28" s="57"/>
      <c r="M28" s="57"/>
      <c r="N28" s="57"/>
      <c r="O28" s="58"/>
    </row>
    <row r="29" spans="2:15" ht="14.4" customHeight="1" x14ac:dyDescent="0.3">
      <c r="B29" s="67"/>
      <c r="C29" s="69" t="s">
        <v>45</v>
      </c>
      <c r="D29" s="38" t="s">
        <v>29</v>
      </c>
      <c r="E29" s="21">
        <v>7.6992290475816834</v>
      </c>
      <c r="J29" s="55" t="s">
        <v>51</v>
      </c>
      <c r="K29" s="62"/>
      <c r="L29" s="57" t="s">
        <v>66</v>
      </c>
      <c r="M29" s="57"/>
      <c r="N29" s="57" t="s">
        <v>66</v>
      </c>
      <c r="O29" s="58"/>
    </row>
    <row r="30" spans="2:15" ht="14.4" customHeight="1" thickBot="1" x14ac:dyDescent="0.35">
      <c r="B30" s="67"/>
      <c r="C30" s="70"/>
      <c r="D30" s="39" t="s">
        <v>31</v>
      </c>
      <c r="E30" s="24">
        <v>0.82581853866577148</v>
      </c>
      <c r="J30" s="63"/>
      <c r="K30" s="64"/>
      <c r="L30" s="59"/>
      <c r="M30" s="59"/>
      <c r="N30" s="59"/>
      <c r="O30" s="60"/>
    </row>
    <row r="31" spans="2:15" ht="15" x14ac:dyDescent="0.3">
      <c r="B31" s="67"/>
      <c r="C31" s="70"/>
      <c r="D31" s="39" t="s">
        <v>32</v>
      </c>
      <c r="E31" s="24">
        <v>0.14215207099914551</v>
      </c>
    </row>
    <row r="32" spans="2:15" ht="19.5" customHeight="1" thickBot="1" x14ac:dyDescent="0.35">
      <c r="B32" s="67"/>
      <c r="C32" s="70"/>
      <c r="D32" s="39" t="s">
        <v>46</v>
      </c>
      <c r="E32" s="25">
        <f>IPythonTimeTree+IPythonPriceTime</f>
        <v>0.96797060966491699</v>
      </c>
    </row>
    <row r="33" spans="2:5" ht="18.75" customHeight="1" x14ac:dyDescent="0.3">
      <c r="B33" s="67"/>
      <c r="C33" s="70"/>
      <c r="D33" s="38" t="s">
        <v>55</v>
      </c>
      <c r="E33" s="21">
        <v>8.7725354767328412</v>
      </c>
    </row>
    <row r="34" spans="2:5" ht="15.6" thickBot="1" x14ac:dyDescent="0.35">
      <c r="B34" s="68"/>
      <c r="C34" s="71"/>
      <c r="D34" s="40" t="s">
        <v>54</v>
      </c>
      <c r="E34" s="26">
        <v>0.88012999999999997</v>
      </c>
    </row>
    <row r="36" spans="2:5" x14ac:dyDescent="0.3">
      <c r="B36" s="36" t="s">
        <v>65</v>
      </c>
    </row>
    <row r="39" spans="2:5" x14ac:dyDescent="0.3">
      <c r="B39" s="36" t="s">
        <v>59</v>
      </c>
      <c r="E39" s="35" t="s">
        <v>64</v>
      </c>
    </row>
  </sheetData>
  <protectedRanges>
    <protectedRange sqref="E6:E10" name="Market"/>
    <protectedRange sqref="E11:E12" name="Dates"/>
    <protectedRange sqref="E14:E17" name="Option"/>
    <protectedRange sqref="F19 E18 E20" name="Model"/>
    <protectedRange sqref="E23:E28" name="Output"/>
    <protectedRange sqref="M6:O9" name="ParamPrice"/>
    <protectedRange sqref="L21 N21:O30 L23 M22 L25 M24 L27 M26 L29 M28 M30" name="Greeks"/>
  </protectedRanges>
  <dataConsolidate/>
  <mergeCells count="31">
    <mergeCell ref="B23:B34"/>
    <mergeCell ref="C29:C34"/>
    <mergeCell ref="C26:C28"/>
    <mergeCell ref="M6:O7"/>
    <mergeCell ref="J8:L9"/>
    <mergeCell ref="M8:O9"/>
    <mergeCell ref="J10:O14"/>
    <mergeCell ref="N25:O26"/>
    <mergeCell ref="N27:O28"/>
    <mergeCell ref="B6:B21"/>
    <mergeCell ref="L18:M20"/>
    <mergeCell ref="C23:C25"/>
    <mergeCell ref="C6:C10"/>
    <mergeCell ref="C11:C16"/>
    <mergeCell ref="C17:C21"/>
    <mergeCell ref="B1:E3"/>
    <mergeCell ref="J6:L7"/>
    <mergeCell ref="N29:O30"/>
    <mergeCell ref="J21:K22"/>
    <mergeCell ref="J23:K24"/>
    <mergeCell ref="J25:K26"/>
    <mergeCell ref="J27:K28"/>
    <mergeCell ref="J29:K30"/>
    <mergeCell ref="L21:M22"/>
    <mergeCell ref="L23:M24"/>
    <mergeCell ref="L25:M26"/>
    <mergeCell ref="L27:M28"/>
    <mergeCell ref="L29:M30"/>
    <mergeCell ref="N18:O20"/>
    <mergeCell ref="N21:O22"/>
    <mergeCell ref="N23:O2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4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 E20" xr:uid="{E89C065D-7D10-486C-93D3-6AC1322A3062}">
      <formula1>"Yes,No"</formula1>
    </dataValidation>
    <dataValidation type="list" allowBlank="1" showInputMessage="1" showErrorMessage="1" sqref="E17" xr:uid="{6F6651EE-9A17-4E76-8DFF-1A26C240CF5D}">
      <formula1>"Step,Precision"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python_price">
                <anchor moveWithCells="1" sizeWithCells="1">
                  <from>
                    <xdr:col>5</xdr:col>
                    <xdr:colOff>114300</xdr:colOff>
                    <xdr:row>28</xdr:row>
                    <xdr:rowOff>144780</xdr:rowOff>
                  </from>
                  <to>
                    <xdr:col>7</xdr:col>
                    <xdr:colOff>350520</xdr:colOff>
                    <xdr:row>31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python_tree_memory_price">
                <anchor moveWithCells="1" sizeWithCells="1">
                  <from>
                    <xdr:col>5</xdr:col>
                    <xdr:colOff>114300</xdr:colOff>
                    <xdr:row>31</xdr:row>
                    <xdr:rowOff>160020</xdr:rowOff>
                  </from>
                  <to>
                    <xdr:col>7</xdr:col>
                    <xdr:colOff>350520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CV48"/>
  <sheetViews>
    <sheetView zoomScale="85" zoomScaleNormal="85" workbookViewId="0">
      <selection activeCell="I33" sqref="I33"/>
    </sheetView>
  </sheetViews>
  <sheetFormatPr defaultColWidth="9.109375" defaultRowHeight="14.4" x14ac:dyDescent="0.3"/>
  <cols>
    <col min="1" max="1" width="14.33203125" style="12" customWidth="1"/>
    <col min="2" max="16384" width="9.109375" style="12"/>
  </cols>
  <sheetData>
    <row r="1" spans="1:100" x14ac:dyDescent="0.3">
      <c r="A1" s="96" t="s">
        <v>19</v>
      </c>
      <c r="B1" s="96"/>
      <c r="C1" s="96"/>
    </row>
    <row r="2" spans="1:100" x14ac:dyDescent="0.3">
      <c r="A2" s="96"/>
      <c r="B2" s="96"/>
      <c r="C2" s="96"/>
    </row>
    <row r="3" spans="1:100" x14ac:dyDescent="0.3">
      <c r="A3" s="96"/>
      <c r="B3" s="96"/>
      <c r="C3" s="96"/>
      <c r="CV3" s="12">
        <v>304.22862660703288</v>
      </c>
    </row>
    <row r="48" spans="10:10" x14ac:dyDescent="0.3">
      <c r="J48" s="14"/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CV3"/>
  <sheetViews>
    <sheetView zoomScale="85" zoomScaleNormal="85" workbookViewId="0">
      <selection activeCell="C6" sqref="C6"/>
    </sheetView>
  </sheetViews>
  <sheetFormatPr defaultColWidth="9.109375" defaultRowHeight="14.4" x14ac:dyDescent="0.3"/>
  <cols>
    <col min="1" max="1" width="14.5546875" style="12" customWidth="1"/>
    <col min="2" max="16384" width="9.109375" style="12"/>
  </cols>
  <sheetData>
    <row r="1" spans="1:100" x14ac:dyDescent="0.3">
      <c r="A1" s="96" t="s">
        <v>18</v>
      </c>
      <c r="B1" s="96"/>
      <c r="C1" s="96"/>
    </row>
    <row r="2" spans="1:100" x14ac:dyDescent="0.3">
      <c r="A2" s="96"/>
      <c r="B2" s="96"/>
      <c r="C2" s="96"/>
    </row>
    <row r="3" spans="1:100" x14ac:dyDescent="0.3">
      <c r="A3" s="96"/>
      <c r="B3" s="96"/>
      <c r="C3" s="96"/>
      <c r="CV3" s="12">
        <v>0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CV4"/>
  <sheetViews>
    <sheetView zoomScale="70" zoomScaleNormal="70" workbookViewId="0">
      <selection activeCell="C43" sqref="C43"/>
    </sheetView>
  </sheetViews>
  <sheetFormatPr defaultColWidth="11.44140625" defaultRowHeight="14.4" x14ac:dyDescent="0.3"/>
  <cols>
    <col min="1" max="1" width="13.88671875" style="12" customWidth="1"/>
    <col min="2" max="16384" width="11.44140625" style="12"/>
  </cols>
  <sheetData>
    <row r="1" spans="1:100" x14ac:dyDescent="0.3">
      <c r="A1" s="96" t="s">
        <v>21</v>
      </c>
      <c r="B1" s="96"/>
      <c r="C1" s="96"/>
    </row>
    <row r="2" spans="1:100" x14ac:dyDescent="0.3">
      <c r="A2" s="96"/>
      <c r="B2" s="96"/>
      <c r="C2" s="96"/>
    </row>
    <row r="3" spans="1:100" x14ac:dyDescent="0.3">
      <c r="A3" s="96"/>
      <c r="B3" s="96"/>
      <c r="C3" s="96"/>
    </row>
    <row r="4" spans="1:100" x14ac:dyDescent="0.3">
      <c r="CV4" s="12">
        <v>1.8414687115318153E-9</v>
      </c>
    </row>
  </sheetData>
  <mergeCells count="1">
    <mergeCell ref="A1:C3"/>
  </mergeCells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92C9-2F47-437B-8D45-FD2D7D9739CC}">
  <sheetPr codeName="Sheet4">
    <tabColor theme="5" tint="0.59999389629810485"/>
  </sheetPr>
  <dimension ref="V16"/>
  <sheetViews>
    <sheetView zoomScale="85" zoomScaleNormal="85" workbookViewId="0">
      <selection activeCell="S19" sqref="S19"/>
    </sheetView>
  </sheetViews>
  <sheetFormatPr defaultColWidth="8.88671875" defaultRowHeight="14.4" x14ac:dyDescent="0.3"/>
  <cols>
    <col min="1" max="16384" width="8.88671875" style="3"/>
  </cols>
  <sheetData>
    <row r="16" spans="22:22" x14ac:dyDescent="0.3">
      <c r="V16" s="3" t="s">
        <v>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_greeks_graphs">
                <anchor moveWithCells="1" sizeWithCells="1">
                  <from>
                    <xdr:col>17</xdr:col>
                    <xdr:colOff>60960</xdr:colOff>
                    <xdr:row>3</xdr:row>
                    <xdr:rowOff>99060</xdr:rowOff>
                  </from>
                  <to>
                    <xdr:col>20</xdr:col>
                    <xdr:colOff>541020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85" zoomScaleNormal="85" workbookViewId="0">
      <selection activeCell="E36" sqref="E36"/>
    </sheetView>
  </sheetViews>
  <sheetFormatPr defaultColWidth="9.109375" defaultRowHeight="14.4" x14ac:dyDescent="0.3"/>
  <cols>
    <col min="1" max="2" width="9.109375" style="3"/>
    <col min="3" max="4" width="13.33203125" style="3" customWidth="1"/>
    <col min="5" max="5" width="15.6640625" style="3" customWidth="1"/>
    <col min="6" max="6" width="17.109375" style="3" customWidth="1"/>
    <col min="7" max="7" width="9.109375" style="3" customWidth="1"/>
    <col min="8" max="9" width="9.109375" style="3"/>
    <col min="10" max="10" width="9" style="3" customWidth="1"/>
    <col min="11" max="16384" width="9.109375" style="3"/>
  </cols>
  <sheetData>
    <row r="1" spans="1:10" x14ac:dyDescent="0.3">
      <c r="A1" s="97" t="s">
        <v>34</v>
      </c>
      <c r="B1" s="97"/>
      <c r="C1" s="97"/>
      <c r="H1" s="97" t="s">
        <v>37</v>
      </c>
      <c r="I1" s="97"/>
      <c r="J1" s="97"/>
    </row>
    <row r="2" spans="1:10" x14ac:dyDescent="0.3">
      <c r="A2" s="97"/>
      <c r="B2" s="97"/>
      <c r="C2" s="97"/>
      <c r="H2" s="97"/>
      <c r="I2" s="97"/>
      <c r="J2" s="97"/>
    </row>
    <row r="3" spans="1:10" x14ac:dyDescent="0.3">
      <c r="A3" s="97"/>
      <c r="B3" s="97"/>
      <c r="C3" s="97"/>
      <c r="H3" s="97"/>
      <c r="I3" s="97"/>
      <c r="J3" s="97"/>
    </row>
    <row r="4" spans="1:10" ht="12.45" customHeight="1" x14ac:dyDescent="0.3">
      <c r="A4" s="7"/>
      <c r="B4" s="7"/>
      <c r="C4" s="7"/>
    </row>
    <row r="5" spans="1:10" ht="16.2" thickBot="1" x14ac:dyDescent="0.35">
      <c r="A5" s="98" t="s">
        <v>36</v>
      </c>
      <c r="B5" s="98"/>
      <c r="C5" s="98"/>
      <c r="D5" s="98"/>
      <c r="E5" s="98"/>
      <c r="F5" s="98"/>
    </row>
    <row r="6" spans="1:10" ht="14.4" customHeight="1" x14ac:dyDescent="0.3">
      <c r="A6" s="93" t="s">
        <v>6</v>
      </c>
      <c r="B6" s="93" t="s">
        <v>7</v>
      </c>
      <c r="C6" s="93" t="s">
        <v>2</v>
      </c>
      <c r="D6" s="93" t="s">
        <v>20</v>
      </c>
      <c r="E6" s="93" t="s">
        <v>8</v>
      </c>
      <c r="F6" s="93" t="s">
        <v>9</v>
      </c>
    </row>
    <row r="7" spans="1:10" ht="14.4" customHeight="1" thickBot="1" x14ac:dyDescent="0.35">
      <c r="A7" s="95"/>
      <c r="B7" s="95"/>
      <c r="C7" s="95"/>
      <c r="D7" s="95"/>
      <c r="E7" s="95"/>
      <c r="F7" s="95"/>
    </row>
    <row r="8" spans="1:10" x14ac:dyDescent="0.3">
      <c r="A8" s="4">
        <f>1</f>
        <v>1</v>
      </c>
      <c r="B8" s="4">
        <v>7.4556203156786394</v>
      </c>
      <c r="C8" s="4">
        <v>0</v>
      </c>
      <c r="D8" s="4">
        <v>8.7718150942428643</v>
      </c>
      <c r="E8" s="5">
        <f>IF(D8&lt;&gt;"" &amp; B8&lt;&gt;"",D8-B8,"")</f>
        <v>1.316194778564225</v>
      </c>
      <c r="F8" s="5">
        <f>IF($E8&lt;&gt;"", $E8*$A8, "")</f>
        <v>1.316194778564225</v>
      </c>
    </row>
    <row r="9" spans="1:10" x14ac:dyDescent="0.3">
      <c r="A9" s="2">
        <v>5</v>
      </c>
      <c r="B9" s="4">
        <v>8.6865029435630827</v>
      </c>
      <c r="C9" s="2">
        <v>7.8125E-3</v>
      </c>
      <c r="D9" s="4">
        <v>8.7718150942428643</v>
      </c>
      <c r="E9" s="5">
        <f t="shared" ref="E9:E56" si="0">IF(D9&lt;&gt;"" &amp; B9&lt;&gt;"",D9-B9,"")</f>
        <v>8.5312150679781595E-2</v>
      </c>
      <c r="F9" s="1">
        <f t="shared" ref="F9:F56" si="1">IF($E9&lt;&gt;"", $E9*$A9, "")</f>
        <v>0.42656075339890798</v>
      </c>
    </row>
    <row r="10" spans="1:10" x14ac:dyDescent="0.3">
      <c r="A10" s="2">
        <v>10</v>
      </c>
      <c r="B10" s="4">
        <v>8.7824491185268645</v>
      </c>
      <c r="C10" s="2">
        <v>0</v>
      </c>
      <c r="D10" s="4">
        <v>8.7718150942428643</v>
      </c>
      <c r="E10" s="5">
        <f t="shared" si="0"/>
        <v>-1.0634024284000176E-2</v>
      </c>
      <c r="F10" s="1">
        <f t="shared" si="1"/>
        <v>-0.10634024284000176</v>
      </c>
    </row>
    <row r="11" spans="1:10" x14ac:dyDescent="0.3">
      <c r="A11" s="2">
        <v>20</v>
      </c>
      <c r="B11" s="4">
        <v>8.8020371984432302</v>
      </c>
      <c r="C11" s="2">
        <v>7.8125E-3</v>
      </c>
      <c r="D11" s="4">
        <v>8.7718150942428643</v>
      </c>
      <c r="E11" s="5">
        <f t="shared" si="0"/>
        <v>-3.0222104200365862E-2</v>
      </c>
      <c r="F11" s="1">
        <f t="shared" si="1"/>
        <v>-0.60444208400731725</v>
      </c>
    </row>
    <row r="12" spans="1:10" x14ac:dyDescent="0.3">
      <c r="A12" s="2">
        <v>30</v>
      </c>
      <c r="B12" s="4">
        <v>8.7994472248351734</v>
      </c>
      <c r="C12" s="2">
        <v>7.8125E-3</v>
      </c>
      <c r="D12" s="4">
        <v>8.7718150942428643</v>
      </c>
      <c r="E12" s="5">
        <f t="shared" si="0"/>
        <v>-2.7632130592309068E-2</v>
      </c>
      <c r="F12" s="1">
        <f t="shared" si="1"/>
        <v>-0.82896391776927203</v>
      </c>
    </row>
    <row r="13" spans="1:10" x14ac:dyDescent="0.3">
      <c r="A13" s="2">
        <v>50</v>
      </c>
      <c r="B13" s="4">
        <v>8.7902028923872191</v>
      </c>
      <c r="C13" s="2">
        <v>1.5625E-2</v>
      </c>
      <c r="D13" s="4">
        <v>8.7718150942428643</v>
      </c>
      <c r="E13" s="5">
        <f t="shared" si="0"/>
        <v>-1.8387798144354761E-2</v>
      </c>
      <c r="F13" s="1">
        <f t="shared" si="1"/>
        <v>-0.91938990721773806</v>
      </c>
    </row>
    <row r="14" spans="1:10" x14ac:dyDescent="0.3">
      <c r="A14" s="2">
        <v>75</v>
      </c>
      <c r="B14" s="4">
        <v>8.7810145494414051</v>
      </c>
      <c r="C14" s="2">
        <v>2.34375E-2</v>
      </c>
      <c r="D14" s="4">
        <v>8.7718150942428643</v>
      </c>
      <c r="E14" s="5">
        <f t="shared" si="0"/>
        <v>-9.1994551985408179E-3</v>
      </c>
      <c r="F14" s="1">
        <f t="shared" si="1"/>
        <v>-0.68995913989056135</v>
      </c>
    </row>
    <row r="15" spans="1:10" x14ac:dyDescent="0.3">
      <c r="A15" s="2">
        <v>100</v>
      </c>
      <c r="B15" s="4">
        <v>8.7743151433131903</v>
      </c>
      <c r="C15" s="2">
        <v>3.90625E-2</v>
      </c>
      <c r="D15" s="4">
        <v>8.7718150942428643</v>
      </c>
      <c r="E15" s="5">
        <f t="shared" si="0"/>
        <v>-2.5000490703259715E-3</v>
      </c>
      <c r="F15" s="1">
        <f t="shared" si="1"/>
        <v>-0.25000490703259715</v>
      </c>
    </row>
    <row r="16" spans="1:10" x14ac:dyDescent="0.3">
      <c r="A16" s="2">
        <v>125</v>
      </c>
      <c r="B16" s="4">
        <v>8.7692222632524501</v>
      </c>
      <c r="C16" s="2">
        <v>5.46875E-2</v>
      </c>
      <c r="D16" s="4">
        <v>8.7718150942428643</v>
      </c>
      <c r="E16" s="5">
        <f t="shared" si="0"/>
        <v>2.5928309904141855E-3</v>
      </c>
      <c r="F16" s="1">
        <f t="shared" si="1"/>
        <v>0.32410387380177319</v>
      </c>
    </row>
    <row r="17" spans="1:10" x14ac:dyDescent="0.3">
      <c r="A17" s="2">
        <f>A16+25</f>
        <v>150</v>
      </c>
      <c r="B17" s="4">
        <v>8.7651915692295876</v>
      </c>
      <c r="C17" s="2">
        <v>7.03125E-2</v>
      </c>
      <c r="D17" s="4">
        <v>8.7718150942428643</v>
      </c>
      <c r="E17" s="5">
        <f t="shared" si="0"/>
        <v>6.6235250132766765E-3</v>
      </c>
      <c r="F17" s="1">
        <f t="shared" si="1"/>
        <v>0.99352875199150148</v>
      </c>
    </row>
    <row r="18" spans="1:10" x14ac:dyDescent="0.3">
      <c r="A18" s="2">
        <f t="shared" ref="A18:A31" si="2">A17+25</f>
        <v>175</v>
      </c>
      <c r="B18" s="4">
        <v>8.7619001042636881</v>
      </c>
      <c r="C18" s="2">
        <v>8.59375E-2</v>
      </c>
      <c r="D18" s="4">
        <v>8.7718150942428643</v>
      </c>
      <c r="E18" s="5">
        <f t="shared" si="0"/>
        <v>9.9149899791761698E-3</v>
      </c>
      <c r="F18" s="1">
        <f t="shared" si="1"/>
        <v>1.7351232463558297</v>
      </c>
    </row>
    <row r="19" spans="1:10" ht="14.4" customHeight="1" x14ac:dyDescent="0.3">
      <c r="A19" s="2">
        <f t="shared" si="2"/>
        <v>200</v>
      </c>
      <c r="B19" s="4">
        <v>8.765536693150878</v>
      </c>
      <c r="C19" s="2">
        <v>0.109375</v>
      </c>
      <c r="D19" s="4">
        <v>8.7718150942428643</v>
      </c>
      <c r="E19" s="5">
        <f t="shared" si="0"/>
        <v>6.2784010919862965E-3</v>
      </c>
      <c r="F19" s="1">
        <f t="shared" si="1"/>
        <v>1.2556802183972593</v>
      </c>
    </row>
    <row r="20" spans="1:10" ht="14.4" customHeight="1" x14ac:dyDescent="0.3">
      <c r="A20" s="2">
        <f t="shared" si="2"/>
        <v>225</v>
      </c>
      <c r="B20" s="4">
        <v>8.7688276238652794</v>
      </c>
      <c r="C20" s="2">
        <v>0.125</v>
      </c>
      <c r="D20" s="4">
        <v>8.7718150942428643</v>
      </c>
      <c r="E20" s="5">
        <f t="shared" si="0"/>
        <v>2.9874703775849554E-3</v>
      </c>
      <c r="F20" s="1">
        <f t="shared" si="1"/>
        <v>0.67218083495661496</v>
      </c>
    </row>
    <row r="21" spans="1:10" ht="15" customHeight="1" x14ac:dyDescent="0.3">
      <c r="A21" s="2">
        <f>A20+25</f>
        <v>250</v>
      </c>
      <c r="B21" s="4">
        <v>8.7710000998718431</v>
      </c>
      <c r="C21" s="2">
        <v>0.1328125</v>
      </c>
      <c r="D21" s="4">
        <v>8.7718150942428643</v>
      </c>
      <c r="E21" s="5">
        <f t="shared" si="0"/>
        <v>8.1499437102117156E-4</v>
      </c>
      <c r="F21" s="1">
        <f>IF($E21&lt;&gt;"", $E21*$A21, "")</f>
        <v>0.20374859275529289</v>
      </c>
    </row>
    <row r="22" spans="1:10" x14ac:dyDescent="0.3">
      <c r="A22" s="2">
        <f>A21+25</f>
        <v>275</v>
      </c>
      <c r="B22" s="4">
        <v>8.772420881385651</v>
      </c>
      <c r="C22" s="2">
        <v>0.15625</v>
      </c>
      <c r="D22" s="4">
        <v>8.7718150942428643</v>
      </c>
      <c r="E22" s="5">
        <f t="shared" si="0"/>
        <v>-6.0578714278669565E-4</v>
      </c>
      <c r="F22" s="1">
        <f t="shared" si="1"/>
        <v>-0.1665914642663413</v>
      </c>
    </row>
    <row r="23" spans="1:10" x14ac:dyDescent="0.3">
      <c r="A23" s="2">
        <f t="shared" si="2"/>
        <v>300</v>
      </c>
      <c r="B23" s="4">
        <v>8.7733199881463229</v>
      </c>
      <c r="C23" s="2">
        <v>0.1875</v>
      </c>
      <c r="D23" s="4">
        <v>8.7718150942428643</v>
      </c>
      <c r="E23" s="5">
        <f t="shared" si="0"/>
        <v>-1.5048939034585374E-3</v>
      </c>
      <c r="F23" s="1">
        <f t="shared" si="1"/>
        <v>-0.45146817103756121</v>
      </c>
    </row>
    <row r="24" spans="1:10" x14ac:dyDescent="0.3">
      <c r="A24" s="2">
        <f t="shared" si="2"/>
        <v>325</v>
      </c>
      <c r="B24" s="4">
        <v>8.7738499181173282</v>
      </c>
      <c r="C24" s="2">
        <v>0.2109375</v>
      </c>
      <c r="D24" s="4">
        <v>8.7718150942428643</v>
      </c>
      <c r="E24" s="5">
        <f t="shared" si="0"/>
        <v>-2.0348238744638536E-3</v>
      </c>
      <c r="F24" s="1">
        <f t="shared" si="1"/>
        <v>-0.66131775920075242</v>
      </c>
    </row>
    <row r="25" spans="1:10" x14ac:dyDescent="0.3">
      <c r="A25" s="2">
        <f t="shared" si="2"/>
        <v>350</v>
      </c>
      <c r="B25" s="4">
        <v>8.7741141618077148</v>
      </c>
      <c r="C25" s="2">
        <v>0.2265625</v>
      </c>
      <c r="D25" s="4">
        <v>8.7718150942428643</v>
      </c>
      <c r="E25" s="5">
        <f t="shared" si="0"/>
        <v>-2.2990675648504322E-3</v>
      </c>
      <c r="F25" s="1">
        <f t="shared" si="1"/>
        <v>-0.80467364769765126</v>
      </c>
    </row>
    <row r="26" spans="1:10" x14ac:dyDescent="0.3">
      <c r="A26" s="2">
        <f t="shared" si="2"/>
        <v>375</v>
      </c>
      <c r="B26" s="4">
        <v>8.7741841923863362</v>
      </c>
      <c r="C26" s="2">
        <v>0.25</v>
      </c>
      <c r="D26" s="4">
        <v>8.7718150942428643</v>
      </c>
      <c r="E26" s="5">
        <f t="shared" si="0"/>
        <v>-2.3690981434718594E-3</v>
      </c>
      <c r="F26" s="1">
        <f t="shared" si="1"/>
        <v>-0.88841180380194729</v>
      </c>
    </row>
    <row r="27" spans="1:10" x14ac:dyDescent="0.3">
      <c r="A27" s="2">
        <f t="shared" si="2"/>
        <v>400</v>
      </c>
      <c r="B27" s="4">
        <v>8.7741097615184351</v>
      </c>
      <c r="C27" s="2">
        <v>0.28125</v>
      </c>
      <c r="D27" s="4">
        <v>8.7718150942428643</v>
      </c>
      <c r="E27" s="5">
        <f t="shared" si="0"/>
        <v>-2.2946672755708164E-3</v>
      </c>
      <c r="F27" s="1">
        <f t="shared" si="1"/>
        <v>-0.91786691022832656</v>
      </c>
    </row>
    <row r="28" spans="1:10" x14ac:dyDescent="0.3">
      <c r="A28" s="2">
        <f t="shared" si="2"/>
        <v>425</v>
      </c>
      <c r="B28" s="4">
        <v>8.7739291089108562</v>
      </c>
      <c r="C28" s="2">
        <v>0.2890625</v>
      </c>
      <c r="D28" s="4">
        <v>8.7718150942428643</v>
      </c>
      <c r="E28" s="5">
        <f t="shared" si="0"/>
        <v>-2.1140146679918814E-3</v>
      </c>
      <c r="F28" s="1">
        <f t="shared" si="1"/>
        <v>-0.89845623389654961</v>
      </c>
    </row>
    <row r="29" spans="1:10" x14ac:dyDescent="0.3">
      <c r="A29" s="2">
        <f t="shared" si="2"/>
        <v>450</v>
      </c>
      <c r="B29" s="4">
        <v>8.7736692135588754</v>
      </c>
      <c r="C29" s="2">
        <v>0.3203125</v>
      </c>
      <c r="D29" s="4">
        <v>8.7718150942428643</v>
      </c>
      <c r="E29" s="5">
        <f t="shared" si="0"/>
        <v>-1.8541193160110936E-3</v>
      </c>
      <c r="F29" s="1">
        <f t="shared" si="1"/>
        <v>-0.83435369220499211</v>
      </c>
    </row>
    <row r="30" spans="1:10" x14ac:dyDescent="0.3">
      <c r="A30" s="2">
        <f t="shared" si="2"/>
        <v>475</v>
      </c>
      <c r="B30" s="4">
        <v>8.7733505712813198</v>
      </c>
      <c r="C30" s="2">
        <v>0.34375</v>
      </c>
      <c r="D30" s="4">
        <v>8.7718150942428643</v>
      </c>
      <c r="E30" s="5">
        <f t="shared" si="0"/>
        <v>-1.5354770384554683E-3</v>
      </c>
      <c r="F30" s="1">
        <f t="shared" si="1"/>
        <v>-0.72935159326634746</v>
      </c>
    </row>
    <row r="31" spans="1:10" x14ac:dyDescent="0.3">
      <c r="A31" s="2">
        <f t="shared" si="2"/>
        <v>500</v>
      </c>
      <c r="B31" s="4">
        <v>8.7729861367028033</v>
      </c>
      <c r="C31" s="2">
        <v>0.3828125</v>
      </c>
      <c r="D31" s="4">
        <v>8.7718150942428643</v>
      </c>
      <c r="E31" s="5">
        <f t="shared" si="0"/>
        <v>-1.1710424599389313E-3</v>
      </c>
      <c r="F31" s="1">
        <f t="shared" si="1"/>
        <v>-0.58552122996946565</v>
      </c>
    </row>
    <row r="32" spans="1:10" x14ac:dyDescent="0.3">
      <c r="A32" s="2">
        <f>A31+50</f>
        <v>550</v>
      </c>
      <c r="B32" s="4">
        <v>8.7721714291857076</v>
      </c>
      <c r="C32" s="2">
        <v>0.515625</v>
      </c>
      <c r="D32" s="4">
        <v>8.7718150942428643</v>
      </c>
      <c r="E32" s="5">
        <f t="shared" si="0"/>
        <v>-3.5633494284326162E-4</v>
      </c>
      <c r="F32" s="1">
        <f t="shared" si="1"/>
        <v>-0.19598421856379389</v>
      </c>
      <c r="H32" s="97" t="s">
        <v>38</v>
      </c>
      <c r="I32" s="97"/>
      <c r="J32" s="97"/>
    </row>
    <row r="33" spans="1:15" x14ac:dyDescent="0.3">
      <c r="A33" s="2">
        <f t="shared" ref="A33:A41" si="3">A32+50</f>
        <v>600</v>
      </c>
      <c r="B33" s="4">
        <v>8.7712887404371571</v>
      </c>
      <c r="C33" s="2">
        <v>0.5</v>
      </c>
      <c r="D33" s="4">
        <v>8.7718150942428643</v>
      </c>
      <c r="E33" s="5">
        <f t="shared" si="0"/>
        <v>5.2635380570720258E-4</v>
      </c>
      <c r="F33" s="1">
        <f t="shared" si="1"/>
        <v>0.31581228342432155</v>
      </c>
      <c r="H33" s="97"/>
      <c r="I33" s="97"/>
      <c r="J33" s="97"/>
      <c r="K33" s="99" t="s">
        <v>39</v>
      </c>
      <c r="L33" s="100"/>
      <c r="M33" s="100"/>
      <c r="N33" s="100"/>
      <c r="O33" s="100"/>
    </row>
    <row r="34" spans="1:15" x14ac:dyDescent="0.3">
      <c r="A34" s="2">
        <f t="shared" si="3"/>
        <v>650</v>
      </c>
      <c r="B34" s="4">
        <v>8.7703777364179967</v>
      </c>
      <c r="C34" s="2">
        <v>0.5546875</v>
      </c>
      <c r="D34" s="4">
        <v>8.7718150942428643</v>
      </c>
      <c r="E34" s="5">
        <f t="shared" si="0"/>
        <v>1.4373578248676466E-3</v>
      </c>
      <c r="F34" s="1">
        <f t="shared" si="1"/>
        <v>0.93428258616397031</v>
      </c>
      <c r="H34" s="97"/>
      <c r="I34" s="97"/>
      <c r="J34" s="97"/>
    </row>
    <row r="35" spans="1:15" x14ac:dyDescent="0.3">
      <c r="A35" s="2">
        <f t="shared" si="3"/>
        <v>700</v>
      </c>
      <c r="B35" s="4">
        <v>8.7694589653598456</v>
      </c>
      <c r="C35" s="2">
        <v>0.625</v>
      </c>
      <c r="D35" s="4">
        <v>8.7718150942428643</v>
      </c>
      <c r="E35" s="5">
        <f t="shared" si="0"/>
        <v>2.3561288830187266E-3</v>
      </c>
      <c r="F35" s="1">
        <f t="shared" si="1"/>
        <v>1.6492902181131086</v>
      </c>
      <c r="H35" s="3" t="s">
        <v>47</v>
      </c>
    </row>
    <row r="36" spans="1:15" x14ac:dyDescent="0.3">
      <c r="A36" s="2">
        <f t="shared" si="3"/>
        <v>750</v>
      </c>
      <c r="B36" s="4">
        <v>8.7699661803644666</v>
      </c>
      <c r="C36" s="2">
        <v>0.6953125</v>
      </c>
      <c r="D36" s="4">
        <v>8.7718150942428643</v>
      </c>
      <c r="E36" s="5">
        <f t="shared" si="0"/>
        <v>1.8489138783976955E-3</v>
      </c>
      <c r="F36" s="1">
        <f t="shared" si="1"/>
        <v>1.3866854087982716</v>
      </c>
    </row>
    <row r="37" spans="1:15" x14ac:dyDescent="0.3">
      <c r="A37" s="2">
        <f t="shared" si="3"/>
        <v>800</v>
      </c>
      <c r="B37" s="4">
        <v>8.7708534696815583</v>
      </c>
      <c r="C37" s="2">
        <v>0.765625</v>
      </c>
      <c r="D37" s="4">
        <v>8.7718150942428643</v>
      </c>
      <c r="E37" s="5">
        <f t="shared" si="0"/>
        <v>9.6162456130599594E-4</v>
      </c>
      <c r="F37" s="1">
        <f t="shared" si="1"/>
        <v>0.76929964904479675</v>
      </c>
    </row>
    <row r="38" spans="1:15" x14ac:dyDescent="0.3">
      <c r="A38" s="2">
        <f t="shared" si="3"/>
        <v>850</v>
      </c>
      <c r="B38" s="4">
        <v>8.7715016427306693</v>
      </c>
      <c r="C38" s="2">
        <v>0.828125</v>
      </c>
      <c r="D38" s="4">
        <v>8.7718150942428643</v>
      </c>
      <c r="E38" s="5">
        <f t="shared" si="0"/>
        <v>3.1345151219497325E-4</v>
      </c>
      <c r="F38" s="1">
        <f t="shared" si="1"/>
        <v>0.26643378536572726</v>
      </c>
    </row>
    <row r="39" spans="1:15" x14ac:dyDescent="0.3">
      <c r="A39" s="2">
        <f t="shared" si="3"/>
        <v>900</v>
      </c>
      <c r="B39" s="4">
        <v>8.7719605294094318</v>
      </c>
      <c r="C39" s="2">
        <v>0.890625</v>
      </c>
      <c r="D39" s="4">
        <v>8.7718150942428643</v>
      </c>
      <c r="E39" s="5">
        <f t="shared" si="0"/>
        <v>-1.454351665675091E-4</v>
      </c>
      <c r="F39" s="1">
        <f t="shared" si="1"/>
        <v>-0.13089164991075819</v>
      </c>
    </row>
    <row r="40" spans="1:15" x14ac:dyDescent="0.3">
      <c r="A40" s="2">
        <f>A39+50</f>
        <v>950</v>
      </c>
      <c r="B40" s="4">
        <v>8.7722706872699963</v>
      </c>
      <c r="C40" s="2">
        <v>1.03125</v>
      </c>
      <c r="D40" s="4">
        <v>8.7718150942428643</v>
      </c>
      <c r="E40" s="5">
        <f t="shared" si="0"/>
        <v>-4.5559302713193972E-4</v>
      </c>
      <c r="F40" s="1">
        <f t="shared" si="1"/>
        <v>-0.43281337577534273</v>
      </c>
    </row>
    <row r="41" spans="1:15" x14ac:dyDescent="0.3">
      <c r="A41" s="2">
        <f t="shared" si="3"/>
        <v>1000</v>
      </c>
      <c r="B41" s="4">
        <v>8.7724598562570346</v>
      </c>
      <c r="C41" s="2">
        <v>1.0234375</v>
      </c>
      <c r="D41" s="4">
        <v>8.7718150942428643</v>
      </c>
      <c r="E41" s="5">
        <f t="shared" si="0"/>
        <v>-6.4476201417029699E-4</v>
      </c>
      <c r="F41" s="1">
        <f t="shared" si="1"/>
        <v>-0.64476201417029699</v>
      </c>
    </row>
    <row r="42" spans="1:15" x14ac:dyDescent="0.3">
      <c r="A42" s="2">
        <f>A41+100</f>
        <v>1100</v>
      </c>
      <c r="B42" s="4">
        <v>8.772567231814703</v>
      </c>
      <c r="C42" s="2">
        <v>1.1953125</v>
      </c>
      <c r="D42" s="4">
        <v>8.7718150942428643</v>
      </c>
      <c r="E42" s="5">
        <f t="shared" si="0"/>
        <v>-7.5213757183867358E-4</v>
      </c>
      <c r="F42" s="1">
        <f t="shared" si="1"/>
        <v>-0.82735132902254094</v>
      </c>
    </row>
    <row r="43" spans="1:15" x14ac:dyDescent="0.3">
      <c r="A43" s="2">
        <f t="shared" ref="A43:A56" si="4">A42+100</f>
        <v>1200</v>
      </c>
      <c r="B43" s="4">
        <v>8.7724158327280612</v>
      </c>
      <c r="C43" s="2">
        <v>1.421875</v>
      </c>
      <c r="D43" s="4">
        <v>8.7718150942428643</v>
      </c>
      <c r="E43" s="5">
        <f t="shared" si="0"/>
        <v>-6.0073848519692774E-4</v>
      </c>
      <c r="F43" s="1">
        <f t="shared" si="1"/>
        <v>-0.72088618223631329</v>
      </c>
    </row>
    <row r="44" spans="1:15" x14ac:dyDescent="0.3">
      <c r="A44" s="2">
        <f t="shared" si="4"/>
        <v>1300</v>
      </c>
      <c r="B44" s="4">
        <v>8.772094901105099</v>
      </c>
      <c r="C44" s="2">
        <v>1.546875</v>
      </c>
      <c r="D44" s="4">
        <v>8.7718150942428643</v>
      </c>
      <c r="E44" s="5">
        <f t="shared" si="0"/>
        <v>-2.7980686223472162E-4</v>
      </c>
      <c r="F44" s="1">
        <f t="shared" si="1"/>
        <v>-0.36374892090513811</v>
      </c>
    </row>
    <row r="45" spans="1:15" x14ac:dyDescent="0.3">
      <c r="A45" s="2">
        <f t="shared" si="4"/>
        <v>1400</v>
      </c>
      <c r="B45" s="4">
        <v>8.7716559900482736</v>
      </c>
      <c r="C45" s="2">
        <v>1.703125</v>
      </c>
      <c r="D45" s="4">
        <v>8.7718150942428643</v>
      </c>
      <c r="E45" s="5">
        <f t="shared" si="0"/>
        <v>1.5910419459075342E-4</v>
      </c>
      <c r="F45" s="1">
        <f t="shared" si="1"/>
        <v>0.22274587242705479</v>
      </c>
    </row>
    <row r="46" spans="1:15" x14ac:dyDescent="0.3">
      <c r="A46" s="2">
        <f t="shared" si="4"/>
        <v>1500</v>
      </c>
      <c r="B46" s="4">
        <v>8.7711452539444466</v>
      </c>
      <c r="C46" s="2">
        <v>1.90625</v>
      </c>
      <c r="D46" s="4">
        <v>8.7718150942428643</v>
      </c>
      <c r="E46" s="5">
        <f t="shared" si="0"/>
        <v>6.698402984177676E-4</v>
      </c>
      <c r="F46" s="1">
        <f t="shared" si="1"/>
        <v>1.0047604476266514</v>
      </c>
    </row>
    <row r="47" spans="1:15" x14ac:dyDescent="0.3">
      <c r="A47" s="2">
        <f t="shared" si="4"/>
        <v>1600</v>
      </c>
      <c r="B47" s="4">
        <v>8.7705829466649181</v>
      </c>
      <c r="C47" s="2">
        <v>2.1640625</v>
      </c>
      <c r="D47" s="4">
        <v>8.7718150942428643</v>
      </c>
      <c r="E47" s="5">
        <f t="shared" si="0"/>
        <v>1.2321475779462077E-3</v>
      </c>
      <c r="F47" s="1">
        <f t="shared" si="1"/>
        <v>1.9714361247139323</v>
      </c>
    </row>
    <row r="48" spans="1:15" x14ac:dyDescent="0.3">
      <c r="A48" s="2">
        <f t="shared" si="4"/>
        <v>1700</v>
      </c>
      <c r="B48" s="4">
        <v>8.7710751846186081</v>
      </c>
      <c r="C48" s="2">
        <v>2.2265625</v>
      </c>
      <c r="D48" s="4">
        <v>8.7718150942428643</v>
      </c>
      <c r="E48" s="5">
        <f t="shared" si="0"/>
        <v>7.3990962425618534E-4</v>
      </c>
      <c r="F48" s="1">
        <f t="shared" si="1"/>
        <v>1.2578463612355151</v>
      </c>
    </row>
    <row r="49" spans="1:6" x14ac:dyDescent="0.3">
      <c r="A49" s="2">
        <f t="shared" si="4"/>
        <v>1800</v>
      </c>
      <c r="B49" s="4">
        <v>8.7715073012953031</v>
      </c>
      <c r="C49" s="2">
        <v>2.453125</v>
      </c>
      <c r="D49" s="4">
        <v>8.7718150942428643</v>
      </c>
      <c r="E49" s="5">
        <f t="shared" si="0"/>
        <v>3.0779294756122511E-4</v>
      </c>
      <c r="F49" s="1">
        <f t="shared" si="1"/>
        <v>0.55402730561020519</v>
      </c>
    </row>
    <row r="50" spans="1:6" x14ac:dyDescent="0.3">
      <c r="A50" s="2">
        <f t="shared" si="4"/>
        <v>1900</v>
      </c>
      <c r="B50" s="2">
        <v>8.7717948706955688</v>
      </c>
      <c r="C50" s="2">
        <v>2.65625</v>
      </c>
      <c r="D50" s="4">
        <v>8.7718150942428643</v>
      </c>
      <c r="E50" s="5">
        <f t="shared" si="0"/>
        <v>2.0223547295472599E-5</v>
      </c>
      <c r="F50" s="1">
        <f t="shared" si="1"/>
        <v>3.8424739861397939E-2</v>
      </c>
    </row>
    <row r="51" spans="1:6" x14ac:dyDescent="0.3">
      <c r="A51" s="2">
        <f t="shared" si="4"/>
        <v>2000</v>
      </c>
      <c r="B51" s="2">
        <v>8.7719630442273164</v>
      </c>
      <c r="C51" s="2">
        <v>2.8828125</v>
      </c>
      <c r="D51" s="4">
        <v>8.7718150942428643</v>
      </c>
      <c r="E51" s="5">
        <f t="shared" si="0"/>
        <v>-1.4794998445211149E-4</v>
      </c>
      <c r="F51" s="1">
        <f t="shared" si="1"/>
        <v>-0.29589996890422299</v>
      </c>
    </row>
    <row r="52" spans="1:6" x14ac:dyDescent="0.3">
      <c r="A52" s="2">
        <f t="shared" si="4"/>
        <v>2100</v>
      </c>
      <c r="B52" s="2">
        <v>8.7720372459838156</v>
      </c>
      <c r="C52" s="2">
        <v>3.09375</v>
      </c>
      <c r="D52" s="4">
        <v>8.7718150942428643</v>
      </c>
      <c r="E52" s="5">
        <f t="shared" si="0"/>
        <v>-2.2215174095130408E-4</v>
      </c>
      <c r="F52" s="1">
        <f t="shared" si="1"/>
        <v>-0.46651865599773856</v>
      </c>
    </row>
    <row r="53" spans="1:6" x14ac:dyDescent="0.3">
      <c r="A53" s="2">
        <f t="shared" si="4"/>
        <v>2200</v>
      </c>
      <c r="B53" s="2">
        <v>8.7720343969932344</v>
      </c>
      <c r="C53" s="2">
        <v>3.3125</v>
      </c>
      <c r="D53" s="4">
        <v>8.7718150942428643</v>
      </c>
      <c r="E53" s="5">
        <f t="shared" si="0"/>
        <v>-2.1930275037007618E-4</v>
      </c>
      <c r="F53" s="1">
        <f t="shared" si="1"/>
        <v>-0.4824660508141676</v>
      </c>
    </row>
    <row r="54" spans="1:6" x14ac:dyDescent="0.3">
      <c r="A54" s="2">
        <f t="shared" si="4"/>
        <v>2300</v>
      </c>
      <c r="B54" s="2">
        <v>8.7719688952755241</v>
      </c>
      <c r="C54" s="2">
        <v>3.4453125</v>
      </c>
      <c r="D54" s="4">
        <v>8.7718150942428643</v>
      </c>
      <c r="E54" s="5">
        <f t="shared" si="0"/>
        <v>-1.5380103265982825E-4</v>
      </c>
      <c r="F54" s="1">
        <f t="shared" si="1"/>
        <v>-0.35374237511760498</v>
      </c>
    </row>
    <row r="55" spans="1:6" x14ac:dyDescent="0.3">
      <c r="A55" s="2">
        <f t="shared" si="4"/>
        <v>2400</v>
      </c>
      <c r="B55" s="2">
        <v>8.7718550958237831</v>
      </c>
      <c r="C55" s="2">
        <v>3.765625</v>
      </c>
      <c r="D55" s="4">
        <v>8.7718150942428643</v>
      </c>
      <c r="E55" s="5">
        <f t="shared" si="0"/>
        <v>-4.0001580918769264E-5</v>
      </c>
      <c r="F55" s="1">
        <f t="shared" si="1"/>
        <v>-9.6003794205046233E-2</v>
      </c>
    </row>
    <row r="56" spans="1:6" x14ac:dyDescent="0.3">
      <c r="A56" s="2">
        <f t="shared" si="4"/>
        <v>2500</v>
      </c>
      <c r="B56" s="2">
        <v>8.7716996277476831</v>
      </c>
      <c r="C56" s="2">
        <v>3.9765625</v>
      </c>
      <c r="D56" s="4">
        <v>8.7718150942428643</v>
      </c>
      <c r="E56" s="5">
        <f t="shared" si="0"/>
        <v>1.1546649518123786E-4</v>
      </c>
      <c r="F56" s="1">
        <f t="shared" si="1"/>
        <v>0.28866623795309465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403860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topLeftCell="A6" zoomScale="85" zoomScaleNormal="85" workbookViewId="0">
      <selection activeCell="F7" sqref="F7"/>
    </sheetView>
  </sheetViews>
  <sheetFormatPr defaultColWidth="9" defaultRowHeight="14.4" x14ac:dyDescent="0.3"/>
  <cols>
    <col min="1" max="1" width="16" style="3" customWidth="1"/>
    <col min="2" max="2" width="14.6640625" style="3" customWidth="1"/>
    <col min="3" max="3" width="13" style="3" customWidth="1"/>
    <col min="4" max="4" width="15.109375" style="3" customWidth="1"/>
    <col min="5" max="5" width="15.44140625" style="3" customWidth="1"/>
    <col min="6" max="6" width="15.109375" style="3" customWidth="1"/>
    <col min="7" max="16384" width="9" style="3"/>
  </cols>
  <sheetData>
    <row r="1" spans="1:8" x14ac:dyDescent="0.3">
      <c r="A1" s="101" t="s">
        <v>40</v>
      </c>
      <c r="B1" s="101"/>
      <c r="C1" s="101"/>
    </row>
    <row r="2" spans="1:8" x14ac:dyDescent="0.3">
      <c r="A2" s="101"/>
      <c r="B2" s="101"/>
      <c r="C2" s="101"/>
    </row>
    <row r="3" spans="1:8" x14ac:dyDescent="0.3">
      <c r="A3" s="101"/>
      <c r="B3" s="101"/>
      <c r="C3" s="101"/>
    </row>
    <row r="4" spans="1:8" x14ac:dyDescent="0.3">
      <c r="H4" s="13"/>
    </row>
    <row r="5" spans="1:8" ht="16.2" thickBot="1" x14ac:dyDescent="0.35">
      <c r="A5" s="98" t="s">
        <v>36</v>
      </c>
      <c r="B5" s="98"/>
      <c r="C5" s="98"/>
      <c r="D5" s="98"/>
      <c r="E5" s="98"/>
      <c r="F5" s="98"/>
    </row>
    <row r="6" spans="1:8" ht="27.75" customHeight="1" x14ac:dyDescent="0.3">
      <c r="A6" s="8" t="s">
        <v>14</v>
      </c>
      <c r="B6" s="8" t="s">
        <v>29</v>
      </c>
      <c r="C6" s="8" t="s">
        <v>30</v>
      </c>
      <c r="D6" s="8" t="s">
        <v>41</v>
      </c>
      <c r="E6" s="8" t="s">
        <v>42</v>
      </c>
      <c r="F6" s="8" t="s">
        <v>43</v>
      </c>
    </row>
    <row r="7" spans="1:8" x14ac:dyDescent="0.3">
      <c r="A7" s="10">
        <v>85</v>
      </c>
      <c r="B7" s="11">
        <v>19.442247884202345</v>
      </c>
      <c r="C7" s="9">
        <v>19.431268114557472</v>
      </c>
      <c r="D7" s="9"/>
      <c r="E7" s="9"/>
      <c r="F7" s="9">
        <f t="shared" ref="F7:F37" si="0">B7-C7</f>
        <v>1.0979769644873016E-2</v>
      </c>
    </row>
    <row r="8" spans="1:8" x14ac:dyDescent="0.3">
      <c r="A8" s="10">
        <v>86</v>
      </c>
      <c r="B8" s="11">
        <v>18.688920914515176</v>
      </c>
      <c r="C8" s="9">
        <v>18.69579928211332</v>
      </c>
      <c r="D8" s="9">
        <f t="shared" ref="D8:D37" si="1">(B8-B7)/(A8-A7)</f>
        <v>-0.75332696968716917</v>
      </c>
      <c r="E8" s="9">
        <f t="shared" ref="E8:E37" si="2">(C8-C7)/(A8-A7)</f>
        <v>-0.73546883244415184</v>
      </c>
      <c r="F8" s="9">
        <f t="shared" si="0"/>
        <v>-6.8783675981443082E-3</v>
      </c>
    </row>
    <row r="9" spans="1:8" x14ac:dyDescent="0.3">
      <c r="A9" s="10">
        <v>87</v>
      </c>
      <c r="B9" s="11">
        <v>17.953572903190071</v>
      </c>
      <c r="C9" s="9">
        <v>17.976378076019238</v>
      </c>
      <c r="D9" s="9">
        <f t="shared" si="1"/>
        <v>-0.73534801132510452</v>
      </c>
      <c r="E9" s="9">
        <f t="shared" si="2"/>
        <v>-0.71942120609408278</v>
      </c>
      <c r="F9" s="9">
        <f t="shared" si="0"/>
        <v>-2.2805172829166054E-2</v>
      </c>
    </row>
    <row r="10" spans="1:8" x14ac:dyDescent="0.3">
      <c r="A10" s="10">
        <v>88</v>
      </c>
      <c r="B10" s="11">
        <v>17.278839561215111</v>
      </c>
      <c r="C10" s="9">
        <v>17.273342568498673</v>
      </c>
      <c r="D10" s="9">
        <f t="shared" si="1"/>
        <v>-0.67473334197496015</v>
      </c>
      <c r="E10" s="9">
        <f t="shared" si="2"/>
        <v>-0.7030355075205641</v>
      </c>
      <c r="F10" s="9">
        <f t="shared" si="0"/>
        <v>5.4969927164378873E-3</v>
      </c>
    </row>
    <row r="11" spans="1:8" x14ac:dyDescent="0.3">
      <c r="A11" s="10">
        <v>89</v>
      </c>
      <c r="B11" s="11">
        <v>16.604106219240148</v>
      </c>
      <c r="C11" s="9">
        <v>16.586991267219673</v>
      </c>
      <c r="D11" s="9">
        <f t="shared" si="1"/>
        <v>-0.67473334197496371</v>
      </c>
      <c r="E11" s="9">
        <f t="shared" si="2"/>
        <v>-0.68635130127900013</v>
      </c>
      <c r="F11" s="9">
        <f t="shared" si="0"/>
        <v>1.7114952020474306E-2</v>
      </c>
    </row>
    <row r="12" spans="1:8" x14ac:dyDescent="0.3">
      <c r="A12" s="10">
        <v>90</v>
      </c>
      <c r="B12" s="11">
        <v>15.929372877265177</v>
      </c>
      <c r="C12" s="9">
        <v>15.917582268520885</v>
      </c>
      <c r="D12" s="9">
        <f t="shared" si="1"/>
        <v>-0.67473334197497081</v>
      </c>
      <c r="E12" s="9">
        <f t="shared" si="2"/>
        <v>-0.66940899869878834</v>
      </c>
      <c r="F12" s="9">
        <f t="shared" si="0"/>
        <v>1.1790608744291831E-2</v>
      </c>
    </row>
    <row r="13" spans="1:8" x14ac:dyDescent="0.3">
      <c r="A13" s="10">
        <v>91</v>
      </c>
      <c r="B13" s="11">
        <v>15.254639535290227</v>
      </c>
      <c r="C13" s="9">
        <v>15.265332739737046</v>
      </c>
      <c r="D13" s="9">
        <f t="shared" si="1"/>
        <v>-0.6747333419749495</v>
      </c>
      <c r="E13" s="9">
        <f t="shared" si="2"/>
        <v>-0.65224952878383924</v>
      </c>
      <c r="F13" s="9">
        <f t="shared" si="0"/>
        <v>-1.0693204446818427E-2</v>
      </c>
    </row>
    <row r="14" spans="1:8" x14ac:dyDescent="0.3">
      <c r="A14" s="10">
        <v>92</v>
      </c>
      <c r="B14" s="11">
        <v>14.604348781694309</v>
      </c>
      <c r="C14" s="9">
        <v>14.63041871903553</v>
      </c>
      <c r="D14" s="9">
        <f t="shared" si="1"/>
        <v>-0.65029075359591815</v>
      </c>
      <c r="E14" s="9">
        <f t="shared" si="2"/>
        <v>-0.63491402070151537</v>
      </c>
      <c r="F14" s="9">
        <f t="shared" si="0"/>
        <v>-2.6069937341221205E-2</v>
      </c>
    </row>
    <row r="15" spans="1:8" x14ac:dyDescent="0.3">
      <c r="A15" s="10">
        <v>93</v>
      </c>
      <c r="B15" s="11">
        <v>14.018431471911164</v>
      </c>
      <c r="C15" s="9">
        <v>14.012975217996006</v>
      </c>
      <c r="D15" s="9">
        <f t="shared" si="1"/>
        <v>-0.58591730978314516</v>
      </c>
      <c r="E15" s="9">
        <f t="shared" si="2"/>
        <v>-0.61744350103952428</v>
      </c>
      <c r="F15" s="9">
        <f t="shared" si="0"/>
        <v>5.4562539151579159E-3</v>
      </c>
    </row>
    <row r="16" spans="1:8" x14ac:dyDescent="0.3">
      <c r="A16" s="10">
        <v>94</v>
      </c>
      <c r="B16" s="11">
        <v>13.432514162128017</v>
      </c>
      <c r="C16" s="9">
        <v>13.413096609476101</v>
      </c>
      <c r="D16" s="9">
        <f t="shared" si="1"/>
        <v>-0.58591730978314693</v>
      </c>
      <c r="E16" s="9">
        <f t="shared" si="2"/>
        <v>-0.59987860851990504</v>
      </c>
      <c r="F16" s="9">
        <f t="shared" si="0"/>
        <v>1.9417552651916026E-2</v>
      </c>
    </row>
    <row r="17" spans="1:6" x14ac:dyDescent="0.3">
      <c r="A17" s="10">
        <v>95</v>
      </c>
      <c r="B17" s="11">
        <v>12.846596852344865</v>
      </c>
      <c r="C17" s="9">
        <v>12.830837281102829</v>
      </c>
      <c r="D17" s="9">
        <f t="shared" si="1"/>
        <v>-0.58591730978315226</v>
      </c>
      <c r="E17" s="9">
        <f t="shared" si="2"/>
        <v>-0.58225932837327221</v>
      </c>
      <c r="F17" s="9">
        <f t="shared" si="0"/>
        <v>1.5759571242035975E-2</v>
      </c>
    </row>
    <row r="18" spans="1:6" x14ac:dyDescent="0.3">
      <c r="A18" s="10">
        <v>96</v>
      </c>
      <c r="B18" s="11">
        <v>12.260679542561725</v>
      </c>
      <c r="C18" s="9">
        <v>12.266212533003539</v>
      </c>
      <c r="D18" s="9">
        <f t="shared" si="1"/>
        <v>-0.58591730978313983</v>
      </c>
      <c r="E18" s="9">
        <f t="shared" si="2"/>
        <v>-0.56462474809928942</v>
      </c>
      <c r="F18" s="9">
        <f t="shared" si="0"/>
        <v>-5.5329904418144338E-3</v>
      </c>
    </row>
    <row r="19" spans="1:6" x14ac:dyDescent="0.3">
      <c r="A19" s="10">
        <v>97</v>
      </c>
      <c r="B19" s="11">
        <v>11.678435822991124</v>
      </c>
      <c r="C19" s="9">
        <v>11.719199697120828</v>
      </c>
      <c r="D19" s="9">
        <f t="shared" si="1"/>
        <v>-0.5822437195706005</v>
      </c>
      <c r="E19" s="9">
        <f t="shared" si="2"/>
        <v>-0.5470128358827111</v>
      </c>
      <c r="F19" s="9">
        <f t="shared" si="0"/>
        <v>-4.0763874129703837E-2</v>
      </c>
    </row>
    <row r="20" spans="1:6" x14ac:dyDescent="0.3">
      <c r="A20" s="10">
        <v>98</v>
      </c>
      <c r="B20" s="11">
        <v>11.187040645466466</v>
      </c>
      <c r="C20" s="9">
        <v>11.189739454616886</v>
      </c>
      <c r="D20" s="9">
        <f t="shared" si="1"/>
        <v>-0.49139517752465878</v>
      </c>
      <c r="E20" s="9">
        <f t="shared" si="2"/>
        <v>-0.52946024250394252</v>
      </c>
      <c r="F20" s="9">
        <f t="shared" si="0"/>
        <v>-2.6988091504200895E-3</v>
      </c>
    </row>
    <row r="21" spans="1:6" x14ac:dyDescent="0.3">
      <c r="A21" s="10">
        <v>99</v>
      </c>
      <c r="B21" s="11">
        <v>10.6956454679418</v>
      </c>
      <c r="C21" s="9">
        <v>10.677737327434262</v>
      </c>
      <c r="D21" s="9">
        <f t="shared" si="1"/>
        <v>-0.49139517752466588</v>
      </c>
      <c r="E21" s="9">
        <f t="shared" si="2"/>
        <v>-0.51200212718262428</v>
      </c>
      <c r="F21" s="9">
        <f t="shared" si="0"/>
        <v>1.7908140507538306E-2</v>
      </c>
    </row>
    <row r="22" spans="1:6" x14ac:dyDescent="0.3">
      <c r="A22" s="10">
        <v>100</v>
      </c>
      <c r="B22" s="11">
        <v>10.204250290417137</v>
      </c>
      <c r="C22" s="9">
        <v>10.183065320005921</v>
      </c>
      <c r="D22" s="9">
        <f t="shared" si="1"/>
        <v>-0.49139517752466233</v>
      </c>
      <c r="E22" s="9">
        <f t="shared" si="2"/>
        <v>-0.49467200742834017</v>
      </c>
      <c r="F22" s="9">
        <f t="shared" si="0"/>
        <v>2.1184970411216142E-2</v>
      </c>
    </row>
    <row r="23" spans="1:6" x14ac:dyDescent="0.3">
      <c r="A23" s="10">
        <v>101</v>
      </c>
      <c r="B23" s="11">
        <v>9.7128551128924734</v>
      </c>
      <c r="C23" s="9">
        <v>9.7055636873603266</v>
      </c>
      <c r="D23" s="9">
        <f t="shared" si="1"/>
        <v>-0.49139517752466411</v>
      </c>
      <c r="E23" s="9">
        <f t="shared" si="2"/>
        <v>-0.47750163264559475</v>
      </c>
      <c r="F23" s="9">
        <f t="shared" si="0"/>
        <v>7.2914255321467891E-3</v>
      </c>
    </row>
    <row r="24" spans="1:6" x14ac:dyDescent="0.3">
      <c r="A24" s="10">
        <v>102</v>
      </c>
      <c r="B24" s="11">
        <v>9.2214599353678128</v>
      </c>
      <c r="C24" s="9">
        <v>9.2450428064088417</v>
      </c>
      <c r="D24" s="9">
        <f t="shared" si="1"/>
        <v>-0.49139517752466055</v>
      </c>
      <c r="E24" s="9">
        <f t="shared" si="2"/>
        <v>-0.46052088095148491</v>
      </c>
      <c r="F24" s="9">
        <f t="shared" si="0"/>
        <v>-2.3582871041028852E-2</v>
      </c>
    </row>
    <row r="25" spans="1:6" x14ac:dyDescent="0.3">
      <c r="A25" s="10">
        <v>103</v>
      </c>
      <c r="B25" s="11">
        <v>8.7777729238564746</v>
      </c>
      <c r="C25" s="9">
        <v>8.8012851279928501</v>
      </c>
      <c r="D25" s="9">
        <f t="shared" si="1"/>
        <v>-0.44368701151133827</v>
      </c>
      <c r="E25" s="9">
        <f t="shared" si="2"/>
        <v>-0.44375767841599156</v>
      </c>
      <c r="F25" s="9">
        <f t="shared" si="0"/>
        <v>-2.3512204136375559E-2</v>
      </c>
    </row>
    <row r="26" spans="1:6" x14ac:dyDescent="0.3">
      <c r="A26" s="10">
        <v>104</v>
      </c>
      <c r="B26" s="11">
        <v>8.3811128444865872</v>
      </c>
      <c r="C26" s="9">
        <v>8.3740471882678698</v>
      </c>
      <c r="D26" s="9">
        <f t="shared" si="1"/>
        <v>-0.39666007936988734</v>
      </c>
      <c r="E26" s="9">
        <f t="shared" si="2"/>
        <v>-0.42723793972498036</v>
      </c>
      <c r="F26" s="9">
        <f t="shared" si="0"/>
        <v>7.0656562187174643E-3</v>
      </c>
    </row>
    <row r="27" spans="1:6" x14ac:dyDescent="0.3">
      <c r="A27" s="10">
        <v>105</v>
      </c>
      <c r="B27" s="11">
        <v>7.9844527651167052</v>
      </c>
      <c r="C27" s="9">
        <v>7.9630616591738725</v>
      </c>
      <c r="D27" s="9">
        <f t="shared" si="1"/>
        <v>-0.39666007936988201</v>
      </c>
      <c r="E27" s="9">
        <f t="shared" si="2"/>
        <v>-0.41098552909399721</v>
      </c>
      <c r="F27" s="9">
        <f t="shared" si="0"/>
        <v>2.1391105942832667E-2</v>
      </c>
    </row>
    <row r="28" spans="1:6" x14ac:dyDescent="0.3">
      <c r="A28" s="10">
        <v>106</v>
      </c>
      <c r="B28" s="11">
        <v>7.5877926857468188</v>
      </c>
      <c r="C28" s="9">
        <v>7.5680394190483611</v>
      </c>
      <c r="D28" s="9">
        <f t="shared" si="1"/>
        <v>-0.39666007936988645</v>
      </c>
      <c r="E28" s="9">
        <f t="shared" si="2"/>
        <v>-0.39502224012551146</v>
      </c>
      <c r="F28" s="9">
        <f t="shared" si="0"/>
        <v>1.9753266698457672E-2</v>
      </c>
    </row>
    <row r="29" spans="1:6" x14ac:dyDescent="0.3">
      <c r="A29" s="10">
        <v>107</v>
      </c>
      <c r="B29" s="11">
        <v>7.191132606376935</v>
      </c>
      <c r="C29" s="9">
        <v>7.188671625848845</v>
      </c>
      <c r="D29" s="9">
        <f t="shared" si="1"/>
        <v>-0.39666007936988379</v>
      </c>
      <c r="E29" s="9">
        <f t="shared" si="2"/>
        <v>-0.37936779319951608</v>
      </c>
      <c r="F29" s="9">
        <f t="shared" si="0"/>
        <v>2.4609805280899621E-3</v>
      </c>
    </row>
    <row r="30" spans="1:6" x14ac:dyDescent="0.3">
      <c r="A30" s="10">
        <v>108</v>
      </c>
      <c r="B30" s="11">
        <v>6.7944725270070494</v>
      </c>
      <c r="C30" s="9">
        <v>6.8246317769304428</v>
      </c>
      <c r="D30" s="9">
        <f t="shared" si="1"/>
        <v>-0.39666007936988557</v>
      </c>
      <c r="E30" s="9">
        <f t="shared" si="2"/>
        <v>-0.36403984891840224</v>
      </c>
      <c r="F30" s="9">
        <f t="shared" si="0"/>
        <v>-3.0159249923393361E-2</v>
      </c>
    </row>
    <row r="31" spans="1:6" x14ac:dyDescent="0.3">
      <c r="A31" s="10">
        <v>109</v>
      </c>
      <c r="B31" s="11">
        <v>6.4561422915116111</v>
      </c>
      <c r="C31" s="9">
        <v>6.4755777408466617</v>
      </c>
      <c r="D31" s="9">
        <f t="shared" si="1"/>
        <v>-0.33833023549543828</v>
      </c>
      <c r="E31" s="9">
        <f t="shared" si="2"/>
        <v>-0.34905403608378105</v>
      </c>
      <c r="F31" s="9">
        <f t="shared" si="0"/>
        <v>-1.9435449335050592E-2</v>
      </c>
    </row>
    <row r="32" spans="1:6" x14ac:dyDescent="0.3">
      <c r="A32" s="10">
        <v>110</v>
      </c>
      <c r="B32" s="11">
        <v>6.1488997217669104</v>
      </c>
      <c r="C32" s="9">
        <v>6.1411537481786986</v>
      </c>
      <c r="D32" s="9">
        <f t="shared" si="1"/>
        <v>-0.30724256974470077</v>
      </c>
      <c r="E32" s="9">
        <f t="shared" si="2"/>
        <v>-0.33442399266796308</v>
      </c>
      <c r="F32" s="9">
        <f t="shared" si="0"/>
        <v>7.7459735882117187E-3</v>
      </c>
    </row>
    <row r="33" spans="1:6" x14ac:dyDescent="0.3">
      <c r="A33" s="10">
        <v>111</v>
      </c>
      <c r="B33" s="11">
        <v>5.8416571520222149</v>
      </c>
      <c r="C33" s="9">
        <v>5.8209923299297195</v>
      </c>
      <c r="D33" s="9">
        <f t="shared" si="1"/>
        <v>-0.30724256974469544</v>
      </c>
      <c r="E33" s="9">
        <f t="shared" si="2"/>
        <v>-0.32016141824897915</v>
      </c>
      <c r="F33" s="9">
        <f t="shared" si="0"/>
        <v>2.0664822092495427E-2</v>
      </c>
    </row>
    <row r="34" spans="1:6" x14ac:dyDescent="0.3">
      <c r="A34" s="10">
        <v>112</v>
      </c>
      <c r="B34" s="11">
        <v>5.5344145822775177</v>
      </c>
      <c r="C34" s="9">
        <v>5.5147161935251781</v>
      </c>
      <c r="D34" s="9">
        <f t="shared" si="1"/>
        <v>-0.30724256974469721</v>
      </c>
      <c r="E34" s="9">
        <f t="shared" si="2"/>
        <v>-0.30627613640454143</v>
      </c>
      <c r="F34" s="9">
        <f t="shared" si="0"/>
        <v>1.9698388752339646E-2</v>
      </c>
    </row>
    <row r="35" spans="1:6" x14ac:dyDescent="0.3">
      <c r="A35" s="10">
        <v>113</v>
      </c>
      <c r="B35" s="11">
        <v>5.2271720125328223</v>
      </c>
      <c r="C35" s="9">
        <v>5.2219400279214527</v>
      </c>
      <c r="D35" s="9">
        <f t="shared" si="1"/>
        <v>-0.30724256974469544</v>
      </c>
      <c r="E35" s="9">
        <f t="shared" si="2"/>
        <v>-0.29277616560372532</v>
      </c>
      <c r="F35" s="9">
        <f t="shared" si="0"/>
        <v>5.2319846113695334E-3</v>
      </c>
    </row>
    <row r="36" spans="1:6" x14ac:dyDescent="0.3">
      <c r="A36" s="10">
        <v>114</v>
      </c>
      <c r="B36" s="11">
        <v>4.9199294427881197</v>
      </c>
      <c r="C36" s="9">
        <v>4.9422722307289275</v>
      </c>
      <c r="D36" s="9">
        <f t="shared" si="1"/>
        <v>-0.30724256974470254</v>
      </c>
      <c r="E36" s="9">
        <f t="shared" si="2"/>
        <v>-0.27966779719252521</v>
      </c>
      <c r="F36" s="9">
        <f t="shared" si="0"/>
        <v>-2.2342787940807796E-2</v>
      </c>
    </row>
    <row r="37" spans="1:6" x14ac:dyDescent="0.3">
      <c r="A37" s="10">
        <v>115</v>
      </c>
      <c r="B37" s="11">
        <v>4.6498076606563252</v>
      </c>
      <c r="C37" s="9">
        <v>4.6753165515908917</v>
      </c>
      <c r="D37" s="9">
        <f t="shared" si="1"/>
        <v>-0.2701217821317945</v>
      </c>
      <c r="E37" s="9">
        <f t="shared" si="2"/>
        <v>-0.26695567913803586</v>
      </c>
      <c r="F37" s="9">
        <f t="shared" si="0"/>
        <v>-2.5508890934566431E-2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Interface</vt:lpstr>
      <vt:lpstr>UnderlyingPlot</vt:lpstr>
      <vt:lpstr>OptionPricePlot</vt:lpstr>
      <vt:lpstr>NodeProbaPlot</vt:lpstr>
      <vt:lpstr>Greeks</vt:lpstr>
      <vt:lpstr>Convergence Study</vt:lpstr>
      <vt:lpstr>Gap Study</vt:lpstr>
      <vt:lpstr>begin_plot</vt:lpstr>
      <vt:lpstr>begin_proba_plot</vt:lpstr>
      <vt:lpstr>begin_undl_plot</vt:lpstr>
      <vt:lpstr>BSDelta</vt:lpstr>
      <vt:lpstr>BSGamma</vt:lpstr>
      <vt:lpstr>BSRho</vt:lpstr>
      <vt:lpstr>BSTheta</vt:lpstr>
      <vt:lpstr>BSVega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IPrecision</vt:lpstr>
      <vt:lpstr>IPriceTime</vt:lpstr>
      <vt:lpstr>IPrunning</vt:lpstr>
      <vt:lpstr>IPrunningTreshold</vt:lpstr>
      <vt:lpstr>IPythonPrice</vt:lpstr>
      <vt:lpstr>IPythonPriceTime</vt:lpstr>
      <vt:lpstr>IPythonPriceTreeMemory</vt:lpstr>
      <vt:lpstr>IPythonTimeTree</vt:lpstr>
      <vt:lpstr>IPythonTimeTreeMemory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2024-10-30T22:41:02Z</dcterms:modified>
</cp:coreProperties>
</file>