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ibc\OneDrive\Documents\GitHub\Trinomial-Tree\"/>
    </mc:Choice>
  </mc:AlternateContent>
  <xr:revisionPtr revIDLastSave="0" documentId="13_ncr:1_{E89342AC-05DA-48F9-BBE9-9D93201D60CF}" xr6:coauthVersionLast="47" xr6:coauthVersionMax="47" xr10:uidLastSave="{00000000-0000-0000-0000-000000000000}"/>
  <bookViews>
    <workbookView xWindow="-120" yWindow="-120" windowWidth="29040" windowHeight="15840" xr2:uid="{50F7F52E-ED77-47DB-83CE-AA249E62083E}"/>
  </bookViews>
  <sheets>
    <sheet name="Pricer" sheetId="4" r:id="rId1"/>
    <sheet name="OptionPricePlot" sheetId="8" r:id="rId2"/>
    <sheet name="UnderlyingPlot" sheetId="7" r:id="rId3"/>
    <sheet name="NodeProbaPlot" sheetId="9" r:id="rId4"/>
    <sheet name="Graphs" sheetId="2" r:id="rId5"/>
    <sheet name="Graphique" sheetId="3" r:id="rId6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BSPricePython">#REF!</definedName>
    <definedName name="BSTimePython">#REF!</definedName>
    <definedName name="DivDate">#REF!</definedName>
    <definedName name="Dividend">#REF!</definedName>
    <definedName name="ExecutionTIme">#REF!</definedName>
    <definedName name="ExecutionTimeBS">#REF!</definedName>
    <definedName name="ExerciceType">#REF!</definedName>
    <definedName name="GBSPrice">Graphique!$A$17</definedName>
    <definedName name="Gdiv">Graphique!$B$10</definedName>
    <definedName name="GexType">Graphique!$B$4</definedName>
    <definedName name="Gmat">Graphique!$B$8</definedName>
    <definedName name="Grate">Graphique!$B$9</definedName>
    <definedName name="Gspot">Graphique!$B$5</definedName>
    <definedName name="GstartDate">Graphique!$B$11</definedName>
    <definedName name="Gstrike">Graphique!$B$6</definedName>
    <definedName name="Gtype">Graphique!$B$3</definedName>
    <definedName name="Gvol">Graphique!$B$7</definedName>
    <definedName name="IBSPrice">Pricer!$M$11</definedName>
    <definedName name="IDelta">Pricer!$M$23</definedName>
    <definedName name="IDiv">Pricer!$I$14</definedName>
    <definedName name="IDivDate">Pricer!$I$16</definedName>
    <definedName name="IExerciseType">Pricer!$I$26</definedName>
    <definedName name="IGamma">Pricer!$M$26</definedName>
    <definedName name="IGreeks">Pricer!$I$34</definedName>
    <definedName name="IMaturity">Pricer!$I$18</definedName>
    <definedName name="INbSteps">Pricer!$I$30</definedName>
    <definedName name="InterestRate">#REF!</definedName>
    <definedName name="IntialPrice">#REF!</definedName>
    <definedName name="IOptionPrice">Pricer!$M$8</definedName>
    <definedName name="IOptionType">Pricer!$I$24</definedName>
    <definedName name="IPricingMethod">Pricer!$I$28</definedName>
    <definedName name="IPrunning">Pricer!$I$32</definedName>
    <definedName name="IRate">Pricer!$I$12</definedName>
    <definedName name="IRho">Pricer!$M$35</definedName>
    <definedName name="IShowTree">Pricer!$I$36</definedName>
    <definedName name="ISpot">Pricer!$I$8</definedName>
    <definedName name="IStartDate">Pricer!$I$22</definedName>
    <definedName name="IStrike">Pricer!$I$20</definedName>
    <definedName name="ITheta">Pricer!$M$32</definedName>
    <definedName name="ITimePrice">Pricer!$M$17</definedName>
    <definedName name="ITimeTotal">Pricer!$M$20</definedName>
    <definedName name="ITimeTree">Pricer!$M$14</definedName>
    <definedName name="IVega">Pricer!$M$29</definedName>
    <definedName name="IVOl">Pricer!$I$10</definedName>
    <definedName name="Maturity">#REF!</definedName>
    <definedName name="NbSteps">#REF!</definedName>
    <definedName name="OptionType">#REF!</definedName>
    <definedName name="Price">#REF!</definedName>
    <definedName name="PriceBS">#REF!</definedName>
    <definedName name="PriceTree">#REF!</definedName>
    <definedName name="PricingType">#REF!</definedName>
    <definedName name="Spot">Graphique!$B$5</definedName>
    <definedName name="StartDate">#REF!</definedName>
    <definedName name="starting_point_option">#REF!</definedName>
    <definedName name="starting_point_under">#REF!</definedName>
    <definedName name="StepRange">Graphique!$D$3:$D$51</definedName>
    <definedName name="Steps">#REF!</definedName>
    <definedName name="Strike">#REF!</definedName>
    <definedName name="TreePrice">#REF!</definedName>
    <definedName name="TreePricePython">#REF!</definedName>
    <definedName name="TreeTimePython">#REF!</definedName>
    <definedName name="Type">#REF!</definedName>
    <definedName name="TypeOption">#REF!</definedName>
    <definedName name="TypePricing">#REF!</definedName>
    <definedName name="Volatility">#REF!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3" i="3"/>
  <c r="H3" i="3"/>
  <c r="D3" i="3"/>
  <c r="I3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4" i="3"/>
  <c r="M20" i="4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I51" i="3"/>
  <c r="I50" i="3"/>
  <c r="I49" i="3"/>
  <c r="I48" i="3"/>
  <c r="I47" i="3"/>
  <c r="I46" i="3"/>
  <c r="I45" i="3"/>
  <c r="I13" i="3"/>
  <c r="I25" i="3"/>
  <c r="I37" i="3"/>
  <c r="I39" i="3"/>
  <c r="I18" i="3"/>
  <c r="I30" i="3"/>
  <c r="I42" i="3"/>
  <c r="I5" i="3"/>
  <c r="I8" i="3"/>
  <c r="I11" i="3"/>
  <c r="I23" i="3"/>
  <c r="I35" i="3"/>
  <c r="I16" i="3"/>
  <c r="I28" i="3"/>
  <c r="I40" i="3"/>
  <c r="I4" i="3"/>
  <c r="I21" i="3"/>
  <c r="I33" i="3"/>
  <c r="I14" i="3"/>
  <c r="I26" i="3"/>
  <c r="I38" i="3"/>
  <c r="I6" i="3"/>
  <c r="I9" i="3"/>
  <c r="I19" i="3"/>
  <c r="I31" i="3"/>
  <c r="I43" i="3"/>
  <c r="I27" i="3"/>
  <c r="I12" i="3"/>
  <c r="I24" i="3"/>
  <c r="I36" i="3"/>
  <c r="I10" i="3"/>
  <c r="I17" i="3"/>
  <c r="I29" i="3"/>
  <c r="I41" i="3"/>
  <c r="I7" i="3"/>
  <c r="I22" i="3"/>
  <c r="I34" i="3"/>
  <c r="I15" i="3"/>
  <c r="I20" i="3"/>
  <c r="I32" i="3"/>
  <c r="I44" i="3"/>
</calcChain>
</file>

<file path=xl/sharedStrings.xml><?xml version="1.0" encoding="utf-8"?>
<sst xmlns="http://schemas.openxmlformats.org/spreadsheetml/2006/main" count="83" uniqueCount="64">
  <si>
    <t>Inputs</t>
  </si>
  <si>
    <t>Type</t>
  </si>
  <si>
    <t>Exercice Type</t>
  </si>
  <si>
    <t>Volatility (%)</t>
  </si>
  <si>
    <t>Interest Rate (%)</t>
  </si>
  <si>
    <t>Maturity (Year)</t>
  </si>
  <si>
    <t>Tree</t>
  </si>
  <si>
    <t>Execution Time</t>
  </si>
  <si>
    <t>B&amp;S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</si>
  <si>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</si>
  <si>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</si>
  <si>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</si>
  <si>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</si>
  <si>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</si>
  <si>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</si>
  <si>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</si>
  <si>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</si>
  <si>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Call</t>
  </si>
  <si>
    <t>European</t>
  </si>
  <si>
    <t xml:space="preserve">   </t>
  </si>
  <si>
    <t>Step</t>
  </si>
  <si>
    <t>Price</t>
  </si>
  <si>
    <t>Input</t>
  </si>
  <si>
    <t>Gap</t>
  </si>
  <si>
    <t>Gap * N</t>
  </si>
  <si>
    <t>Market</t>
  </si>
  <si>
    <t>Option</t>
  </si>
  <si>
    <t>Spot</t>
  </si>
  <si>
    <t>Dividend</t>
  </si>
  <si>
    <t>Strike</t>
  </si>
  <si>
    <t>Exercise Type</t>
  </si>
  <si>
    <t>Pricing Method</t>
  </si>
  <si>
    <t>Nb Steps</t>
  </si>
  <si>
    <t>Prunning Treshold</t>
  </si>
  <si>
    <t>Pricer</t>
  </si>
  <si>
    <t>Risk-free Rate (%)</t>
  </si>
  <si>
    <t>Option Type</t>
  </si>
  <si>
    <t>Put</t>
  </si>
  <si>
    <t>American</t>
  </si>
  <si>
    <t>Pricer type</t>
  </si>
  <si>
    <t>Compute Greeks ?</t>
  </si>
  <si>
    <t>Show Tree ?</t>
  </si>
  <si>
    <t>Output</t>
  </si>
  <si>
    <t>Option Price (Tree)</t>
  </si>
  <si>
    <t>Option Price (B&amp;S)</t>
  </si>
  <si>
    <t>Time</t>
  </si>
  <si>
    <t>Tree generation (sec)</t>
  </si>
  <si>
    <t>Option Pricing (sec)</t>
  </si>
  <si>
    <t>Total (sec)</t>
  </si>
  <si>
    <t>Greeks</t>
  </si>
  <si>
    <t>Delta</t>
  </si>
  <si>
    <t>Gamma</t>
  </si>
  <si>
    <t>Vega</t>
  </si>
  <si>
    <t>Theta</t>
  </si>
  <si>
    <t>Rho</t>
  </si>
  <si>
    <t>Trinomial Tree - Option Pricer</t>
  </si>
  <si>
    <t>Choose</t>
  </si>
  <si>
    <t>Yes</t>
  </si>
  <si>
    <t>No</t>
  </si>
  <si>
    <t>N/A</t>
  </si>
  <si>
    <t>Option Prices</t>
  </si>
  <si>
    <t>Underlying Prices</t>
  </si>
  <si>
    <t>BS Price</t>
  </si>
  <si>
    <t>Node Probabilities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</si>
</sst>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#,##0.00\ &quot;€&quot;"/>
    <numFmt numFmtId="165" formatCode="#,##0.0000\ &quot;€&quot;"/>
    <numFmt numFmtId="166" formatCode="0.000"/>
  </numFmts>
  <fonts count="14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3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98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8" xfId="0" applyBorder="1"/>
    <xf numFmtId="0" fontId="0" fillId="0" borderId="8" xfId="0" applyBorder="1" applyAlignment="1">
      <alignment vertical="center"/>
    </xf>
    <xf numFmtId="0" fontId="6" fillId="0" borderId="0" xfId="0" applyFont="1" applyAlignment="1">
      <alignment vertical="center"/>
    </xf>
    <xf numFmtId="0" fontId="0" fillId="10" borderId="6" xfId="0" applyFill="1" applyBorder="1" applyAlignment="1">
      <alignment vertical="center"/>
    </xf>
    <xf numFmtId="0" fontId="0" fillId="0" borderId="0" xfId="0" applyAlignment="1">
      <alignment vertical="center"/>
    </xf>
    <xf numFmtId="0" fontId="10" fillId="0" borderId="1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textRotation="255"/>
    </xf>
    <xf numFmtId="0" fontId="5" fillId="6" borderId="1" xfId="0" applyFont="1" applyFill="1" applyBorder="1" applyAlignment="1">
      <alignment horizontal="center" vertical="center" textRotation="255"/>
    </xf>
    <xf numFmtId="0" fontId="0" fillId="0" borderId="1" xfId="0" applyBorder="1" applyAlignment="1">
      <alignment horizontal="center" vertical="center"/>
    </xf>
    <xf numFmtId="166" fontId="10" fillId="0" borderId="15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6" fontId="11" fillId="7" borderId="15" xfId="0" applyNumberFormat="1" applyFont="1" applyFill="1" applyBorder="1" applyAlignment="1">
      <alignment horizontal="center" vertical="center"/>
    </xf>
    <xf numFmtId="166" fontId="11" fillId="7" borderId="1" xfId="0" applyNumberFormat="1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textRotation="255"/>
    </xf>
    <xf numFmtId="0" fontId="8" fillId="3" borderId="1" xfId="0" applyFont="1" applyFill="1" applyBorder="1" applyAlignment="1">
      <alignment horizontal="center" vertical="center" textRotation="255"/>
    </xf>
    <xf numFmtId="0" fontId="9" fillId="9" borderId="3" xfId="0" applyFont="1" applyFill="1" applyBorder="1" applyAlignment="1">
      <alignment horizontal="center" vertical="center"/>
    </xf>
    <xf numFmtId="0" fontId="9" fillId="9" borderId="1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9" borderId="6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1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165" fontId="11" fillId="7" borderId="15" xfId="0" applyNumberFormat="1" applyFont="1" applyFill="1" applyBorder="1" applyAlignment="1">
      <alignment horizontal="center" vertical="center"/>
    </xf>
    <xf numFmtId="165" fontId="11" fillId="7" borderId="1" xfId="0" applyNumberFormat="1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5" fontId="10" fillId="0" borderId="15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 textRotation="255"/>
    </xf>
    <xf numFmtId="0" fontId="7" fillId="5" borderId="13" xfId="0" applyFont="1" applyFill="1" applyBorder="1" applyAlignment="1">
      <alignment horizontal="center" vertical="center" textRotation="255"/>
    </xf>
    <xf numFmtId="0" fontId="7" fillId="5" borderId="8" xfId="0" applyFont="1" applyFill="1" applyBorder="1" applyAlignment="1">
      <alignment horizontal="center" vertical="center" textRotation="255"/>
    </xf>
    <xf numFmtId="0" fontId="8" fillId="4" borderId="3" xfId="0" applyFont="1" applyFill="1" applyBorder="1" applyAlignment="1">
      <alignment horizontal="center" vertical="center" textRotation="255"/>
    </xf>
    <xf numFmtId="0" fontId="8" fillId="4" borderId="2" xfId="0" applyFont="1" applyFill="1" applyBorder="1" applyAlignment="1">
      <alignment horizontal="center" vertical="center" textRotation="255"/>
    </xf>
    <xf numFmtId="0" fontId="8" fillId="4" borderId="6" xfId="0" applyFont="1" applyFill="1" applyBorder="1" applyAlignment="1">
      <alignment horizontal="center" vertical="center" textRotation="255"/>
    </xf>
    <xf numFmtId="0" fontId="8" fillId="4" borderId="11" xfId="0" applyFont="1" applyFill="1" applyBorder="1" applyAlignment="1">
      <alignment horizontal="center" vertical="center" textRotation="255"/>
    </xf>
    <xf numFmtId="0" fontId="8" fillId="4" borderId="4" xfId="0" applyFont="1" applyFill="1" applyBorder="1" applyAlignment="1">
      <alignment horizontal="center" vertical="center" textRotation="255"/>
    </xf>
    <xf numFmtId="0" fontId="8" fillId="4" borderId="5" xfId="0" applyFont="1" applyFill="1" applyBorder="1" applyAlignment="1">
      <alignment horizontal="center" vertical="center" textRotation="255"/>
    </xf>
    <xf numFmtId="11" fontId="10" fillId="0" borderId="3" xfId="0" applyNumberFormat="1" applyFont="1" applyBorder="1" applyAlignment="1">
      <alignment horizontal="center" vertical="center"/>
    </xf>
    <xf numFmtId="11" fontId="10" fillId="0" borderId="12" xfId="0" applyNumberFormat="1" applyFont="1" applyBorder="1" applyAlignment="1">
      <alignment horizontal="center" vertical="center"/>
    </xf>
    <xf numFmtId="11" fontId="10" fillId="0" borderId="4" xfId="0" applyNumberFormat="1" applyFont="1" applyBorder="1" applyAlignment="1">
      <alignment horizontal="center" vertical="center"/>
    </xf>
    <xf numFmtId="11" fontId="10" fillId="0" borderId="14" xfId="0" applyNumberFormat="1" applyFont="1" applyBorder="1" applyAlignment="1">
      <alignment horizontal="center" vertical="center"/>
    </xf>
    <xf numFmtId="0" fontId="0" fillId="5" borderId="10" xfId="0" applyFill="1" applyBorder="1" applyAlignment="1">
      <alignment horizontal="center" vertical="center" textRotation="255"/>
    </xf>
    <xf numFmtId="0" fontId="0" fillId="5" borderId="13" xfId="0" applyFill="1" applyBorder="1" applyAlignment="1">
      <alignment horizontal="center" vertical="center" textRotation="255"/>
    </xf>
    <xf numFmtId="0" fontId="0" fillId="5" borderId="8" xfId="0" applyFill="1" applyBorder="1" applyAlignment="1">
      <alignment horizontal="center" vertical="center" textRotation="255"/>
    </xf>
    <xf numFmtId="164" fontId="10" fillId="0" borderId="3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164" fontId="10" fillId="0" borderId="4" xfId="0" applyNumberFormat="1" applyFont="1" applyBorder="1" applyAlignment="1">
      <alignment horizontal="center" vertical="center"/>
    </xf>
    <xf numFmtId="164" fontId="10" fillId="0" borderId="14" xfId="0" applyNumberFormat="1" applyFont="1" applyBorder="1" applyAlignment="1">
      <alignment horizontal="center" vertical="center"/>
    </xf>
    <xf numFmtId="10" fontId="10" fillId="0" borderId="3" xfId="0" applyNumberFormat="1" applyFont="1" applyBorder="1" applyAlignment="1">
      <alignment horizontal="center" vertical="center"/>
    </xf>
    <xf numFmtId="10" fontId="10" fillId="0" borderId="12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10" fontId="10" fillId="0" borderId="14" xfId="0" applyNumberFormat="1" applyFont="1" applyBorder="1" applyAlignment="1">
      <alignment horizontal="center" vertical="center"/>
    </xf>
    <xf numFmtId="9" fontId="10" fillId="0" borderId="3" xfId="1" applyFont="1" applyBorder="1" applyAlignment="1">
      <alignment horizontal="center" vertical="center"/>
    </xf>
    <xf numFmtId="9" fontId="10" fillId="0" borderId="12" xfId="1" applyFont="1" applyBorder="1" applyAlignment="1">
      <alignment horizontal="center" vertical="center"/>
    </xf>
    <xf numFmtId="9" fontId="10" fillId="0" borderId="4" xfId="1" applyFont="1" applyBorder="1" applyAlignment="1">
      <alignment horizontal="center" vertical="center"/>
    </xf>
    <xf numFmtId="9" fontId="10" fillId="0" borderId="14" xfId="1" applyFont="1" applyBorder="1" applyAlignment="1">
      <alignment horizontal="center" vertical="center"/>
    </xf>
    <xf numFmtId="14" fontId="10" fillId="0" borderId="3" xfId="0" applyNumberFormat="1" applyFont="1" applyBorder="1" applyAlignment="1">
      <alignment horizontal="center" vertical="center"/>
    </xf>
    <xf numFmtId="14" fontId="10" fillId="0" borderId="12" xfId="0" applyNumberFormat="1" applyFont="1" applyBorder="1" applyAlignment="1">
      <alignment horizontal="center" vertical="center"/>
    </xf>
    <xf numFmtId="14" fontId="10" fillId="0" borderId="4" xfId="0" applyNumberFormat="1" applyFont="1" applyBorder="1" applyAlignment="1">
      <alignment horizontal="center" vertical="center"/>
    </xf>
    <xf numFmtId="14" fontId="10" fillId="0" borderId="14" xfId="0" applyNumberFormat="1" applyFont="1" applyBorder="1" applyAlignment="1">
      <alignment horizontal="center" vertical="center"/>
    </xf>
    <xf numFmtId="164" fontId="10" fillId="0" borderId="3" xfId="2" applyNumberFormat="1" applyFont="1" applyBorder="1" applyAlignment="1">
      <alignment horizontal="center" vertical="center"/>
    </xf>
    <xf numFmtId="164" fontId="10" fillId="0" borderId="12" xfId="2" applyNumberFormat="1" applyFont="1" applyBorder="1" applyAlignment="1">
      <alignment horizontal="center" vertical="center"/>
    </xf>
    <xf numFmtId="164" fontId="10" fillId="0" borderId="4" xfId="2" applyNumberFormat="1" applyFont="1" applyBorder="1" applyAlignment="1">
      <alignment horizontal="center" vertical="center"/>
    </xf>
    <xf numFmtId="164" fontId="10" fillId="0" borderId="14" xfId="2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0" fillId="0" borderId="0" xfId="0" applyFill="1"/>
  </cellXfs>
  <cellStyles count="3">
    <cellStyle name="Monétaire" xfId="2" builtinId="4"/>
    <cellStyle name="Normal" xfId="0" builtinId="0"/>
    <cellStyle name="Pourcentage" xfId="1" builtinId="5"/>
  </cellStyles>
  <dxfs count="1">
    <dxf>
      <fill>
        <patternFill>
          <bgColor theme="2" tint="-0.499984740745262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Graphique!$E$1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Graphique!$E$2:$E$51</c:f>
              <c:numCache>
                <c:formatCode>General</c:formatCode>
                <c:ptCount val="50"/>
                <c:pt idx="1">
                  <c:v>5</c:v>
                </c:pt>
                <c:pt idx="2">
                  <c:v>12.233802874789152</c:v>
                </c:pt>
                <c:pt idx="3">
                  <c:v>12.649620027924502</c:v>
                </c:pt>
                <c:pt idx="4">
                  <c:v>13.042881644990647</c:v>
                </c:pt>
                <c:pt idx="5">
                  <c:v>13.162633736050946</c:v>
                </c:pt>
                <c:pt idx="6">
                  <c:v>13.195291663783172</c:v>
                </c:pt>
                <c:pt idx="7">
                  <c:v>13.273560995150662</c:v>
                </c:pt>
                <c:pt idx="8">
                  <c:v>13.275168625709995</c:v>
                </c:pt>
                <c:pt idx="9">
                  <c:v>13.297785474379225</c:v>
                </c:pt>
                <c:pt idx="10">
                  <c:v>13.309765247556847</c:v>
                </c:pt>
                <c:pt idx="11">
                  <c:v>13.30805630686049</c:v>
                </c:pt>
                <c:pt idx="12">
                  <c:v>13.312035407263924</c:v>
                </c:pt>
                <c:pt idx="13">
                  <c:v>13.321453893289123</c:v>
                </c:pt>
                <c:pt idx="14">
                  <c:v>13.324129272967527</c:v>
                </c:pt>
                <c:pt idx="15">
                  <c:v>13.322451060626781</c:v>
                </c:pt>
                <c:pt idx="16">
                  <c:v>13.321678719298442</c:v>
                </c:pt>
                <c:pt idx="17">
                  <c:v>13.327891226129612</c:v>
                </c:pt>
                <c:pt idx="18">
                  <c:v>13.330808547412669</c:v>
                </c:pt>
                <c:pt idx="19">
                  <c:v>13.331285975268786</c:v>
                </c:pt>
                <c:pt idx="20">
                  <c:v>13.329941832740159</c:v>
                </c:pt>
                <c:pt idx="21">
                  <c:v>13.328223839195781</c:v>
                </c:pt>
                <c:pt idx="22">
                  <c:v>13.332249427111936</c:v>
                </c:pt>
                <c:pt idx="23">
                  <c:v>13.334571611379317</c:v>
                </c:pt>
                <c:pt idx="24">
                  <c:v>13.335523495052209</c:v>
                </c:pt>
                <c:pt idx="25">
                  <c:v>13.334314138758428</c:v>
                </c:pt>
                <c:pt idx="26">
                  <c:v>13.335383621662331</c:v>
                </c:pt>
                <c:pt idx="27">
                  <c:v>13.338017463193999</c:v>
                </c:pt>
                <c:pt idx="28">
                  <c:v>13.337916327904633</c:v>
                </c:pt>
                <c:pt idx="29">
                  <c:v>13.335894615674485</c:v>
                </c:pt>
                <c:pt idx="30">
                  <c:v>13.338939936224589</c:v>
                </c:pt>
                <c:pt idx="31">
                  <c:v>13.340035194952302</c:v>
                </c:pt>
                <c:pt idx="32">
                  <c:v>13.339614049538303</c:v>
                </c:pt>
                <c:pt idx="33">
                  <c:v>13.338174913472741</c:v>
                </c:pt>
                <c:pt idx="34">
                  <c:v>13.340331743102258</c:v>
                </c:pt>
                <c:pt idx="35">
                  <c:v>13.341165870154837</c:v>
                </c:pt>
                <c:pt idx="36">
                  <c:v>13.340740754000239</c:v>
                </c:pt>
                <c:pt idx="37">
                  <c:v>13.342252859759325</c:v>
                </c:pt>
                <c:pt idx="38">
                  <c:v>13.3412068435105</c:v>
                </c:pt>
                <c:pt idx="39">
                  <c:v>13.342607251679269</c:v>
                </c:pt>
                <c:pt idx="40">
                  <c:v>13.342823503705954</c:v>
                </c:pt>
                <c:pt idx="41">
                  <c:v>13.342078156988489</c:v>
                </c:pt>
                <c:pt idx="42">
                  <c:v>13.343375885472927</c:v>
                </c:pt>
                <c:pt idx="43">
                  <c:v>13.343285032161814</c:v>
                </c:pt>
                <c:pt idx="44">
                  <c:v>13.342826650934926</c:v>
                </c:pt>
                <c:pt idx="45">
                  <c:v>13.343811683800432</c:v>
                </c:pt>
                <c:pt idx="46">
                  <c:v>13.343780780643071</c:v>
                </c:pt>
                <c:pt idx="47">
                  <c:v>13.343093345744586</c:v>
                </c:pt>
                <c:pt idx="48">
                  <c:v>13.344055583499308</c:v>
                </c:pt>
                <c:pt idx="49">
                  <c:v>13.344226146280239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4-4627-AE7C-FAC817020AC0}"/>
            </c:ext>
          </c:extLst>
        </c:ser>
        <c:ser>
          <c:idx val="4"/>
          <c:order val="2"/>
          <c:tx>
            <c:strRef>
              <c:f>Graphique!$G$1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Graphique!$G$2:$G$51</c:f>
              <c:numCache>
                <c:formatCode>General</c:formatCode>
                <c:ptCount val="50"/>
                <c:pt idx="1">
                  <c:v>13.346464945879582</c:v>
                </c:pt>
                <c:pt idx="2">
                  <c:v>13.346464945879582</c:v>
                </c:pt>
                <c:pt idx="3">
                  <c:v>13.346464945879582</c:v>
                </c:pt>
                <c:pt idx="4">
                  <c:v>13.346464945879582</c:v>
                </c:pt>
                <c:pt idx="5">
                  <c:v>13.346464945879582</c:v>
                </c:pt>
                <c:pt idx="6">
                  <c:v>13.346464945879582</c:v>
                </c:pt>
                <c:pt idx="7">
                  <c:v>13.346464945879582</c:v>
                </c:pt>
                <c:pt idx="8">
                  <c:v>13.346464945879582</c:v>
                </c:pt>
                <c:pt idx="9">
                  <c:v>13.346464945879582</c:v>
                </c:pt>
                <c:pt idx="10">
                  <c:v>13.346464945879582</c:v>
                </c:pt>
                <c:pt idx="11">
                  <c:v>13.346464945879582</c:v>
                </c:pt>
                <c:pt idx="12">
                  <c:v>13.346464945879582</c:v>
                </c:pt>
                <c:pt idx="13">
                  <c:v>13.346464945879582</c:v>
                </c:pt>
                <c:pt idx="14">
                  <c:v>13.346464945879582</c:v>
                </c:pt>
                <c:pt idx="15">
                  <c:v>13.346464945879582</c:v>
                </c:pt>
                <c:pt idx="16">
                  <c:v>13.346464945879582</c:v>
                </c:pt>
                <c:pt idx="17">
                  <c:v>13.346464945879582</c:v>
                </c:pt>
                <c:pt idx="18">
                  <c:v>13.346464945879582</c:v>
                </c:pt>
                <c:pt idx="19">
                  <c:v>13.346464945879582</c:v>
                </c:pt>
                <c:pt idx="20">
                  <c:v>13.346464945879582</c:v>
                </c:pt>
                <c:pt idx="21">
                  <c:v>13.346464945879582</c:v>
                </c:pt>
                <c:pt idx="22">
                  <c:v>13.346464945879582</c:v>
                </c:pt>
                <c:pt idx="23">
                  <c:v>13.346464945879582</c:v>
                </c:pt>
                <c:pt idx="24">
                  <c:v>13.346464945879582</c:v>
                </c:pt>
                <c:pt idx="25">
                  <c:v>13.346464945879582</c:v>
                </c:pt>
                <c:pt idx="26">
                  <c:v>13.346464945879582</c:v>
                </c:pt>
                <c:pt idx="27">
                  <c:v>13.346464945879582</c:v>
                </c:pt>
                <c:pt idx="28">
                  <c:v>13.346464945879582</c:v>
                </c:pt>
                <c:pt idx="29">
                  <c:v>13.346464945879582</c:v>
                </c:pt>
                <c:pt idx="30">
                  <c:v>13.346464945879582</c:v>
                </c:pt>
                <c:pt idx="31">
                  <c:v>13.346464945879582</c:v>
                </c:pt>
                <c:pt idx="32">
                  <c:v>13.346464945879582</c:v>
                </c:pt>
                <c:pt idx="33">
                  <c:v>13.346464945879582</c:v>
                </c:pt>
                <c:pt idx="34">
                  <c:v>13.346464945879582</c:v>
                </c:pt>
                <c:pt idx="35">
                  <c:v>13.346464945879582</c:v>
                </c:pt>
                <c:pt idx="36">
                  <c:v>13.346464945879582</c:v>
                </c:pt>
                <c:pt idx="37">
                  <c:v>13.346464945879582</c:v>
                </c:pt>
                <c:pt idx="38">
                  <c:v>13.346464945879582</c:v>
                </c:pt>
                <c:pt idx="39">
                  <c:v>13.346464945879582</c:v>
                </c:pt>
                <c:pt idx="40">
                  <c:v>13.346464945879582</c:v>
                </c:pt>
                <c:pt idx="41">
                  <c:v>13.346464945879582</c:v>
                </c:pt>
                <c:pt idx="42">
                  <c:v>13.346464945879582</c:v>
                </c:pt>
                <c:pt idx="43">
                  <c:v>13.346464945879582</c:v>
                </c:pt>
                <c:pt idx="44">
                  <c:v>13.346464945879582</c:v>
                </c:pt>
                <c:pt idx="45">
                  <c:v>13.346464945879582</c:v>
                </c:pt>
                <c:pt idx="46">
                  <c:v>13.346464945879582</c:v>
                </c:pt>
                <c:pt idx="47">
                  <c:v>13.346464945879582</c:v>
                </c:pt>
                <c:pt idx="48">
                  <c:v>13.346464945879582</c:v>
                </c:pt>
                <c:pt idx="49">
                  <c:v>13.346464945879582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24-4627-AE7C-FAC817020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224-4627-AE7C-FAC817020AC0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224-4627-AE7C-FAC817020AC0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224-4627-AE7C-FAC817020AC0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Graphique!$H$1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Graphique!$H$2:$H$51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1.1126620710904298</c:v>
                </c:pt>
                <c:pt idx="3">
                  <c:v>0.69684491795507952</c:v>
                </c:pt>
                <c:pt idx="4">
                  <c:v>0.30358330088893482</c:v>
                </c:pt>
                <c:pt idx="5">
                  <c:v>0.18383120982863588</c:v>
                </c:pt>
                <c:pt idx="6">
                  <c:v>0.15117328209641023</c:v>
                </c:pt>
                <c:pt idx="7">
                  <c:v>7.2903950728919753E-2</c:v>
                </c:pt>
                <c:pt idx="8">
                  <c:v>7.1296320169587091E-2</c:v>
                </c:pt>
                <c:pt idx="9">
                  <c:v>4.8679471500356897E-2</c:v>
                </c:pt>
                <c:pt idx="10">
                  <c:v>3.669969832273523E-2</c:v>
                </c:pt>
                <c:pt idx="11">
                  <c:v>3.8408639019092305E-2</c:v>
                </c:pt>
                <c:pt idx="12">
                  <c:v>3.4429538615658117E-2</c:v>
                </c:pt>
                <c:pt idx="13">
                  <c:v>2.5011052590459215E-2</c:v>
                </c:pt>
                <c:pt idx="14">
                  <c:v>2.233567291205496E-2</c:v>
                </c:pt>
                <c:pt idx="15">
                  <c:v>2.4013885252800904E-2</c:v>
                </c:pt>
                <c:pt idx="16">
                  <c:v>2.4786226581140269E-2</c:v>
                </c:pt>
                <c:pt idx="17">
                  <c:v>1.8573719749969797E-2</c:v>
                </c:pt>
                <c:pt idx="18">
                  <c:v>1.5656398466912691E-2</c:v>
                </c:pt>
                <c:pt idx="19">
                  <c:v>1.5178970610795872E-2</c:v>
                </c:pt>
                <c:pt idx="20">
                  <c:v>1.6523113139422563E-2</c:v>
                </c:pt>
                <c:pt idx="21">
                  <c:v>1.8241106683801078E-2</c:v>
                </c:pt>
                <c:pt idx="22">
                  <c:v>1.4215518767645818E-2</c:v>
                </c:pt>
                <c:pt idx="23">
                  <c:v>1.189333450026453E-2</c:v>
                </c:pt>
                <c:pt idx="24">
                  <c:v>1.0941450827372634E-2</c:v>
                </c:pt>
                <c:pt idx="25">
                  <c:v>1.2150807121154017E-2</c:v>
                </c:pt>
                <c:pt idx="26">
                  <c:v>1.1081324217251165E-2</c:v>
                </c:pt>
                <c:pt idx="27">
                  <c:v>8.4474826855824858E-3</c:v>
                </c:pt>
                <c:pt idx="28">
                  <c:v>8.548617974948769E-3</c:v>
                </c:pt>
                <c:pt idx="29">
                  <c:v>1.0570330205096568E-2</c:v>
                </c:pt>
                <c:pt idx="30">
                  <c:v>7.5250096549925871E-3</c:v>
                </c:pt>
                <c:pt idx="31">
                  <c:v>6.4297509272801534E-3</c:v>
                </c:pt>
                <c:pt idx="32">
                  <c:v>6.8508963412785562E-3</c:v>
                </c:pt>
                <c:pt idx="33">
                  <c:v>8.2900324068404529E-3</c:v>
                </c:pt>
                <c:pt idx="34">
                  <c:v>6.1332027773239872E-3</c:v>
                </c:pt>
                <c:pt idx="35">
                  <c:v>5.2990757247446396E-3</c:v>
                </c:pt>
                <c:pt idx="36">
                  <c:v>5.7241918793433655E-3</c:v>
                </c:pt>
                <c:pt idx="37">
                  <c:v>4.2120861202565862E-3</c:v>
                </c:pt>
                <c:pt idx="38">
                  <c:v>5.2581023690816409E-3</c:v>
                </c:pt>
                <c:pt idx="39">
                  <c:v>3.8576942003132331E-3</c:v>
                </c:pt>
                <c:pt idx="40">
                  <c:v>3.641442173627496E-3</c:v>
                </c:pt>
                <c:pt idx="41">
                  <c:v>4.3867888910931185E-3</c:v>
                </c:pt>
                <c:pt idx="42">
                  <c:v>3.0890604066549088E-3</c:v>
                </c:pt>
                <c:pt idx="43">
                  <c:v>3.1799137177674908E-3</c:v>
                </c:pt>
                <c:pt idx="44">
                  <c:v>3.6382949446558399E-3</c:v>
                </c:pt>
                <c:pt idx="45">
                  <c:v>2.6532620791499539E-3</c:v>
                </c:pt>
                <c:pt idx="46">
                  <c:v>2.6841652365110491E-3</c:v>
                </c:pt>
                <c:pt idx="47">
                  <c:v>3.3716001349954894E-3</c:v>
                </c:pt>
                <c:pt idx="48">
                  <c:v>2.4093623802734498E-3</c:v>
                </c:pt>
                <c:pt idx="49">
                  <c:v>2.2387995993433663E-3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52E7-434A-9107-D69A686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2E7-434A-9107-D69A686DD780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2E7-434A-9107-D69A686DD780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2E7-434A-9107-D69A686DD780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2E7-434A-9107-D69A686DD780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strRef>
              <c:f>Graphique!$F$1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Graphique!$F$2:$F$51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1.5625E-2</c:v>
                </c:pt>
                <c:pt idx="6">
                  <c:v>1.5625E-2</c:v>
                </c:pt>
                <c:pt idx="7">
                  <c:v>2.34375E-2</c:v>
                </c:pt>
                <c:pt idx="8">
                  <c:v>3.90625E-2</c:v>
                </c:pt>
                <c:pt idx="9">
                  <c:v>5.46875E-2</c:v>
                </c:pt>
                <c:pt idx="10">
                  <c:v>7.8125E-2</c:v>
                </c:pt>
                <c:pt idx="11">
                  <c:v>9.375E-2</c:v>
                </c:pt>
                <c:pt idx="12">
                  <c:v>0.1171875</c:v>
                </c:pt>
                <c:pt idx="13">
                  <c:v>0.1328125</c:v>
                </c:pt>
                <c:pt idx="14">
                  <c:v>0.1640625</c:v>
                </c:pt>
                <c:pt idx="15">
                  <c:v>0.1875</c:v>
                </c:pt>
                <c:pt idx="16">
                  <c:v>0.2109375</c:v>
                </c:pt>
                <c:pt idx="17">
                  <c:v>0.234375</c:v>
                </c:pt>
                <c:pt idx="18">
                  <c:v>0.265625</c:v>
                </c:pt>
                <c:pt idx="19">
                  <c:v>0.296875</c:v>
                </c:pt>
                <c:pt idx="20">
                  <c:v>0.3203125</c:v>
                </c:pt>
                <c:pt idx="21">
                  <c:v>0.3515625</c:v>
                </c:pt>
                <c:pt idx="22">
                  <c:v>0.375</c:v>
                </c:pt>
                <c:pt idx="23">
                  <c:v>0.4140625</c:v>
                </c:pt>
                <c:pt idx="24">
                  <c:v>0.4375</c:v>
                </c:pt>
                <c:pt idx="25">
                  <c:v>0.5</c:v>
                </c:pt>
                <c:pt idx="26">
                  <c:v>0.5703125</c:v>
                </c:pt>
                <c:pt idx="27">
                  <c:v>0.6484375</c:v>
                </c:pt>
                <c:pt idx="28">
                  <c:v>0.71875</c:v>
                </c:pt>
                <c:pt idx="29">
                  <c:v>0.8046875</c:v>
                </c:pt>
                <c:pt idx="30">
                  <c:v>0.8828125</c:v>
                </c:pt>
                <c:pt idx="31">
                  <c:v>0.9765625</c:v>
                </c:pt>
                <c:pt idx="32">
                  <c:v>1.046875</c:v>
                </c:pt>
                <c:pt idx="33">
                  <c:v>1.125</c:v>
                </c:pt>
                <c:pt idx="34">
                  <c:v>1.21875</c:v>
                </c:pt>
                <c:pt idx="35">
                  <c:v>1.40625</c:v>
                </c:pt>
                <c:pt idx="36">
                  <c:v>1.5859375</c:v>
                </c:pt>
                <c:pt idx="37">
                  <c:v>1.7890625</c:v>
                </c:pt>
                <c:pt idx="38">
                  <c:v>2</c:v>
                </c:pt>
                <c:pt idx="39">
                  <c:v>2.2265625</c:v>
                </c:pt>
                <c:pt idx="40">
                  <c:v>2.65625</c:v>
                </c:pt>
                <c:pt idx="41">
                  <c:v>2.6796875</c:v>
                </c:pt>
                <c:pt idx="42">
                  <c:v>2.9140625</c:v>
                </c:pt>
                <c:pt idx="43">
                  <c:v>3.15625</c:v>
                </c:pt>
                <c:pt idx="44">
                  <c:v>3.390625</c:v>
                </c:pt>
                <c:pt idx="45">
                  <c:v>3.65625</c:v>
                </c:pt>
                <c:pt idx="46">
                  <c:v>3.9375</c:v>
                </c:pt>
                <c:pt idx="47">
                  <c:v>4.21875</c:v>
                </c:pt>
                <c:pt idx="48">
                  <c:v>4.3828125</c:v>
                </c:pt>
                <c:pt idx="49">
                  <c:v>4.7109375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5B7C-4824-9D5A-F56F77800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B7C-4824-9D5A-F56F778006A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B7C-4824-9D5A-F56F778006A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B7C-4824-9D5A-F56F778006A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B7C-4824-9D5A-F56F778006A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4"/>
          <c:tx>
            <c:strRef>
              <c:f>Graphique!$I$1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Graphique!$I$2:$I$51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5.563310355452149</c:v>
                </c:pt>
                <c:pt idx="3">
                  <c:v>6.9684491795507952</c:v>
                </c:pt>
                <c:pt idx="4">
                  <c:v>6.0716660177786963</c:v>
                </c:pt>
                <c:pt idx="5">
                  <c:v>5.5149362948590763</c:v>
                </c:pt>
                <c:pt idx="6">
                  <c:v>7.5586641048205117</c:v>
                </c:pt>
                <c:pt idx="7">
                  <c:v>5.4677963046689815</c:v>
                </c:pt>
                <c:pt idx="8">
                  <c:v>7.1296320169587091</c:v>
                </c:pt>
                <c:pt idx="9">
                  <c:v>6.0849339375446121</c:v>
                </c:pt>
                <c:pt idx="10">
                  <c:v>5.5049547484102845</c:v>
                </c:pt>
                <c:pt idx="11">
                  <c:v>6.7215118283411535</c:v>
                </c:pt>
                <c:pt idx="12">
                  <c:v>6.8859077231316235</c:v>
                </c:pt>
                <c:pt idx="13">
                  <c:v>5.6274868328533234</c:v>
                </c:pt>
                <c:pt idx="14">
                  <c:v>5.58391822801374</c:v>
                </c:pt>
                <c:pt idx="15">
                  <c:v>6.6038184445202486</c:v>
                </c:pt>
                <c:pt idx="16">
                  <c:v>7.4358679743420808</c:v>
                </c:pt>
                <c:pt idx="17">
                  <c:v>6.036458918740184</c:v>
                </c:pt>
                <c:pt idx="18">
                  <c:v>5.4797394634194418</c:v>
                </c:pt>
                <c:pt idx="19">
                  <c:v>5.6921139790484521</c:v>
                </c:pt>
                <c:pt idx="20">
                  <c:v>6.6092452557690251</c:v>
                </c:pt>
                <c:pt idx="21">
                  <c:v>7.7524703406154583</c:v>
                </c:pt>
                <c:pt idx="22">
                  <c:v>6.3969834454406183</c:v>
                </c:pt>
                <c:pt idx="23">
                  <c:v>5.6493338876256516</c:v>
                </c:pt>
                <c:pt idx="24">
                  <c:v>5.470725413686317</c:v>
                </c:pt>
                <c:pt idx="25">
                  <c:v>6.6829439166347093</c:v>
                </c:pt>
                <c:pt idx="26">
                  <c:v>6.648794530350699</c:v>
                </c:pt>
                <c:pt idx="27">
                  <c:v>5.4908637456286158</c:v>
                </c:pt>
                <c:pt idx="28">
                  <c:v>5.9840325824641383</c:v>
                </c:pt>
                <c:pt idx="29">
                  <c:v>7.9277476538224256</c:v>
                </c:pt>
                <c:pt idx="30">
                  <c:v>6.0200077239940697</c:v>
                </c:pt>
                <c:pt idx="31">
                  <c:v>5.4652882881881304</c:v>
                </c:pt>
                <c:pt idx="32">
                  <c:v>6.1658067071507006</c:v>
                </c:pt>
                <c:pt idx="33">
                  <c:v>7.8755307864984303</c:v>
                </c:pt>
                <c:pt idx="34">
                  <c:v>6.1332027773239872</c:v>
                </c:pt>
                <c:pt idx="35">
                  <c:v>5.8289832972191036</c:v>
                </c:pt>
                <c:pt idx="36">
                  <c:v>6.8690302552120386</c:v>
                </c:pt>
                <c:pt idx="37">
                  <c:v>5.4757119563335621</c:v>
                </c:pt>
                <c:pt idx="38">
                  <c:v>7.3613433167142972</c:v>
                </c:pt>
                <c:pt idx="39">
                  <c:v>5.7865413004698496</c:v>
                </c:pt>
                <c:pt idx="40">
                  <c:v>5.8263074778039936</c:v>
                </c:pt>
                <c:pt idx="41">
                  <c:v>7.4575411148583015</c:v>
                </c:pt>
                <c:pt idx="42">
                  <c:v>5.5603087319788358</c:v>
                </c:pt>
                <c:pt idx="43">
                  <c:v>6.0418360637582325</c:v>
                </c:pt>
                <c:pt idx="44">
                  <c:v>7.2765898893116798</c:v>
                </c:pt>
                <c:pt idx="45">
                  <c:v>5.5718503662149033</c:v>
                </c:pt>
                <c:pt idx="46">
                  <c:v>5.905163520324308</c:v>
                </c:pt>
                <c:pt idx="47">
                  <c:v>7.7546803104896256</c:v>
                </c:pt>
                <c:pt idx="48">
                  <c:v>5.7824697126562796</c:v>
                </c:pt>
                <c:pt idx="49">
                  <c:v>5.5969989983584156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0-ACE5-4383-BA4A-595BE912E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CE5-4383-BA4A-595BE912E66F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CE5-4383-BA4A-595BE912E66F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CE5-4383-BA4A-595BE912E66F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CE5-4383-BA4A-595BE912E66F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Graphique!$E$1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Graphique!$E$2:$E$51</c:f>
              <c:numCache>
                <c:formatCode>General</c:formatCode>
                <c:ptCount val="50"/>
                <c:pt idx="1">
                  <c:v>5</c:v>
                </c:pt>
                <c:pt idx="2">
                  <c:v>12.233802874789152</c:v>
                </c:pt>
                <c:pt idx="3">
                  <c:v>12.649620027924502</c:v>
                </c:pt>
                <c:pt idx="4">
                  <c:v>13.042881644990647</c:v>
                </c:pt>
                <c:pt idx="5">
                  <c:v>13.162633736050946</c:v>
                </c:pt>
                <c:pt idx="6">
                  <c:v>13.195291663783172</c:v>
                </c:pt>
                <c:pt idx="7">
                  <c:v>13.273560995150662</c:v>
                </c:pt>
                <c:pt idx="8">
                  <c:v>13.275168625709995</c:v>
                </c:pt>
                <c:pt idx="9">
                  <c:v>13.297785474379225</c:v>
                </c:pt>
                <c:pt idx="10">
                  <c:v>13.309765247556847</c:v>
                </c:pt>
                <c:pt idx="11">
                  <c:v>13.30805630686049</c:v>
                </c:pt>
                <c:pt idx="12">
                  <c:v>13.312035407263924</c:v>
                </c:pt>
                <c:pt idx="13">
                  <c:v>13.321453893289123</c:v>
                </c:pt>
                <c:pt idx="14">
                  <c:v>13.324129272967527</c:v>
                </c:pt>
                <c:pt idx="15">
                  <c:v>13.322451060626781</c:v>
                </c:pt>
                <c:pt idx="16">
                  <c:v>13.321678719298442</c:v>
                </c:pt>
                <c:pt idx="17">
                  <c:v>13.327891226129612</c:v>
                </c:pt>
                <c:pt idx="18">
                  <c:v>13.330808547412669</c:v>
                </c:pt>
                <c:pt idx="19">
                  <c:v>13.331285975268786</c:v>
                </c:pt>
                <c:pt idx="20">
                  <c:v>13.329941832740159</c:v>
                </c:pt>
                <c:pt idx="21">
                  <c:v>13.328223839195781</c:v>
                </c:pt>
                <c:pt idx="22">
                  <c:v>13.332249427111936</c:v>
                </c:pt>
                <c:pt idx="23">
                  <c:v>13.334571611379317</c:v>
                </c:pt>
                <c:pt idx="24">
                  <c:v>13.335523495052209</c:v>
                </c:pt>
                <c:pt idx="25">
                  <c:v>13.334314138758428</c:v>
                </c:pt>
                <c:pt idx="26">
                  <c:v>13.335383621662331</c:v>
                </c:pt>
                <c:pt idx="27">
                  <c:v>13.338017463193999</c:v>
                </c:pt>
                <c:pt idx="28">
                  <c:v>13.337916327904633</c:v>
                </c:pt>
                <c:pt idx="29">
                  <c:v>13.335894615674485</c:v>
                </c:pt>
                <c:pt idx="30">
                  <c:v>13.338939936224589</c:v>
                </c:pt>
                <c:pt idx="31">
                  <c:v>13.340035194952302</c:v>
                </c:pt>
                <c:pt idx="32">
                  <c:v>13.339614049538303</c:v>
                </c:pt>
                <c:pt idx="33">
                  <c:v>13.338174913472741</c:v>
                </c:pt>
                <c:pt idx="34">
                  <c:v>13.340331743102258</c:v>
                </c:pt>
                <c:pt idx="35">
                  <c:v>13.341165870154837</c:v>
                </c:pt>
                <c:pt idx="36">
                  <c:v>13.340740754000239</c:v>
                </c:pt>
                <c:pt idx="37">
                  <c:v>13.342252859759325</c:v>
                </c:pt>
                <c:pt idx="38">
                  <c:v>13.3412068435105</c:v>
                </c:pt>
                <c:pt idx="39">
                  <c:v>13.342607251679269</c:v>
                </c:pt>
                <c:pt idx="40">
                  <c:v>13.342823503705954</c:v>
                </c:pt>
                <c:pt idx="41">
                  <c:v>13.342078156988489</c:v>
                </c:pt>
                <c:pt idx="42">
                  <c:v>13.343375885472927</c:v>
                </c:pt>
                <c:pt idx="43">
                  <c:v>13.343285032161814</c:v>
                </c:pt>
                <c:pt idx="44">
                  <c:v>13.342826650934926</c:v>
                </c:pt>
                <c:pt idx="45">
                  <c:v>13.343811683800432</c:v>
                </c:pt>
                <c:pt idx="46">
                  <c:v>13.343780780643071</c:v>
                </c:pt>
                <c:pt idx="47">
                  <c:v>13.343093345744586</c:v>
                </c:pt>
                <c:pt idx="48">
                  <c:v>13.344055583499308</c:v>
                </c:pt>
                <c:pt idx="49">
                  <c:v>13.344226146280239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Graphique!$G$1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Graphique!$G$2:$G$51</c:f>
              <c:numCache>
                <c:formatCode>General</c:formatCode>
                <c:ptCount val="50"/>
                <c:pt idx="1">
                  <c:v>13.346464945879582</c:v>
                </c:pt>
                <c:pt idx="2">
                  <c:v>13.346464945879582</c:v>
                </c:pt>
                <c:pt idx="3">
                  <c:v>13.346464945879582</c:v>
                </c:pt>
                <c:pt idx="4">
                  <c:v>13.346464945879582</c:v>
                </c:pt>
                <c:pt idx="5">
                  <c:v>13.346464945879582</c:v>
                </c:pt>
                <c:pt idx="6">
                  <c:v>13.346464945879582</c:v>
                </c:pt>
                <c:pt idx="7">
                  <c:v>13.346464945879582</c:v>
                </c:pt>
                <c:pt idx="8">
                  <c:v>13.346464945879582</c:v>
                </c:pt>
                <c:pt idx="9">
                  <c:v>13.346464945879582</c:v>
                </c:pt>
                <c:pt idx="10">
                  <c:v>13.346464945879582</c:v>
                </c:pt>
                <c:pt idx="11">
                  <c:v>13.346464945879582</c:v>
                </c:pt>
                <c:pt idx="12">
                  <c:v>13.346464945879582</c:v>
                </c:pt>
                <c:pt idx="13">
                  <c:v>13.346464945879582</c:v>
                </c:pt>
                <c:pt idx="14">
                  <c:v>13.346464945879582</c:v>
                </c:pt>
                <c:pt idx="15">
                  <c:v>13.346464945879582</c:v>
                </c:pt>
                <c:pt idx="16">
                  <c:v>13.346464945879582</c:v>
                </c:pt>
                <c:pt idx="17">
                  <c:v>13.346464945879582</c:v>
                </c:pt>
                <c:pt idx="18">
                  <c:v>13.346464945879582</c:v>
                </c:pt>
                <c:pt idx="19">
                  <c:v>13.346464945879582</c:v>
                </c:pt>
                <c:pt idx="20">
                  <c:v>13.346464945879582</c:v>
                </c:pt>
                <c:pt idx="21">
                  <c:v>13.346464945879582</c:v>
                </c:pt>
                <c:pt idx="22">
                  <c:v>13.346464945879582</c:v>
                </c:pt>
                <c:pt idx="23">
                  <c:v>13.346464945879582</c:v>
                </c:pt>
                <c:pt idx="24">
                  <c:v>13.346464945879582</c:v>
                </c:pt>
                <c:pt idx="25">
                  <c:v>13.346464945879582</c:v>
                </c:pt>
                <c:pt idx="26">
                  <c:v>13.346464945879582</c:v>
                </c:pt>
                <c:pt idx="27">
                  <c:v>13.346464945879582</c:v>
                </c:pt>
                <c:pt idx="28">
                  <c:v>13.346464945879582</c:v>
                </c:pt>
                <c:pt idx="29">
                  <c:v>13.346464945879582</c:v>
                </c:pt>
                <c:pt idx="30">
                  <c:v>13.346464945879582</c:v>
                </c:pt>
                <c:pt idx="31">
                  <c:v>13.346464945879582</c:v>
                </c:pt>
                <c:pt idx="32">
                  <c:v>13.346464945879582</c:v>
                </c:pt>
                <c:pt idx="33">
                  <c:v>13.346464945879582</c:v>
                </c:pt>
                <c:pt idx="34">
                  <c:v>13.346464945879582</c:v>
                </c:pt>
                <c:pt idx="35">
                  <c:v>13.346464945879582</c:v>
                </c:pt>
                <c:pt idx="36">
                  <c:v>13.346464945879582</c:v>
                </c:pt>
                <c:pt idx="37">
                  <c:v>13.346464945879582</c:v>
                </c:pt>
                <c:pt idx="38">
                  <c:v>13.346464945879582</c:v>
                </c:pt>
                <c:pt idx="39">
                  <c:v>13.346464945879582</c:v>
                </c:pt>
                <c:pt idx="40">
                  <c:v>13.346464945879582</c:v>
                </c:pt>
                <c:pt idx="41">
                  <c:v>13.346464945879582</c:v>
                </c:pt>
                <c:pt idx="42">
                  <c:v>13.346464945879582</c:v>
                </c:pt>
                <c:pt idx="43">
                  <c:v>13.346464945879582</c:v>
                </c:pt>
                <c:pt idx="44">
                  <c:v>13.346464945879582</c:v>
                </c:pt>
                <c:pt idx="45">
                  <c:v>13.346464945879582</c:v>
                </c:pt>
                <c:pt idx="46">
                  <c:v>13.346464945879582</c:v>
                </c:pt>
                <c:pt idx="47">
                  <c:v>13.346464945879582</c:v>
                </c:pt>
                <c:pt idx="48">
                  <c:v>13.346464945879582</c:v>
                </c:pt>
                <c:pt idx="49">
                  <c:v>13.346464945879582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strRef>
              <c:f>Graphique!$F$1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Graphique!$F$2:$F$51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1.5625E-2</c:v>
                </c:pt>
                <c:pt idx="6">
                  <c:v>1.5625E-2</c:v>
                </c:pt>
                <c:pt idx="7">
                  <c:v>2.34375E-2</c:v>
                </c:pt>
                <c:pt idx="8">
                  <c:v>3.90625E-2</c:v>
                </c:pt>
                <c:pt idx="9">
                  <c:v>5.46875E-2</c:v>
                </c:pt>
                <c:pt idx="10">
                  <c:v>7.8125E-2</c:v>
                </c:pt>
                <c:pt idx="11">
                  <c:v>9.375E-2</c:v>
                </c:pt>
                <c:pt idx="12">
                  <c:v>0.1171875</c:v>
                </c:pt>
                <c:pt idx="13">
                  <c:v>0.1328125</c:v>
                </c:pt>
                <c:pt idx="14">
                  <c:v>0.1640625</c:v>
                </c:pt>
                <c:pt idx="15">
                  <c:v>0.1875</c:v>
                </c:pt>
                <c:pt idx="16">
                  <c:v>0.2109375</c:v>
                </c:pt>
                <c:pt idx="17">
                  <c:v>0.234375</c:v>
                </c:pt>
                <c:pt idx="18">
                  <c:v>0.265625</c:v>
                </c:pt>
                <c:pt idx="19">
                  <c:v>0.296875</c:v>
                </c:pt>
                <c:pt idx="20">
                  <c:v>0.3203125</c:v>
                </c:pt>
                <c:pt idx="21">
                  <c:v>0.3515625</c:v>
                </c:pt>
                <c:pt idx="22">
                  <c:v>0.375</c:v>
                </c:pt>
                <c:pt idx="23">
                  <c:v>0.4140625</c:v>
                </c:pt>
                <c:pt idx="24">
                  <c:v>0.4375</c:v>
                </c:pt>
                <c:pt idx="25">
                  <c:v>0.5</c:v>
                </c:pt>
                <c:pt idx="26">
                  <c:v>0.5703125</c:v>
                </c:pt>
                <c:pt idx="27">
                  <c:v>0.6484375</c:v>
                </c:pt>
                <c:pt idx="28">
                  <c:v>0.71875</c:v>
                </c:pt>
                <c:pt idx="29">
                  <c:v>0.8046875</c:v>
                </c:pt>
                <c:pt idx="30">
                  <c:v>0.8828125</c:v>
                </c:pt>
                <c:pt idx="31">
                  <c:v>0.9765625</c:v>
                </c:pt>
                <c:pt idx="32">
                  <c:v>1.046875</c:v>
                </c:pt>
                <c:pt idx="33">
                  <c:v>1.125</c:v>
                </c:pt>
                <c:pt idx="34">
                  <c:v>1.21875</c:v>
                </c:pt>
                <c:pt idx="35">
                  <c:v>1.40625</c:v>
                </c:pt>
                <c:pt idx="36">
                  <c:v>1.5859375</c:v>
                </c:pt>
                <c:pt idx="37">
                  <c:v>1.7890625</c:v>
                </c:pt>
                <c:pt idx="38">
                  <c:v>2</c:v>
                </c:pt>
                <c:pt idx="39">
                  <c:v>2.2265625</c:v>
                </c:pt>
                <c:pt idx="40">
                  <c:v>2.65625</c:v>
                </c:pt>
                <c:pt idx="41">
                  <c:v>2.6796875</c:v>
                </c:pt>
                <c:pt idx="42">
                  <c:v>2.9140625</c:v>
                </c:pt>
                <c:pt idx="43">
                  <c:v>3.15625</c:v>
                </c:pt>
                <c:pt idx="44">
                  <c:v>3.390625</c:v>
                </c:pt>
                <c:pt idx="45">
                  <c:v>3.65625</c:v>
                </c:pt>
                <c:pt idx="46">
                  <c:v>3.9375</c:v>
                </c:pt>
                <c:pt idx="47">
                  <c:v>4.21875</c:v>
                </c:pt>
                <c:pt idx="48">
                  <c:v>4.3828125</c:v>
                </c:pt>
                <c:pt idx="49">
                  <c:v>4.7109375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Graphique!$H$1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Graphique!$H$2:$H$51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1.1126620710904298</c:v>
                </c:pt>
                <c:pt idx="3">
                  <c:v>0.69684491795507952</c:v>
                </c:pt>
                <c:pt idx="4">
                  <c:v>0.30358330088893482</c:v>
                </c:pt>
                <c:pt idx="5">
                  <c:v>0.18383120982863588</c:v>
                </c:pt>
                <c:pt idx="6">
                  <c:v>0.15117328209641023</c:v>
                </c:pt>
                <c:pt idx="7">
                  <c:v>7.2903950728919753E-2</c:v>
                </c:pt>
                <c:pt idx="8">
                  <c:v>7.1296320169587091E-2</c:v>
                </c:pt>
                <c:pt idx="9">
                  <c:v>4.8679471500356897E-2</c:v>
                </c:pt>
                <c:pt idx="10">
                  <c:v>3.669969832273523E-2</c:v>
                </c:pt>
                <c:pt idx="11">
                  <c:v>3.8408639019092305E-2</c:v>
                </c:pt>
                <c:pt idx="12">
                  <c:v>3.4429538615658117E-2</c:v>
                </c:pt>
                <c:pt idx="13">
                  <c:v>2.5011052590459215E-2</c:v>
                </c:pt>
                <c:pt idx="14">
                  <c:v>2.233567291205496E-2</c:v>
                </c:pt>
                <c:pt idx="15">
                  <c:v>2.4013885252800904E-2</c:v>
                </c:pt>
                <c:pt idx="16">
                  <c:v>2.4786226581140269E-2</c:v>
                </c:pt>
                <c:pt idx="17">
                  <c:v>1.8573719749969797E-2</c:v>
                </c:pt>
                <c:pt idx="18">
                  <c:v>1.5656398466912691E-2</c:v>
                </c:pt>
                <c:pt idx="19">
                  <c:v>1.5178970610795872E-2</c:v>
                </c:pt>
                <c:pt idx="20">
                  <c:v>1.6523113139422563E-2</c:v>
                </c:pt>
                <c:pt idx="21">
                  <c:v>1.8241106683801078E-2</c:v>
                </c:pt>
                <c:pt idx="22">
                  <c:v>1.4215518767645818E-2</c:v>
                </c:pt>
                <c:pt idx="23">
                  <c:v>1.189333450026453E-2</c:v>
                </c:pt>
                <c:pt idx="24">
                  <c:v>1.0941450827372634E-2</c:v>
                </c:pt>
                <c:pt idx="25">
                  <c:v>1.2150807121154017E-2</c:v>
                </c:pt>
                <c:pt idx="26">
                  <c:v>1.1081324217251165E-2</c:v>
                </c:pt>
                <c:pt idx="27">
                  <c:v>8.4474826855824858E-3</c:v>
                </c:pt>
                <c:pt idx="28">
                  <c:v>8.548617974948769E-3</c:v>
                </c:pt>
                <c:pt idx="29">
                  <c:v>1.0570330205096568E-2</c:v>
                </c:pt>
                <c:pt idx="30">
                  <c:v>7.5250096549925871E-3</c:v>
                </c:pt>
                <c:pt idx="31">
                  <c:v>6.4297509272801534E-3</c:v>
                </c:pt>
                <c:pt idx="32">
                  <c:v>6.8508963412785562E-3</c:v>
                </c:pt>
                <c:pt idx="33">
                  <c:v>8.2900324068404529E-3</c:v>
                </c:pt>
                <c:pt idx="34">
                  <c:v>6.1332027773239872E-3</c:v>
                </c:pt>
                <c:pt idx="35">
                  <c:v>5.2990757247446396E-3</c:v>
                </c:pt>
                <c:pt idx="36">
                  <c:v>5.7241918793433655E-3</c:v>
                </c:pt>
                <c:pt idx="37">
                  <c:v>4.2120861202565862E-3</c:v>
                </c:pt>
                <c:pt idx="38">
                  <c:v>5.2581023690816409E-3</c:v>
                </c:pt>
                <c:pt idx="39">
                  <c:v>3.8576942003132331E-3</c:v>
                </c:pt>
                <c:pt idx="40">
                  <c:v>3.641442173627496E-3</c:v>
                </c:pt>
                <c:pt idx="41">
                  <c:v>4.3867888910931185E-3</c:v>
                </c:pt>
                <c:pt idx="42">
                  <c:v>3.0890604066549088E-3</c:v>
                </c:pt>
                <c:pt idx="43">
                  <c:v>3.1799137177674908E-3</c:v>
                </c:pt>
                <c:pt idx="44">
                  <c:v>3.6382949446558399E-3</c:v>
                </c:pt>
                <c:pt idx="45">
                  <c:v>2.6532620791499539E-3</c:v>
                </c:pt>
                <c:pt idx="46">
                  <c:v>2.6841652365110491E-3</c:v>
                </c:pt>
                <c:pt idx="47">
                  <c:v>3.3716001349954894E-3</c:v>
                </c:pt>
                <c:pt idx="48">
                  <c:v>2.4093623802734498E-3</c:v>
                </c:pt>
                <c:pt idx="49">
                  <c:v>2.2387995993433663E-3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Graphique!$I$1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Graphique!$I$2:$I$51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5.563310355452149</c:v>
                      </c:pt>
                      <c:pt idx="3">
                        <c:v>6.9684491795507952</c:v>
                      </c:pt>
                      <c:pt idx="4">
                        <c:v>6.0716660177786963</c:v>
                      </c:pt>
                      <c:pt idx="5">
                        <c:v>5.5149362948590763</c:v>
                      </c:pt>
                      <c:pt idx="6">
                        <c:v>7.5586641048205117</c:v>
                      </c:pt>
                      <c:pt idx="7">
                        <c:v>5.4677963046689815</c:v>
                      </c:pt>
                      <c:pt idx="8">
                        <c:v>7.1296320169587091</c:v>
                      </c:pt>
                      <c:pt idx="9">
                        <c:v>6.0849339375446121</c:v>
                      </c:pt>
                      <c:pt idx="10">
                        <c:v>5.5049547484102845</c:v>
                      </c:pt>
                      <c:pt idx="11">
                        <c:v>6.7215118283411535</c:v>
                      </c:pt>
                      <c:pt idx="12">
                        <c:v>6.8859077231316235</c:v>
                      </c:pt>
                      <c:pt idx="13">
                        <c:v>5.6274868328533234</c:v>
                      </c:pt>
                      <c:pt idx="14">
                        <c:v>5.58391822801374</c:v>
                      </c:pt>
                      <c:pt idx="15">
                        <c:v>6.6038184445202486</c:v>
                      </c:pt>
                      <c:pt idx="16">
                        <c:v>7.4358679743420808</c:v>
                      </c:pt>
                      <c:pt idx="17">
                        <c:v>6.036458918740184</c:v>
                      </c:pt>
                      <c:pt idx="18">
                        <c:v>5.4797394634194418</c:v>
                      </c:pt>
                      <c:pt idx="19">
                        <c:v>5.6921139790484521</c:v>
                      </c:pt>
                      <c:pt idx="20">
                        <c:v>6.6092452557690251</c:v>
                      </c:pt>
                      <c:pt idx="21">
                        <c:v>7.7524703406154583</c:v>
                      </c:pt>
                      <c:pt idx="22">
                        <c:v>6.3969834454406183</c:v>
                      </c:pt>
                      <c:pt idx="23">
                        <c:v>5.6493338876256516</c:v>
                      </c:pt>
                      <c:pt idx="24">
                        <c:v>5.470725413686317</c:v>
                      </c:pt>
                      <c:pt idx="25">
                        <c:v>6.6829439166347093</c:v>
                      </c:pt>
                      <c:pt idx="26">
                        <c:v>6.648794530350699</c:v>
                      </c:pt>
                      <c:pt idx="27">
                        <c:v>5.4908637456286158</c:v>
                      </c:pt>
                      <c:pt idx="28">
                        <c:v>5.9840325824641383</c:v>
                      </c:pt>
                      <c:pt idx="29">
                        <c:v>7.9277476538224256</c:v>
                      </c:pt>
                      <c:pt idx="30">
                        <c:v>6.0200077239940697</c:v>
                      </c:pt>
                      <c:pt idx="31">
                        <c:v>5.4652882881881304</c:v>
                      </c:pt>
                      <c:pt idx="32">
                        <c:v>6.1658067071507006</c:v>
                      </c:pt>
                      <c:pt idx="33">
                        <c:v>7.8755307864984303</c:v>
                      </c:pt>
                      <c:pt idx="34">
                        <c:v>6.1332027773239872</c:v>
                      </c:pt>
                      <c:pt idx="35">
                        <c:v>5.8289832972191036</c:v>
                      </c:pt>
                      <c:pt idx="36">
                        <c:v>6.8690302552120386</c:v>
                      </c:pt>
                      <c:pt idx="37">
                        <c:v>5.4757119563335621</c:v>
                      </c:pt>
                      <c:pt idx="38">
                        <c:v>7.3613433167142972</c:v>
                      </c:pt>
                      <c:pt idx="39">
                        <c:v>5.7865413004698496</c:v>
                      </c:pt>
                      <c:pt idx="40">
                        <c:v>5.8263074778039936</c:v>
                      </c:pt>
                      <c:pt idx="41">
                        <c:v>7.4575411148583015</c:v>
                      </c:pt>
                      <c:pt idx="42">
                        <c:v>5.5603087319788358</c:v>
                      </c:pt>
                      <c:pt idx="43">
                        <c:v>6.0418360637582325</c:v>
                      </c:pt>
                      <c:pt idx="44">
                        <c:v>7.2765898893116798</c:v>
                      </c:pt>
                      <c:pt idx="45">
                        <c:v>5.5718503662149033</c:v>
                      </c:pt>
                      <c:pt idx="46">
                        <c:v>5.905163520324308</c:v>
                      </c:pt>
                      <c:pt idx="47">
                        <c:v>7.7546803104896256</c:v>
                      </c:pt>
                      <c:pt idx="48">
                        <c:v>5.7824697126562796</c:v>
                      </c:pt>
                      <c:pt idx="49">
                        <c:v>5.5969989983584156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4"/>
          <c:tx>
            <c:strRef>
              <c:f>Graphique!$I$1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Graphique!$D$3:$D$51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Graphique!$I$2:$I$51</c:f>
              <c:numCache>
                <c:formatCode>General</c:formatCode>
                <c:ptCount val="50"/>
                <c:pt idx="1">
                  <c:v>8.3464649458795819</c:v>
                </c:pt>
                <c:pt idx="2">
                  <c:v>5.563310355452149</c:v>
                </c:pt>
                <c:pt idx="3">
                  <c:v>6.9684491795507952</c:v>
                </c:pt>
                <c:pt idx="4">
                  <c:v>6.0716660177786963</c:v>
                </c:pt>
                <c:pt idx="5">
                  <c:v>5.5149362948590763</c:v>
                </c:pt>
                <c:pt idx="6">
                  <c:v>7.5586641048205117</c:v>
                </c:pt>
                <c:pt idx="7">
                  <c:v>5.4677963046689815</c:v>
                </c:pt>
                <c:pt idx="8">
                  <c:v>7.1296320169587091</c:v>
                </c:pt>
                <c:pt idx="9">
                  <c:v>6.0849339375446121</c:v>
                </c:pt>
                <c:pt idx="10">
                  <c:v>5.5049547484102845</c:v>
                </c:pt>
                <c:pt idx="11">
                  <c:v>6.7215118283411535</c:v>
                </c:pt>
                <c:pt idx="12">
                  <c:v>6.8859077231316235</c:v>
                </c:pt>
                <c:pt idx="13">
                  <c:v>5.6274868328533234</c:v>
                </c:pt>
                <c:pt idx="14">
                  <c:v>5.58391822801374</c:v>
                </c:pt>
                <c:pt idx="15">
                  <c:v>6.6038184445202486</c:v>
                </c:pt>
                <c:pt idx="16">
                  <c:v>7.4358679743420808</c:v>
                </c:pt>
                <c:pt idx="17">
                  <c:v>6.036458918740184</c:v>
                </c:pt>
                <c:pt idx="18">
                  <c:v>5.4797394634194418</c:v>
                </c:pt>
                <c:pt idx="19">
                  <c:v>5.6921139790484521</c:v>
                </c:pt>
                <c:pt idx="20">
                  <c:v>6.6092452557690251</c:v>
                </c:pt>
                <c:pt idx="21">
                  <c:v>7.7524703406154583</c:v>
                </c:pt>
                <c:pt idx="22">
                  <c:v>6.3969834454406183</c:v>
                </c:pt>
                <c:pt idx="23">
                  <c:v>5.6493338876256516</c:v>
                </c:pt>
                <c:pt idx="24">
                  <c:v>5.470725413686317</c:v>
                </c:pt>
                <c:pt idx="25">
                  <c:v>6.6829439166347093</c:v>
                </c:pt>
                <c:pt idx="26">
                  <c:v>6.648794530350699</c:v>
                </c:pt>
                <c:pt idx="27">
                  <c:v>5.4908637456286158</c:v>
                </c:pt>
                <c:pt idx="28">
                  <c:v>5.9840325824641383</c:v>
                </c:pt>
                <c:pt idx="29">
                  <c:v>7.9277476538224256</c:v>
                </c:pt>
                <c:pt idx="30">
                  <c:v>6.0200077239940697</c:v>
                </c:pt>
                <c:pt idx="31">
                  <c:v>5.4652882881881304</c:v>
                </c:pt>
                <c:pt idx="32">
                  <c:v>6.1658067071507006</c:v>
                </c:pt>
                <c:pt idx="33">
                  <c:v>7.8755307864984303</c:v>
                </c:pt>
                <c:pt idx="34">
                  <c:v>6.1332027773239872</c:v>
                </c:pt>
                <c:pt idx="35">
                  <c:v>5.8289832972191036</c:v>
                </c:pt>
                <c:pt idx="36">
                  <c:v>6.8690302552120386</c:v>
                </c:pt>
                <c:pt idx="37">
                  <c:v>5.4757119563335621</c:v>
                </c:pt>
                <c:pt idx="38">
                  <c:v>7.3613433167142972</c:v>
                </c:pt>
                <c:pt idx="39">
                  <c:v>5.7865413004698496</c:v>
                </c:pt>
                <c:pt idx="40">
                  <c:v>5.8263074778039936</c:v>
                </c:pt>
                <c:pt idx="41">
                  <c:v>7.4575411148583015</c:v>
                </c:pt>
                <c:pt idx="42">
                  <c:v>5.5603087319788358</c:v>
                </c:pt>
                <c:pt idx="43">
                  <c:v>6.0418360637582325</c:v>
                </c:pt>
                <c:pt idx="44">
                  <c:v>7.2765898893116798</c:v>
                </c:pt>
                <c:pt idx="45">
                  <c:v>5.5718503662149033</c:v>
                </c:pt>
                <c:pt idx="46">
                  <c:v>5.905163520324308</c:v>
                </c:pt>
                <c:pt idx="47">
                  <c:v>7.7546803104896256</c:v>
                </c:pt>
                <c:pt idx="48">
                  <c:v>5.7824697126562796</c:v>
                </c:pt>
                <c:pt idx="49">
                  <c:v>5.5969989983584156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Graphique!$E$1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Graphique!$E$2:$E$51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5</c:v>
                      </c:pt>
                      <c:pt idx="2">
                        <c:v>12.233802874789152</c:v>
                      </c:pt>
                      <c:pt idx="3">
                        <c:v>12.649620027924502</c:v>
                      </c:pt>
                      <c:pt idx="4">
                        <c:v>13.042881644990647</c:v>
                      </c:pt>
                      <c:pt idx="5">
                        <c:v>13.162633736050946</c:v>
                      </c:pt>
                      <c:pt idx="6">
                        <c:v>13.195291663783172</c:v>
                      </c:pt>
                      <c:pt idx="7">
                        <c:v>13.273560995150662</c:v>
                      </c:pt>
                      <c:pt idx="8">
                        <c:v>13.275168625709995</c:v>
                      </c:pt>
                      <c:pt idx="9">
                        <c:v>13.297785474379225</c:v>
                      </c:pt>
                      <c:pt idx="10">
                        <c:v>13.309765247556847</c:v>
                      </c:pt>
                      <c:pt idx="11">
                        <c:v>13.30805630686049</c:v>
                      </c:pt>
                      <c:pt idx="12">
                        <c:v>13.312035407263924</c:v>
                      </c:pt>
                      <c:pt idx="13">
                        <c:v>13.321453893289123</c:v>
                      </c:pt>
                      <c:pt idx="14">
                        <c:v>13.324129272967527</c:v>
                      </c:pt>
                      <c:pt idx="15">
                        <c:v>13.322451060626781</c:v>
                      </c:pt>
                      <c:pt idx="16">
                        <c:v>13.321678719298442</c:v>
                      </c:pt>
                      <c:pt idx="17">
                        <c:v>13.327891226129612</c:v>
                      </c:pt>
                      <c:pt idx="18">
                        <c:v>13.330808547412669</c:v>
                      </c:pt>
                      <c:pt idx="19">
                        <c:v>13.331285975268786</c:v>
                      </c:pt>
                      <c:pt idx="20">
                        <c:v>13.329941832740159</c:v>
                      </c:pt>
                      <c:pt idx="21">
                        <c:v>13.328223839195781</c:v>
                      </c:pt>
                      <c:pt idx="22">
                        <c:v>13.332249427111936</c:v>
                      </c:pt>
                      <c:pt idx="23">
                        <c:v>13.334571611379317</c:v>
                      </c:pt>
                      <c:pt idx="24">
                        <c:v>13.335523495052209</c:v>
                      </c:pt>
                      <c:pt idx="25">
                        <c:v>13.334314138758428</c:v>
                      </c:pt>
                      <c:pt idx="26">
                        <c:v>13.335383621662331</c:v>
                      </c:pt>
                      <c:pt idx="27">
                        <c:v>13.338017463193999</c:v>
                      </c:pt>
                      <c:pt idx="28">
                        <c:v>13.337916327904633</c:v>
                      </c:pt>
                      <c:pt idx="29">
                        <c:v>13.335894615674485</c:v>
                      </c:pt>
                      <c:pt idx="30">
                        <c:v>13.338939936224589</c:v>
                      </c:pt>
                      <c:pt idx="31">
                        <c:v>13.340035194952302</c:v>
                      </c:pt>
                      <c:pt idx="32">
                        <c:v>13.339614049538303</c:v>
                      </c:pt>
                      <c:pt idx="33">
                        <c:v>13.338174913472741</c:v>
                      </c:pt>
                      <c:pt idx="34">
                        <c:v>13.340331743102258</c:v>
                      </c:pt>
                      <c:pt idx="35">
                        <c:v>13.341165870154837</c:v>
                      </c:pt>
                      <c:pt idx="36">
                        <c:v>13.340740754000239</c:v>
                      </c:pt>
                      <c:pt idx="37">
                        <c:v>13.342252859759325</c:v>
                      </c:pt>
                      <c:pt idx="38">
                        <c:v>13.3412068435105</c:v>
                      </c:pt>
                      <c:pt idx="39">
                        <c:v>13.342607251679269</c:v>
                      </c:pt>
                      <c:pt idx="40">
                        <c:v>13.342823503705954</c:v>
                      </c:pt>
                      <c:pt idx="41">
                        <c:v>13.342078156988489</c:v>
                      </c:pt>
                      <c:pt idx="42">
                        <c:v>13.343375885472927</c:v>
                      </c:pt>
                      <c:pt idx="43">
                        <c:v>13.343285032161814</c:v>
                      </c:pt>
                      <c:pt idx="44">
                        <c:v>13.342826650934926</c:v>
                      </c:pt>
                      <c:pt idx="45">
                        <c:v>13.343811683800432</c:v>
                      </c:pt>
                      <c:pt idx="46">
                        <c:v>13.343780780643071</c:v>
                      </c:pt>
                      <c:pt idx="47">
                        <c:v>13.343093345744586</c:v>
                      </c:pt>
                      <c:pt idx="48">
                        <c:v>13.344055583499308</c:v>
                      </c:pt>
                      <c:pt idx="49">
                        <c:v>13.344226146280239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Graphique!$F$1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Graphique!$F$2:$F$51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1.5625E-2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7.8125E-2</c:v>
                      </c:pt>
                      <c:pt idx="11">
                        <c:v>9.375E-2</c:v>
                      </c:pt>
                      <c:pt idx="12">
                        <c:v>0.1171875</c:v>
                      </c:pt>
                      <c:pt idx="13">
                        <c:v>0.1328125</c:v>
                      </c:pt>
                      <c:pt idx="14">
                        <c:v>0.1640625</c:v>
                      </c:pt>
                      <c:pt idx="15">
                        <c:v>0.1875</c:v>
                      </c:pt>
                      <c:pt idx="16">
                        <c:v>0.2109375</c:v>
                      </c:pt>
                      <c:pt idx="17">
                        <c:v>0.234375</c:v>
                      </c:pt>
                      <c:pt idx="18">
                        <c:v>0.265625</c:v>
                      </c:pt>
                      <c:pt idx="19">
                        <c:v>0.296875</c:v>
                      </c:pt>
                      <c:pt idx="20">
                        <c:v>0.3203125</c:v>
                      </c:pt>
                      <c:pt idx="21">
                        <c:v>0.3515625</c:v>
                      </c:pt>
                      <c:pt idx="22">
                        <c:v>0.375</c:v>
                      </c:pt>
                      <c:pt idx="23">
                        <c:v>0.4140625</c:v>
                      </c:pt>
                      <c:pt idx="24">
                        <c:v>0.4375</c:v>
                      </c:pt>
                      <c:pt idx="25">
                        <c:v>0.5</c:v>
                      </c:pt>
                      <c:pt idx="26">
                        <c:v>0.5703125</c:v>
                      </c:pt>
                      <c:pt idx="27">
                        <c:v>0.6484375</c:v>
                      </c:pt>
                      <c:pt idx="28">
                        <c:v>0.71875</c:v>
                      </c:pt>
                      <c:pt idx="29">
                        <c:v>0.8046875</c:v>
                      </c:pt>
                      <c:pt idx="30">
                        <c:v>0.8828125</c:v>
                      </c:pt>
                      <c:pt idx="31">
                        <c:v>0.9765625</c:v>
                      </c:pt>
                      <c:pt idx="32">
                        <c:v>1.046875</c:v>
                      </c:pt>
                      <c:pt idx="33">
                        <c:v>1.125</c:v>
                      </c:pt>
                      <c:pt idx="34">
                        <c:v>1.21875</c:v>
                      </c:pt>
                      <c:pt idx="35">
                        <c:v>1.40625</c:v>
                      </c:pt>
                      <c:pt idx="36">
                        <c:v>1.5859375</c:v>
                      </c:pt>
                      <c:pt idx="37">
                        <c:v>1.7890625</c:v>
                      </c:pt>
                      <c:pt idx="38">
                        <c:v>2</c:v>
                      </c:pt>
                      <c:pt idx="39">
                        <c:v>2.2265625</c:v>
                      </c:pt>
                      <c:pt idx="40">
                        <c:v>2.65625</c:v>
                      </c:pt>
                      <c:pt idx="41">
                        <c:v>2.6796875</c:v>
                      </c:pt>
                      <c:pt idx="42">
                        <c:v>2.9140625</c:v>
                      </c:pt>
                      <c:pt idx="43">
                        <c:v>3.15625</c:v>
                      </c:pt>
                      <c:pt idx="44">
                        <c:v>3.390625</c:v>
                      </c:pt>
                      <c:pt idx="45">
                        <c:v>3.65625</c:v>
                      </c:pt>
                      <c:pt idx="46">
                        <c:v>3.9375</c:v>
                      </c:pt>
                      <c:pt idx="47">
                        <c:v>4.21875</c:v>
                      </c:pt>
                      <c:pt idx="48">
                        <c:v>4.3828125</c:v>
                      </c:pt>
                      <c:pt idx="49">
                        <c:v>4.7109375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Graphique!$G$1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Graphique!$G$2:$G$51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13.346464945879582</c:v>
                      </c:pt>
                      <c:pt idx="2">
                        <c:v>13.346464945879582</c:v>
                      </c:pt>
                      <c:pt idx="3">
                        <c:v>13.346464945879582</c:v>
                      </c:pt>
                      <c:pt idx="4">
                        <c:v>13.346464945879582</c:v>
                      </c:pt>
                      <c:pt idx="5">
                        <c:v>13.346464945879582</c:v>
                      </c:pt>
                      <c:pt idx="6">
                        <c:v>13.346464945879582</c:v>
                      </c:pt>
                      <c:pt idx="7">
                        <c:v>13.346464945879582</c:v>
                      </c:pt>
                      <c:pt idx="8">
                        <c:v>13.346464945879582</c:v>
                      </c:pt>
                      <c:pt idx="9">
                        <c:v>13.346464945879582</c:v>
                      </c:pt>
                      <c:pt idx="10">
                        <c:v>13.346464945879582</c:v>
                      </c:pt>
                      <c:pt idx="11">
                        <c:v>13.346464945879582</c:v>
                      </c:pt>
                      <c:pt idx="12">
                        <c:v>13.346464945879582</c:v>
                      </c:pt>
                      <c:pt idx="13">
                        <c:v>13.346464945879582</c:v>
                      </c:pt>
                      <c:pt idx="14">
                        <c:v>13.346464945879582</c:v>
                      </c:pt>
                      <c:pt idx="15">
                        <c:v>13.346464945879582</c:v>
                      </c:pt>
                      <c:pt idx="16">
                        <c:v>13.346464945879582</c:v>
                      </c:pt>
                      <c:pt idx="17">
                        <c:v>13.346464945879582</c:v>
                      </c:pt>
                      <c:pt idx="18">
                        <c:v>13.346464945879582</c:v>
                      </c:pt>
                      <c:pt idx="19">
                        <c:v>13.346464945879582</c:v>
                      </c:pt>
                      <c:pt idx="20">
                        <c:v>13.346464945879582</c:v>
                      </c:pt>
                      <c:pt idx="21">
                        <c:v>13.346464945879582</c:v>
                      </c:pt>
                      <c:pt idx="22">
                        <c:v>13.346464945879582</c:v>
                      </c:pt>
                      <c:pt idx="23">
                        <c:v>13.346464945879582</c:v>
                      </c:pt>
                      <c:pt idx="24">
                        <c:v>13.346464945879582</c:v>
                      </c:pt>
                      <c:pt idx="25">
                        <c:v>13.346464945879582</c:v>
                      </c:pt>
                      <c:pt idx="26">
                        <c:v>13.346464945879582</c:v>
                      </c:pt>
                      <c:pt idx="27">
                        <c:v>13.346464945879582</c:v>
                      </c:pt>
                      <c:pt idx="28">
                        <c:v>13.346464945879582</c:v>
                      </c:pt>
                      <c:pt idx="29">
                        <c:v>13.346464945879582</c:v>
                      </c:pt>
                      <c:pt idx="30">
                        <c:v>13.346464945879582</c:v>
                      </c:pt>
                      <c:pt idx="31">
                        <c:v>13.346464945879582</c:v>
                      </c:pt>
                      <c:pt idx="32">
                        <c:v>13.346464945879582</c:v>
                      </c:pt>
                      <c:pt idx="33">
                        <c:v>13.346464945879582</c:v>
                      </c:pt>
                      <c:pt idx="34">
                        <c:v>13.346464945879582</c:v>
                      </c:pt>
                      <c:pt idx="35">
                        <c:v>13.346464945879582</c:v>
                      </c:pt>
                      <c:pt idx="36">
                        <c:v>13.346464945879582</c:v>
                      </c:pt>
                      <c:pt idx="37">
                        <c:v>13.346464945879582</c:v>
                      </c:pt>
                      <c:pt idx="38">
                        <c:v>13.346464945879582</c:v>
                      </c:pt>
                      <c:pt idx="39">
                        <c:v>13.346464945879582</c:v>
                      </c:pt>
                      <c:pt idx="40">
                        <c:v>13.346464945879582</c:v>
                      </c:pt>
                      <c:pt idx="41">
                        <c:v>13.346464945879582</c:v>
                      </c:pt>
                      <c:pt idx="42">
                        <c:v>13.346464945879582</c:v>
                      </c:pt>
                      <c:pt idx="43">
                        <c:v>13.346464945879582</c:v>
                      </c:pt>
                      <c:pt idx="44">
                        <c:v>13.346464945879582</c:v>
                      </c:pt>
                      <c:pt idx="45">
                        <c:v>13.346464945879582</c:v>
                      </c:pt>
                      <c:pt idx="46">
                        <c:v>13.346464945879582</c:v>
                      </c:pt>
                      <c:pt idx="47">
                        <c:v>13.346464945879582</c:v>
                      </c:pt>
                      <c:pt idx="48">
                        <c:v>13.346464945879582</c:v>
                      </c:pt>
                      <c:pt idx="49">
                        <c:v>13.346464945879582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Graphique!$H$1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Graphique!$D$3:$D$51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Graphique!$H$2:$H$51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8.3464649458795819</c:v>
                      </c:pt>
                      <c:pt idx="2">
                        <c:v>1.1126620710904298</c:v>
                      </c:pt>
                      <c:pt idx="3">
                        <c:v>0.69684491795507952</c:v>
                      </c:pt>
                      <c:pt idx="4">
                        <c:v>0.30358330088893482</c:v>
                      </c:pt>
                      <c:pt idx="5">
                        <c:v>0.18383120982863588</c:v>
                      </c:pt>
                      <c:pt idx="6">
                        <c:v>0.15117328209641023</c:v>
                      </c:pt>
                      <c:pt idx="7">
                        <c:v>7.2903950728919753E-2</c:v>
                      </c:pt>
                      <c:pt idx="8">
                        <c:v>7.1296320169587091E-2</c:v>
                      </c:pt>
                      <c:pt idx="9">
                        <c:v>4.8679471500356897E-2</c:v>
                      </c:pt>
                      <c:pt idx="10">
                        <c:v>3.669969832273523E-2</c:v>
                      </c:pt>
                      <c:pt idx="11">
                        <c:v>3.8408639019092305E-2</c:v>
                      </c:pt>
                      <c:pt idx="12">
                        <c:v>3.4429538615658117E-2</c:v>
                      </c:pt>
                      <c:pt idx="13">
                        <c:v>2.5011052590459215E-2</c:v>
                      </c:pt>
                      <c:pt idx="14">
                        <c:v>2.233567291205496E-2</c:v>
                      </c:pt>
                      <c:pt idx="15">
                        <c:v>2.4013885252800904E-2</c:v>
                      </c:pt>
                      <c:pt idx="16">
                        <c:v>2.4786226581140269E-2</c:v>
                      </c:pt>
                      <c:pt idx="17">
                        <c:v>1.8573719749969797E-2</c:v>
                      </c:pt>
                      <c:pt idx="18">
                        <c:v>1.5656398466912691E-2</c:v>
                      </c:pt>
                      <c:pt idx="19">
                        <c:v>1.5178970610795872E-2</c:v>
                      </c:pt>
                      <c:pt idx="20">
                        <c:v>1.6523113139422563E-2</c:v>
                      </c:pt>
                      <c:pt idx="21">
                        <c:v>1.8241106683801078E-2</c:v>
                      </c:pt>
                      <c:pt idx="22">
                        <c:v>1.4215518767645818E-2</c:v>
                      </c:pt>
                      <c:pt idx="23">
                        <c:v>1.189333450026453E-2</c:v>
                      </c:pt>
                      <c:pt idx="24">
                        <c:v>1.0941450827372634E-2</c:v>
                      </c:pt>
                      <c:pt idx="25">
                        <c:v>1.2150807121154017E-2</c:v>
                      </c:pt>
                      <c:pt idx="26">
                        <c:v>1.1081324217251165E-2</c:v>
                      </c:pt>
                      <c:pt idx="27">
                        <c:v>8.4474826855824858E-3</c:v>
                      </c:pt>
                      <c:pt idx="28">
                        <c:v>8.548617974948769E-3</c:v>
                      </c:pt>
                      <c:pt idx="29">
                        <c:v>1.0570330205096568E-2</c:v>
                      </c:pt>
                      <c:pt idx="30">
                        <c:v>7.5250096549925871E-3</c:v>
                      </c:pt>
                      <c:pt idx="31">
                        <c:v>6.4297509272801534E-3</c:v>
                      </c:pt>
                      <c:pt idx="32">
                        <c:v>6.8508963412785562E-3</c:v>
                      </c:pt>
                      <c:pt idx="33">
                        <c:v>8.2900324068404529E-3</c:v>
                      </c:pt>
                      <c:pt idx="34">
                        <c:v>6.1332027773239872E-3</c:v>
                      </c:pt>
                      <c:pt idx="35">
                        <c:v>5.2990757247446396E-3</c:v>
                      </c:pt>
                      <c:pt idx="36">
                        <c:v>5.7241918793433655E-3</c:v>
                      </c:pt>
                      <c:pt idx="37">
                        <c:v>4.2120861202565862E-3</c:v>
                      </c:pt>
                      <c:pt idx="38">
                        <c:v>5.2581023690816409E-3</c:v>
                      </c:pt>
                      <c:pt idx="39">
                        <c:v>3.8576942003132331E-3</c:v>
                      </c:pt>
                      <c:pt idx="40">
                        <c:v>3.641442173627496E-3</c:v>
                      </c:pt>
                      <c:pt idx="41">
                        <c:v>4.3867888910931185E-3</c:v>
                      </c:pt>
                      <c:pt idx="42">
                        <c:v>3.0890604066549088E-3</c:v>
                      </c:pt>
                      <c:pt idx="43">
                        <c:v>3.1799137177674908E-3</c:v>
                      </c:pt>
                      <c:pt idx="44">
                        <c:v>3.6382949446558399E-3</c:v>
                      </c:pt>
                      <c:pt idx="45">
                        <c:v>2.6532620791499539E-3</c:v>
                      </c:pt>
                      <c:pt idx="46">
                        <c:v>2.6841652365110491E-3</c:v>
                      </c:pt>
                      <c:pt idx="47">
                        <c:v>3.3716001349954894E-3</c:v>
                      </c:pt>
                      <c:pt idx="48">
                        <c:v>2.4093623802734498E-3</c:v>
                      </c:pt>
                      <c:pt idx="49">
                        <c:v>2.2387995993433663E-3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20</xdr:row>
          <xdr:rowOff>38100</xdr:rowOff>
        </xdr:from>
        <xdr:to>
          <xdr:col>11</xdr:col>
          <xdr:colOff>561975</xdr:colOff>
          <xdr:row>23</xdr:row>
          <xdr:rowOff>57150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558" y="731989"/>
          <a:ext cx="5336425" cy="3585073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21</xdr:row>
      <xdr:rowOff>30480</xdr:rowOff>
    </xdr:from>
    <xdr:to>
      <xdr:col>17</xdr:col>
      <xdr:colOff>739140</xdr:colOff>
      <xdr:row>37</xdr:row>
      <xdr:rowOff>68580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92BA819-C814-4AC2-911D-FD772B499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739140</xdr:colOff>
      <xdr:row>39</xdr:row>
      <xdr:rowOff>15240</xdr:rowOff>
    </xdr:from>
    <xdr:to>
      <xdr:col>18</xdr:col>
      <xdr:colOff>15240</xdr:colOff>
      <xdr:row>55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EFEE19F-F795-4DAD-A56D-B495B4EE3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731520</xdr:colOff>
      <xdr:row>2</xdr:row>
      <xdr:rowOff>53340</xdr:rowOff>
    </xdr:from>
    <xdr:to>
      <xdr:col>17</xdr:col>
      <xdr:colOff>693420</xdr:colOff>
      <xdr:row>19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26451C-6D29-4BDB-BEFF-C6BAA0331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7620</xdr:colOff>
      <xdr:row>56</xdr:row>
      <xdr:rowOff>144780</xdr:rowOff>
    </xdr:from>
    <xdr:to>
      <xdr:col>18</xdr:col>
      <xdr:colOff>38100</xdr:colOff>
      <xdr:row>75</xdr:row>
      <xdr:rowOff>175260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2977715-4009-4B30-82B4-3842658EE9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</xdr:row>
          <xdr:rowOff>142875</xdr:rowOff>
        </xdr:from>
        <xdr:to>
          <xdr:col>2</xdr:col>
          <xdr:colOff>66675</xdr:colOff>
          <xdr:row>21</xdr:row>
          <xdr:rowOff>104775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102326</xdr:colOff>
      <xdr:row>3</xdr:row>
      <xdr:rowOff>42454</xdr:rowOff>
    </xdr:from>
    <xdr:to>
      <xdr:col>17</xdr:col>
      <xdr:colOff>407126</xdr:colOff>
      <xdr:row>18</xdr:row>
      <xdr:rowOff>1088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342900</xdr:colOff>
      <xdr:row>3</xdr:row>
      <xdr:rowOff>57150</xdr:rowOff>
    </xdr:from>
    <xdr:to>
      <xdr:col>26</xdr:col>
      <xdr:colOff>38100</xdr:colOff>
      <xdr:row>18</xdr:row>
      <xdr:rowOff>15784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130629</xdr:colOff>
      <xdr:row>19</xdr:row>
      <xdr:rowOff>87086</xdr:rowOff>
    </xdr:from>
    <xdr:to>
      <xdr:col>17</xdr:col>
      <xdr:colOff>435429</xdr:colOff>
      <xdr:row>34</xdr:row>
      <xdr:rowOff>56605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337458</xdr:colOff>
      <xdr:row>18</xdr:row>
      <xdr:rowOff>141515</xdr:rowOff>
    </xdr:from>
    <xdr:to>
      <xdr:col>26</xdr:col>
      <xdr:colOff>32658</xdr:colOff>
      <xdr:row>33</xdr:row>
      <xdr:rowOff>111035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B8A5-D4D9-4184-8D63-B581585DEDF1}">
  <sheetPr codeName="Sheet2"/>
  <dimension ref="D2:AG37"/>
  <sheetViews>
    <sheetView tabSelected="1" topLeftCell="A4" zoomScaleNormal="100" workbookViewId="0">
      <selection activeCell="V20" sqref="V20"/>
    </sheetView>
  </sheetViews>
  <sheetFormatPr baseColWidth="10" defaultColWidth="9.140625" defaultRowHeight="15" x14ac:dyDescent="0.25"/>
  <cols>
    <col min="7" max="7" width="9.7109375" customWidth="1"/>
    <col min="8" max="8" width="10.140625" customWidth="1"/>
    <col min="9" max="9" width="8.28515625" customWidth="1"/>
    <col min="10" max="10" width="7.5703125" customWidth="1"/>
    <col min="15" max="15" width="10.28515625" customWidth="1"/>
    <col min="16" max="16" width="10.140625" customWidth="1"/>
    <col min="32" max="33" width="0" hidden="1" customWidth="1"/>
  </cols>
  <sheetData>
    <row r="2" spans="4:33" ht="14.45" customHeight="1" x14ac:dyDescent="0.25">
      <c r="G2" s="8"/>
      <c r="H2" s="8"/>
      <c r="I2" s="8"/>
      <c r="J2" s="8"/>
      <c r="K2" s="8"/>
      <c r="L2" s="8"/>
      <c r="M2" s="8"/>
      <c r="N2" s="8"/>
      <c r="O2" s="8"/>
    </row>
    <row r="3" spans="4:33" ht="14.45" customHeight="1" x14ac:dyDescent="0.25">
      <c r="D3" s="23" t="s">
        <v>55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5"/>
    </row>
    <row r="4" spans="4:33" ht="14.45" customHeight="1" x14ac:dyDescent="0.25">
      <c r="D4" s="26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8"/>
    </row>
    <row r="5" spans="4:33" ht="14.45" customHeight="1" x14ac:dyDescent="0.25">
      <c r="D5" s="26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8"/>
    </row>
    <row r="6" spans="4:33" ht="14.45" customHeight="1" x14ac:dyDescent="0.25">
      <c r="D6" s="26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8"/>
    </row>
    <row r="7" spans="4:33" ht="14.45" customHeight="1" x14ac:dyDescent="0.25">
      <c r="D7" s="29"/>
      <c r="E7" s="30"/>
      <c r="F7" s="30"/>
      <c r="G7" s="30"/>
      <c r="H7" s="30"/>
      <c r="I7" s="30"/>
      <c r="J7" s="30"/>
      <c r="K7" s="27"/>
      <c r="L7" s="27"/>
      <c r="M7" s="30"/>
      <c r="N7" s="30"/>
      <c r="O7" s="30"/>
      <c r="P7" s="30"/>
      <c r="Q7" s="30"/>
      <c r="R7" s="30"/>
      <c r="S7" s="31"/>
      <c r="AF7" t="s">
        <v>36</v>
      </c>
    </row>
    <row r="8" spans="4:33" x14ac:dyDescent="0.25">
      <c r="D8" s="53" t="s">
        <v>0</v>
      </c>
      <c r="E8" s="54"/>
      <c r="F8" s="63" t="s">
        <v>25</v>
      </c>
      <c r="G8" s="42" t="s">
        <v>27</v>
      </c>
      <c r="H8" s="43"/>
      <c r="I8" s="66">
        <v>100</v>
      </c>
      <c r="J8" s="67"/>
      <c r="K8" s="34"/>
      <c r="L8" s="35"/>
      <c r="M8" s="32">
        <v>8.525258133476699</v>
      </c>
      <c r="N8" s="33"/>
      <c r="O8" s="18" t="s">
        <v>43</v>
      </c>
      <c r="P8" s="18"/>
      <c r="Q8" s="21" t="s">
        <v>21</v>
      </c>
      <c r="R8" s="22" t="s">
        <v>42</v>
      </c>
      <c r="S8" s="22"/>
      <c r="AF8" t="s">
        <v>17</v>
      </c>
      <c r="AG8" t="s">
        <v>37</v>
      </c>
    </row>
    <row r="9" spans="4:33" x14ac:dyDescent="0.25">
      <c r="D9" s="55"/>
      <c r="E9" s="56"/>
      <c r="F9" s="64"/>
      <c r="G9" s="44"/>
      <c r="H9" s="45"/>
      <c r="I9" s="68"/>
      <c r="J9" s="69"/>
      <c r="K9" s="36"/>
      <c r="L9" s="37"/>
      <c r="M9" s="32"/>
      <c r="N9" s="33"/>
      <c r="O9" s="18"/>
      <c r="P9" s="18"/>
      <c r="Q9" s="21"/>
      <c r="R9" s="22"/>
      <c r="S9" s="22"/>
    </row>
    <row r="10" spans="4:33" x14ac:dyDescent="0.25">
      <c r="D10" s="55"/>
      <c r="E10" s="56"/>
      <c r="F10" s="64"/>
      <c r="G10" s="42" t="s">
        <v>3</v>
      </c>
      <c r="H10" s="43"/>
      <c r="I10" s="70">
        <v>0.2</v>
      </c>
      <c r="J10" s="71"/>
      <c r="K10" s="36"/>
      <c r="L10" s="37"/>
      <c r="M10" s="32"/>
      <c r="N10" s="33"/>
      <c r="O10" s="18"/>
      <c r="P10" s="18"/>
      <c r="Q10" s="21"/>
      <c r="R10" s="22"/>
      <c r="S10" s="22"/>
      <c r="AF10" t="s">
        <v>30</v>
      </c>
    </row>
    <row r="11" spans="4:33" x14ac:dyDescent="0.25">
      <c r="D11" s="55"/>
      <c r="E11" s="56"/>
      <c r="F11" s="64"/>
      <c r="G11" s="44"/>
      <c r="H11" s="45"/>
      <c r="I11" s="72"/>
      <c r="J11" s="73"/>
      <c r="K11" s="36"/>
      <c r="L11" s="37"/>
      <c r="M11" s="40" t="s">
        <v>59</v>
      </c>
      <c r="N11" s="41"/>
      <c r="O11" s="15" t="s">
        <v>44</v>
      </c>
      <c r="P11" s="15"/>
      <c r="Q11" s="21"/>
      <c r="R11" s="22"/>
      <c r="S11" s="22"/>
      <c r="AF11" t="s">
        <v>18</v>
      </c>
      <c r="AG11" t="s">
        <v>38</v>
      </c>
    </row>
    <row r="12" spans="4:33" x14ac:dyDescent="0.25">
      <c r="D12" s="55"/>
      <c r="E12" s="56"/>
      <c r="F12" s="64"/>
      <c r="G12" s="42" t="s">
        <v>35</v>
      </c>
      <c r="H12" s="43"/>
      <c r="I12" s="74">
        <v>0.05</v>
      </c>
      <c r="J12" s="75"/>
      <c r="K12" s="36"/>
      <c r="L12" s="37"/>
      <c r="M12" s="40"/>
      <c r="N12" s="41"/>
      <c r="O12" s="15"/>
      <c r="P12" s="15"/>
      <c r="Q12" s="21"/>
      <c r="R12" s="22"/>
      <c r="S12" s="22"/>
    </row>
    <row r="13" spans="4:33" x14ac:dyDescent="0.25">
      <c r="D13" s="55"/>
      <c r="E13" s="56"/>
      <c r="F13" s="64"/>
      <c r="G13" s="44"/>
      <c r="H13" s="45"/>
      <c r="I13" s="76"/>
      <c r="J13" s="77"/>
      <c r="K13" s="36"/>
      <c r="L13" s="37"/>
      <c r="M13" s="40"/>
      <c r="N13" s="41"/>
      <c r="O13" s="15"/>
      <c r="P13" s="15"/>
      <c r="Q13" s="21"/>
      <c r="R13" s="22"/>
      <c r="S13" s="22"/>
      <c r="AF13" t="s">
        <v>39</v>
      </c>
    </row>
    <row r="14" spans="4:33" ht="14.45" customHeight="1" x14ac:dyDescent="0.25">
      <c r="D14" s="55"/>
      <c r="E14" s="56"/>
      <c r="F14" s="64"/>
      <c r="G14" s="42" t="s">
        <v>28</v>
      </c>
      <c r="H14" s="43"/>
      <c r="I14" s="66">
        <v>3</v>
      </c>
      <c r="J14" s="67"/>
      <c r="K14" s="36"/>
      <c r="L14" s="37"/>
      <c r="M14" s="16">
        <v>1.78125</v>
      </c>
      <c r="N14" s="17"/>
      <c r="O14" s="15" t="s">
        <v>46</v>
      </c>
      <c r="P14" s="15"/>
      <c r="Q14" s="13" t="s">
        <v>45</v>
      </c>
      <c r="R14" s="22"/>
      <c r="S14" s="22"/>
      <c r="AF14" t="s">
        <v>6</v>
      </c>
    </row>
    <row r="15" spans="4:33" x14ac:dyDescent="0.25">
      <c r="D15" s="55"/>
      <c r="E15" s="56"/>
      <c r="F15" s="64"/>
      <c r="G15" s="44"/>
      <c r="H15" s="45"/>
      <c r="I15" s="68"/>
      <c r="J15" s="69"/>
      <c r="K15" s="36"/>
      <c r="L15" s="37"/>
      <c r="M15" s="16"/>
      <c r="N15" s="17"/>
      <c r="O15" s="15"/>
      <c r="P15" s="15"/>
      <c r="Q15" s="13"/>
      <c r="R15" s="22"/>
      <c r="S15" s="22"/>
    </row>
    <row r="16" spans="4:33" x14ac:dyDescent="0.25">
      <c r="D16" s="55"/>
      <c r="E16" s="56"/>
      <c r="F16" s="64"/>
      <c r="G16" s="42" t="s">
        <v>12</v>
      </c>
      <c r="H16" s="43"/>
      <c r="I16" s="78">
        <v>45597</v>
      </c>
      <c r="J16" s="79"/>
      <c r="K16" s="36"/>
      <c r="L16" s="37"/>
      <c r="M16" s="16"/>
      <c r="N16" s="17"/>
      <c r="O16" s="15"/>
      <c r="P16" s="15"/>
      <c r="Q16" s="13"/>
      <c r="R16" s="22"/>
      <c r="S16" s="22"/>
      <c r="AF16" t="s">
        <v>56</v>
      </c>
    </row>
    <row r="17" spans="4:33" x14ac:dyDescent="0.25">
      <c r="D17" s="55"/>
      <c r="E17" s="56"/>
      <c r="F17" s="65"/>
      <c r="G17" s="44"/>
      <c r="H17" s="45"/>
      <c r="I17" s="80"/>
      <c r="J17" s="81"/>
      <c r="K17" s="36"/>
      <c r="L17" s="37"/>
      <c r="M17" s="16">
        <v>0.1328125</v>
      </c>
      <c r="N17" s="17"/>
      <c r="O17" s="15" t="s">
        <v>47</v>
      </c>
      <c r="P17" s="15"/>
      <c r="Q17" s="13"/>
      <c r="R17" s="22"/>
      <c r="S17" s="22"/>
      <c r="AF17" t="s">
        <v>57</v>
      </c>
      <c r="AG17" t="s">
        <v>58</v>
      </c>
    </row>
    <row r="18" spans="4:33" x14ac:dyDescent="0.25">
      <c r="D18" s="55"/>
      <c r="E18" s="56"/>
      <c r="F18" s="63" t="s">
        <v>26</v>
      </c>
      <c r="G18" s="42" t="s">
        <v>5</v>
      </c>
      <c r="H18" s="43"/>
      <c r="I18" s="46">
        <v>1</v>
      </c>
      <c r="J18" s="47"/>
      <c r="K18" s="36"/>
      <c r="L18" s="37"/>
      <c r="M18" s="16"/>
      <c r="N18" s="17"/>
      <c r="O18" s="15"/>
      <c r="P18" s="15"/>
      <c r="Q18" s="13"/>
      <c r="R18" s="22"/>
      <c r="S18" s="22"/>
    </row>
    <row r="19" spans="4:33" x14ac:dyDescent="0.25">
      <c r="D19" s="55"/>
      <c r="E19" s="56"/>
      <c r="F19" s="64"/>
      <c r="G19" s="44"/>
      <c r="H19" s="45"/>
      <c r="I19" s="48"/>
      <c r="J19" s="49"/>
      <c r="K19" s="36"/>
      <c r="L19" s="37"/>
      <c r="M19" s="16"/>
      <c r="N19" s="17"/>
      <c r="O19" s="15"/>
      <c r="P19" s="15"/>
      <c r="Q19" s="13"/>
      <c r="R19" s="22"/>
      <c r="S19" s="22"/>
    </row>
    <row r="20" spans="4:33" x14ac:dyDescent="0.25">
      <c r="D20" s="55"/>
      <c r="E20" s="56"/>
      <c r="F20" s="64"/>
      <c r="G20" s="42" t="s">
        <v>29</v>
      </c>
      <c r="H20" s="43"/>
      <c r="I20" s="82">
        <v>100</v>
      </c>
      <c r="J20" s="83"/>
      <c r="K20" s="36"/>
      <c r="L20" s="37"/>
      <c r="M20" s="19">
        <f>M17+M14</f>
        <v>1.9140625</v>
      </c>
      <c r="N20" s="20"/>
      <c r="O20" s="18" t="s">
        <v>48</v>
      </c>
      <c r="P20" s="18"/>
      <c r="Q20" s="13"/>
      <c r="R20" s="22"/>
      <c r="S20" s="22"/>
    </row>
    <row r="21" spans="4:33" x14ac:dyDescent="0.25">
      <c r="D21" s="55"/>
      <c r="E21" s="56"/>
      <c r="F21" s="64"/>
      <c r="G21" s="44"/>
      <c r="H21" s="45"/>
      <c r="I21" s="84"/>
      <c r="J21" s="85"/>
      <c r="K21" s="36"/>
      <c r="L21" s="37"/>
      <c r="M21" s="19"/>
      <c r="N21" s="20"/>
      <c r="O21" s="18"/>
      <c r="P21" s="18"/>
      <c r="Q21" s="13"/>
      <c r="R21" s="22"/>
      <c r="S21" s="22"/>
    </row>
    <row r="22" spans="4:33" x14ac:dyDescent="0.25">
      <c r="D22" s="55"/>
      <c r="E22" s="56"/>
      <c r="F22" s="64"/>
      <c r="G22" s="42" t="s">
        <v>13</v>
      </c>
      <c r="H22" s="43"/>
      <c r="I22" s="78">
        <v>45566</v>
      </c>
      <c r="J22" s="79"/>
      <c r="K22" s="36"/>
      <c r="L22" s="37"/>
      <c r="M22" s="19"/>
      <c r="N22" s="20"/>
      <c r="O22" s="18"/>
      <c r="P22" s="18"/>
      <c r="Q22" s="13"/>
      <c r="R22" s="22"/>
      <c r="S22" s="22"/>
    </row>
    <row r="23" spans="4:33" x14ac:dyDescent="0.25">
      <c r="D23" s="55"/>
      <c r="E23" s="56"/>
      <c r="F23" s="64"/>
      <c r="G23" s="44"/>
      <c r="H23" s="45"/>
      <c r="I23" s="80"/>
      <c r="J23" s="81"/>
      <c r="K23" s="36"/>
      <c r="L23" s="37"/>
      <c r="M23" s="11" t="s">
        <v>59</v>
      </c>
      <c r="N23" s="12"/>
      <c r="O23" s="15" t="s">
        <v>50</v>
      </c>
      <c r="P23" s="15"/>
      <c r="Q23" s="14" t="s">
        <v>49</v>
      </c>
      <c r="R23" s="22"/>
      <c r="S23" s="22"/>
    </row>
    <row r="24" spans="4:33" x14ac:dyDescent="0.25">
      <c r="D24" s="55"/>
      <c r="E24" s="56"/>
      <c r="F24" s="64"/>
      <c r="G24" s="42" t="s">
        <v>1</v>
      </c>
      <c r="H24" s="43"/>
      <c r="I24" s="46" t="s">
        <v>17</v>
      </c>
      <c r="J24" s="47"/>
      <c r="K24" s="36"/>
      <c r="L24" s="37"/>
      <c r="M24" s="11"/>
      <c r="N24" s="12"/>
      <c r="O24" s="15"/>
      <c r="P24" s="15"/>
      <c r="Q24" s="14"/>
      <c r="R24" s="22"/>
      <c r="S24" s="22"/>
    </row>
    <row r="25" spans="4:33" x14ac:dyDescent="0.25">
      <c r="D25" s="55"/>
      <c r="E25" s="56"/>
      <c r="F25" s="64"/>
      <c r="G25" s="44"/>
      <c r="H25" s="45"/>
      <c r="I25" s="48"/>
      <c r="J25" s="49"/>
      <c r="K25" s="36"/>
      <c r="L25" s="37"/>
      <c r="M25" s="11"/>
      <c r="N25" s="12"/>
      <c r="O25" s="15"/>
      <c r="P25" s="15"/>
      <c r="Q25" s="14"/>
      <c r="R25" s="22"/>
      <c r="S25" s="22"/>
    </row>
    <row r="26" spans="4:33" x14ac:dyDescent="0.25">
      <c r="D26" s="55"/>
      <c r="E26" s="56"/>
      <c r="F26" s="64"/>
      <c r="G26" s="42" t="s">
        <v>30</v>
      </c>
      <c r="H26" s="43"/>
      <c r="I26" s="46" t="s">
        <v>38</v>
      </c>
      <c r="J26" s="47"/>
      <c r="K26" s="36"/>
      <c r="L26" s="37"/>
      <c r="M26" s="11" t="s">
        <v>59</v>
      </c>
      <c r="N26" s="12"/>
      <c r="O26" s="15" t="s">
        <v>51</v>
      </c>
      <c r="P26" s="15"/>
      <c r="Q26" s="14"/>
      <c r="R26" s="22"/>
      <c r="S26" s="22"/>
    </row>
    <row r="27" spans="4:33" x14ac:dyDescent="0.25">
      <c r="D27" s="55"/>
      <c r="E27" s="56"/>
      <c r="F27" s="65"/>
      <c r="G27" s="44"/>
      <c r="H27" s="45"/>
      <c r="I27" s="48"/>
      <c r="J27" s="49"/>
      <c r="K27" s="36"/>
      <c r="L27" s="37"/>
      <c r="M27" s="11"/>
      <c r="N27" s="12"/>
      <c r="O27" s="15"/>
      <c r="P27" s="15"/>
      <c r="Q27" s="14"/>
      <c r="R27" s="22"/>
      <c r="S27" s="22"/>
    </row>
    <row r="28" spans="4:33" x14ac:dyDescent="0.25">
      <c r="D28" s="55"/>
      <c r="E28" s="56"/>
      <c r="F28" s="50" t="s">
        <v>34</v>
      </c>
      <c r="G28" s="42" t="s">
        <v>31</v>
      </c>
      <c r="H28" s="43"/>
      <c r="I28" s="46" t="s">
        <v>6</v>
      </c>
      <c r="J28" s="47"/>
      <c r="K28" s="36"/>
      <c r="L28" s="37"/>
      <c r="M28" s="11"/>
      <c r="N28" s="12"/>
      <c r="O28" s="15"/>
      <c r="P28" s="15"/>
      <c r="Q28" s="14"/>
      <c r="R28" s="22"/>
      <c r="S28" s="22"/>
    </row>
    <row r="29" spans="4:33" x14ac:dyDescent="0.25">
      <c r="D29" s="55"/>
      <c r="E29" s="56"/>
      <c r="F29" s="51"/>
      <c r="G29" s="44"/>
      <c r="H29" s="45"/>
      <c r="I29" s="48"/>
      <c r="J29" s="49"/>
      <c r="K29" s="36"/>
      <c r="L29" s="37"/>
      <c r="M29" s="11" t="s">
        <v>59</v>
      </c>
      <c r="N29" s="12"/>
      <c r="O29" s="15" t="s">
        <v>52</v>
      </c>
      <c r="P29" s="15"/>
      <c r="Q29" s="14"/>
      <c r="R29" s="22"/>
      <c r="S29" s="22"/>
    </row>
    <row r="30" spans="4:33" x14ac:dyDescent="0.25">
      <c r="D30" s="55"/>
      <c r="E30" s="56"/>
      <c r="F30" s="51"/>
      <c r="G30" s="42" t="s">
        <v>32</v>
      </c>
      <c r="H30" s="43"/>
      <c r="I30" s="46">
        <v>50</v>
      </c>
      <c r="J30" s="47"/>
      <c r="K30" s="36"/>
      <c r="L30" s="37"/>
      <c r="M30" s="11"/>
      <c r="N30" s="12"/>
      <c r="O30" s="15"/>
      <c r="P30" s="15"/>
      <c r="Q30" s="14"/>
      <c r="R30" s="22"/>
      <c r="S30" s="22"/>
    </row>
    <row r="31" spans="4:33" x14ac:dyDescent="0.25">
      <c r="D31" s="55"/>
      <c r="E31" s="56"/>
      <c r="F31" s="51"/>
      <c r="G31" s="44"/>
      <c r="H31" s="45"/>
      <c r="I31" s="48"/>
      <c r="J31" s="49"/>
      <c r="K31" s="36"/>
      <c r="L31" s="37"/>
      <c r="M31" s="11"/>
      <c r="N31" s="12"/>
      <c r="O31" s="15"/>
      <c r="P31" s="15"/>
      <c r="Q31" s="14"/>
      <c r="R31" s="22"/>
      <c r="S31" s="22"/>
    </row>
    <row r="32" spans="4:33" x14ac:dyDescent="0.25">
      <c r="D32" s="55"/>
      <c r="E32" s="56"/>
      <c r="F32" s="51"/>
      <c r="G32" s="42" t="s">
        <v>33</v>
      </c>
      <c r="H32" s="43"/>
      <c r="I32" s="59">
        <v>1E-8</v>
      </c>
      <c r="J32" s="60"/>
      <c r="K32" s="36"/>
      <c r="L32" s="37"/>
      <c r="M32" s="11" t="s">
        <v>59</v>
      </c>
      <c r="N32" s="12"/>
      <c r="O32" s="15" t="s">
        <v>53</v>
      </c>
      <c r="P32" s="15"/>
      <c r="Q32" s="14"/>
      <c r="R32" s="22"/>
      <c r="S32" s="22"/>
    </row>
    <row r="33" spans="4:19" x14ac:dyDescent="0.25">
      <c r="D33" s="55"/>
      <c r="E33" s="56"/>
      <c r="F33" s="51"/>
      <c r="G33" s="44"/>
      <c r="H33" s="45"/>
      <c r="I33" s="61"/>
      <c r="J33" s="62"/>
      <c r="K33" s="36"/>
      <c r="L33" s="37"/>
      <c r="M33" s="11"/>
      <c r="N33" s="12"/>
      <c r="O33" s="15"/>
      <c r="P33" s="15"/>
      <c r="Q33" s="14"/>
      <c r="R33" s="22"/>
      <c r="S33" s="22"/>
    </row>
    <row r="34" spans="4:19" x14ac:dyDescent="0.25">
      <c r="D34" s="55"/>
      <c r="E34" s="56"/>
      <c r="F34" s="51"/>
      <c r="G34" s="42" t="s">
        <v>40</v>
      </c>
      <c r="H34" s="43"/>
      <c r="I34" s="46" t="s">
        <v>58</v>
      </c>
      <c r="J34" s="47"/>
      <c r="K34" s="36"/>
      <c r="L34" s="37"/>
      <c r="M34" s="11"/>
      <c r="N34" s="12"/>
      <c r="O34" s="15"/>
      <c r="P34" s="15"/>
      <c r="Q34" s="14"/>
      <c r="R34" s="22"/>
      <c r="S34" s="22"/>
    </row>
    <row r="35" spans="4:19" x14ac:dyDescent="0.25">
      <c r="D35" s="55"/>
      <c r="E35" s="56"/>
      <c r="F35" s="51"/>
      <c r="G35" s="44"/>
      <c r="H35" s="45"/>
      <c r="I35" s="48"/>
      <c r="J35" s="49"/>
      <c r="K35" s="36"/>
      <c r="L35" s="37"/>
      <c r="M35" s="11" t="s">
        <v>59</v>
      </c>
      <c r="N35" s="12"/>
      <c r="O35" s="15" t="s">
        <v>54</v>
      </c>
      <c r="P35" s="15"/>
      <c r="Q35" s="14"/>
      <c r="R35" s="22"/>
      <c r="S35" s="22"/>
    </row>
    <row r="36" spans="4:19" x14ac:dyDescent="0.25">
      <c r="D36" s="55"/>
      <c r="E36" s="56"/>
      <c r="F36" s="51"/>
      <c r="G36" s="42" t="s">
        <v>41</v>
      </c>
      <c r="H36" s="43"/>
      <c r="I36" s="46" t="s">
        <v>57</v>
      </c>
      <c r="J36" s="47"/>
      <c r="K36" s="36"/>
      <c r="L36" s="37"/>
      <c r="M36" s="11"/>
      <c r="N36" s="12"/>
      <c r="O36" s="15"/>
      <c r="P36" s="15"/>
      <c r="Q36" s="14"/>
      <c r="R36" s="22"/>
      <c r="S36" s="22"/>
    </row>
    <row r="37" spans="4:19" x14ac:dyDescent="0.25">
      <c r="D37" s="57"/>
      <c r="E37" s="58"/>
      <c r="F37" s="52"/>
      <c r="G37" s="44"/>
      <c r="H37" s="45"/>
      <c r="I37" s="48"/>
      <c r="J37" s="49"/>
      <c r="K37" s="38"/>
      <c r="L37" s="39"/>
      <c r="M37" s="11"/>
      <c r="N37" s="12"/>
      <c r="O37" s="15"/>
      <c r="P37" s="15"/>
      <c r="Q37" s="14"/>
      <c r="R37" s="22"/>
      <c r="S37" s="22"/>
    </row>
  </sheetData>
  <mergeCells count="60">
    <mergeCell ref="F8:F17"/>
    <mergeCell ref="G8:H9"/>
    <mergeCell ref="F18:F27"/>
    <mergeCell ref="G22:H23"/>
    <mergeCell ref="I8:J9"/>
    <mergeCell ref="I10:J11"/>
    <mergeCell ref="I12:J13"/>
    <mergeCell ref="I14:J15"/>
    <mergeCell ref="I16:J17"/>
    <mergeCell ref="I18:J19"/>
    <mergeCell ref="I20:J21"/>
    <mergeCell ref="I22:J23"/>
    <mergeCell ref="G10:H11"/>
    <mergeCell ref="G12:H13"/>
    <mergeCell ref="G14:H15"/>
    <mergeCell ref="G16:H17"/>
    <mergeCell ref="G18:H19"/>
    <mergeCell ref="G20:H21"/>
    <mergeCell ref="G32:H33"/>
    <mergeCell ref="I28:J29"/>
    <mergeCell ref="I30:J31"/>
    <mergeCell ref="I32:J33"/>
    <mergeCell ref="G24:H25"/>
    <mergeCell ref="I24:J25"/>
    <mergeCell ref="I26:J27"/>
    <mergeCell ref="G26:H27"/>
    <mergeCell ref="Q8:Q13"/>
    <mergeCell ref="R8:S37"/>
    <mergeCell ref="D3:S7"/>
    <mergeCell ref="M8:N10"/>
    <mergeCell ref="O8:P10"/>
    <mergeCell ref="O11:P13"/>
    <mergeCell ref="K8:L37"/>
    <mergeCell ref="M11:N13"/>
    <mergeCell ref="G34:H35"/>
    <mergeCell ref="G36:H37"/>
    <mergeCell ref="I34:J35"/>
    <mergeCell ref="I36:J37"/>
    <mergeCell ref="F28:F37"/>
    <mergeCell ref="D8:E37"/>
    <mergeCell ref="G28:H29"/>
    <mergeCell ref="G30:H31"/>
    <mergeCell ref="M14:N16"/>
    <mergeCell ref="O17:P19"/>
    <mergeCell ref="M17:N19"/>
    <mergeCell ref="O20:P22"/>
    <mergeCell ref="M20:N22"/>
    <mergeCell ref="Q14:Q22"/>
    <mergeCell ref="Q23:Q37"/>
    <mergeCell ref="O23:P25"/>
    <mergeCell ref="O26:P28"/>
    <mergeCell ref="O29:P31"/>
    <mergeCell ref="O32:P34"/>
    <mergeCell ref="O35:P37"/>
    <mergeCell ref="O14:P16"/>
    <mergeCell ref="M23:N25"/>
    <mergeCell ref="M26:N28"/>
    <mergeCell ref="M29:N31"/>
    <mergeCell ref="M32:N34"/>
    <mergeCell ref="M35:N37"/>
  </mergeCells>
  <dataValidations count="4">
    <dataValidation type="list" allowBlank="1" showInputMessage="1" showErrorMessage="1" sqref="I24:J25" xr:uid="{99AB89D4-5C41-44E8-8EAB-CCB52545841F}">
      <formula1>$AF$8:$AG$8</formula1>
    </dataValidation>
    <dataValidation type="list" allowBlank="1" showInputMessage="1" showErrorMessage="1" sqref="I26:J27" xr:uid="{3F2E4ECB-7341-4B2A-9CE1-B257D7E2127B}">
      <formula1>$AF$11:$AG$11</formula1>
    </dataValidation>
    <dataValidation type="list" allowBlank="1" showInputMessage="1" showErrorMessage="1" sqref="I28:J29" xr:uid="{5FC007EF-71ED-4FD6-8C65-F79C86223C0E}">
      <formula1>$AF$14</formula1>
    </dataValidation>
    <dataValidation type="list" allowBlank="1" showInputMessage="1" showErrorMessage="1" sqref="I34:J37" xr:uid="{0D849D9A-C3A9-4519-8229-81EB80FCB053}">
      <formula1>$AF$17:$AG$17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print="0" autoFill="0" autoPict="0" macro="[0]!Main.PriceTree">
                <anchor moveWithCells="1" sizeWithCells="1">
                  <from>
                    <xdr:col>10</xdr:col>
                    <xdr:colOff>57150</xdr:colOff>
                    <xdr:row>20</xdr:row>
                    <xdr:rowOff>38100</xdr:rowOff>
                  </from>
                  <to>
                    <xdr:col>11</xdr:col>
                    <xdr:colOff>561975</xdr:colOff>
                    <xdr:row>23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/>
  <dimension ref="A1:AX51"/>
  <sheetViews>
    <sheetView topLeftCell="A4" zoomScale="85" zoomScaleNormal="85" workbookViewId="0">
      <selection activeCell="J13" sqref="J13"/>
    </sheetView>
  </sheetViews>
  <sheetFormatPr baseColWidth="10" defaultColWidth="9.140625" defaultRowHeight="15" x14ac:dyDescent="0.25"/>
  <cols>
    <col min="1" max="16384" width="9.140625" style="97"/>
  </cols>
  <sheetData>
    <row r="1" spans="1:50" x14ac:dyDescent="0.25">
      <c r="A1" s="96" t="s">
        <v>60</v>
      </c>
      <c r="B1" s="96"/>
      <c r="C1" s="96"/>
    </row>
    <row r="2" spans="1:50" x14ac:dyDescent="0.25">
      <c r="A2" s="96"/>
      <c r="B2" s="96"/>
      <c r="C2" s="96"/>
    </row>
    <row r="3" spans="1:50" x14ac:dyDescent="0.25">
      <c r="A3" s="96"/>
      <c r="B3" s="96"/>
      <c r="C3" s="96"/>
    </row>
    <row r="4" spans="1:50" x14ac:dyDescent="0.25">
      <c r="AV4" s="97">
        <v>213.92177774808914</v>
      </c>
      <c r="AW4" s="97">
        <v>214.13580652238863</v>
      </c>
      <c r="AX4" s="97">
        <v>214.35004943251249</v>
      </c>
    </row>
    <row r="5" spans="1:50" x14ac:dyDescent="0.25">
      <c r="AR5" s="97">
        <v>198.12889296905951</v>
      </c>
      <c r="AS5" s="97">
        <v>198.32712095950478</v>
      </c>
      <c r="AT5" s="97">
        <v>198.52554727708755</v>
      </c>
      <c r="AU5" s="97">
        <v>198.72417212023413</v>
      </c>
      <c r="AV5" s="97">
        <v>198.9229956875694</v>
      </c>
      <c r="AW5" s="97">
        <v>199.12201817791691</v>
      </c>
      <c r="AX5" s="97">
        <v>199.32123979029922</v>
      </c>
    </row>
    <row r="6" spans="1:50" x14ac:dyDescent="0.25">
      <c r="AN6" s="97">
        <v>183.17005515019645</v>
      </c>
      <c r="AO6" s="97">
        <v>183.35331682091018</v>
      </c>
      <c r="AP6" s="97">
        <v>183.53676184495603</v>
      </c>
      <c r="AQ6" s="97">
        <v>183.72039040577903</v>
      </c>
      <c r="AR6" s="97">
        <v>183.90420268700774</v>
      </c>
      <c r="AS6" s="97">
        <v>184.08819887245443</v>
      </c>
      <c r="AT6" s="97">
        <v>184.27237914611536</v>
      </c>
      <c r="AU6" s="97">
        <v>184.45674369217082</v>
      </c>
      <c r="AV6" s="97">
        <v>184.64129269498531</v>
      </c>
      <c r="AW6" s="97">
        <v>184.82602633910787</v>
      </c>
      <c r="AX6" s="97">
        <v>185.01094480927219</v>
      </c>
    </row>
    <row r="7" spans="1:50" x14ac:dyDescent="0.25">
      <c r="AJ7" s="97">
        <v>169.0021431364593</v>
      </c>
      <c r="AK7" s="97">
        <v>169.17122980884139</v>
      </c>
      <c r="AL7" s="97">
        <v>169.34048565246738</v>
      </c>
      <c r="AM7" s="97">
        <v>169.50991083659315</v>
      </c>
      <c r="AN7" s="97">
        <v>169.67950553064387</v>
      </c>
      <c r="AO7" s="97">
        <v>169.84926990421428</v>
      </c>
      <c r="AP7" s="97">
        <v>170.01920412706875</v>
      </c>
      <c r="AQ7" s="97">
        <v>170.18930836914151</v>
      </c>
      <c r="AR7" s="97">
        <v>170.35958280053677</v>
      </c>
      <c r="AS7" s="97">
        <v>170.53002759152903</v>
      </c>
      <c r="AT7" s="97">
        <v>170.70064291256313</v>
      </c>
      <c r="AU7" s="97">
        <v>170.87142893425437</v>
      </c>
      <c r="AV7" s="97">
        <v>171.04238582738878</v>
      </c>
      <c r="AW7" s="97">
        <v>171.2135137629233</v>
      </c>
      <c r="AX7" s="97">
        <v>171.38481291198582</v>
      </c>
    </row>
    <row r="8" spans="1:50" x14ac:dyDescent="0.25">
      <c r="AG8" s="97">
        <v>155.73992365091684</v>
      </c>
      <c r="AH8" s="97">
        <v>155.89574147049271</v>
      </c>
      <c r="AI8" s="97">
        <v>156.05171518582304</v>
      </c>
      <c r="AJ8" s="97">
        <v>156.20784495288154</v>
      </c>
      <c r="AK8" s="97">
        <v>156.36413092779807</v>
      </c>
      <c r="AL8" s="97">
        <v>156.52057326685852</v>
      </c>
      <c r="AM8" s="97">
        <v>156.67717212650527</v>
      </c>
      <c r="AN8" s="97">
        <v>156.83392766333722</v>
      </c>
      <c r="AO8" s="97">
        <v>156.99084003410988</v>
      </c>
      <c r="AP8" s="97">
        <v>157.1479093957357</v>
      </c>
      <c r="AQ8" s="97">
        <v>157.305135905284</v>
      </c>
      <c r="AR8" s="97">
        <v>157.46251971998132</v>
      </c>
      <c r="AS8" s="97">
        <v>157.62006099721148</v>
      </c>
      <c r="AT8" s="97">
        <v>157.77775989451573</v>
      </c>
      <c r="AU8" s="97">
        <v>157.93561656959307</v>
      </c>
      <c r="AV8" s="97">
        <v>158.09363118030012</v>
      </c>
      <c r="AW8" s="97">
        <v>158.25180388465154</v>
      </c>
      <c r="AX8" s="97">
        <v>158.41013484082004</v>
      </c>
    </row>
    <row r="9" spans="1:50" x14ac:dyDescent="0.25">
      <c r="AD9" s="97">
        <v>143.16366721909031</v>
      </c>
      <c r="AE9" s="97">
        <v>143.30690249200958</v>
      </c>
      <c r="AF9" s="97">
        <v>143.45028107184328</v>
      </c>
      <c r="AG9" s="97">
        <v>143.59380310197</v>
      </c>
      <c r="AH9" s="97">
        <v>143.73746872591178</v>
      </c>
      <c r="AI9" s="97">
        <v>143.88127808733429</v>
      </c>
      <c r="AJ9" s="97">
        <v>144.02523133004686</v>
      </c>
      <c r="AK9" s="97">
        <v>144.16932859800281</v>
      </c>
      <c r="AL9" s="97">
        <v>144.31357003529931</v>
      </c>
      <c r="AM9" s="97">
        <v>144.45795578617791</v>
      </c>
      <c r="AN9" s="97">
        <v>144.60248599502432</v>
      </c>
      <c r="AO9" s="97">
        <v>144.74716080636881</v>
      </c>
      <c r="AP9" s="97">
        <v>144.89198036488614</v>
      </c>
      <c r="AQ9" s="97">
        <v>145.03694481539591</v>
      </c>
      <c r="AR9" s="97">
        <v>145.18205430286258</v>
      </c>
      <c r="AS9" s="97">
        <v>145.32730897239566</v>
      </c>
      <c r="AT9" s="97">
        <v>145.47270896924979</v>
      </c>
      <c r="AU9" s="97">
        <v>145.61825443882506</v>
      </c>
      <c r="AV9" s="97">
        <v>145.76394552666684</v>
      </c>
      <c r="AW9" s="97">
        <v>145.9097823784663</v>
      </c>
      <c r="AX9" s="97">
        <v>146.05576514006037</v>
      </c>
    </row>
    <row r="10" spans="1:50" x14ac:dyDescent="0.25">
      <c r="AA10" s="97">
        <v>131.23857978518086</v>
      </c>
      <c r="AB10" s="97">
        <v>131.3698840061345</v>
      </c>
      <c r="AC10" s="97">
        <v>131.50131959698308</v>
      </c>
      <c r="AD10" s="97">
        <v>131.63288668914637</v>
      </c>
      <c r="AE10" s="97">
        <v>131.76458541421968</v>
      </c>
      <c r="AF10" s="97">
        <v>131.89641590389232</v>
      </c>
      <c r="AG10" s="97">
        <v>132.02837828999233</v>
      </c>
      <c r="AH10" s="97">
        <v>132.16047270448169</v>
      </c>
      <c r="AI10" s="97">
        <v>132.29269927945475</v>
      </c>
      <c r="AJ10" s="97">
        <v>132.42505814713815</v>
      </c>
      <c r="AK10" s="97">
        <v>132.55754943989069</v>
      </c>
      <c r="AL10" s="97">
        <v>132.69017329020377</v>
      </c>
      <c r="AM10" s="97">
        <v>132.82292983070118</v>
      </c>
      <c r="AN10" s="97">
        <v>132.95581919413948</v>
      </c>
      <c r="AO10" s="97">
        <v>133.08884151340808</v>
      </c>
      <c r="AP10" s="97">
        <v>133.2219969215293</v>
      </c>
      <c r="AQ10" s="97">
        <v>133.35528555165851</v>
      </c>
      <c r="AR10" s="97">
        <v>133.48870753708434</v>
      </c>
      <c r="AS10" s="97">
        <v>133.62226301122888</v>
      </c>
      <c r="AT10" s="97">
        <v>133.75595210764754</v>
      </c>
      <c r="AU10" s="97">
        <v>133.88977496002946</v>
      </c>
      <c r="AV10" s="97">
        <v>134.02373170219752</v>
      </c>
      <c r="AW10" s="97">
        <v>134.15782246810846</v>
      </c>
      <c r="AX10" s="97">
        <v>134.29204739185303</v>
      </c>
    </row>
    <row r="11" spans="1:50" x14ac:dyDescent="0.25">
      <c r="X11" s="97">
        <v>119.93163014450984</v>
      </c>
      <c r="Y11" s="97">
        <v>120.05162176046302</v>
      </c>
      <c r="Z11" s="97">
        <v>120.17173342804797</v>
      </c>
      <c r="AA11" s="97">
        <v>120.29196526279465</v>
      </c>
      <c r="AB11" s="97">
        <v>120.41231739209478</v>
      </c>
      <c r="AC11" s="97">
        <v>120.53278993493144</v>
      </c>
      <c r="AD11" s="97">
        <v>120.65338301108355</v>
      </c>
      <c r="AE11" s="97">
        <v>120.77409674082087</v>
      </c>
      <c r="AF11" s="97">
        <v>120.89493124472578</v>
      </c>
      <c r="AG11" s="97">
        <v>121.01588664358729</v>
      </c>
      <c r="AH11" s="97">
        <v>121.13696305834833</v>
      </c>
      <c r="AI11" s="97">
        <v>121.25816061008275</v>
      </c>
      <c r="AJ11" s="97">
        <v>121.37947941998787</v>
      </c>
      <c r="AK11" s="97">
        <v>121.50091960938252</v>
      </c>
      <c r="AL11" s="97">
        <v>121.62248129970691</v>
      </c>
      <c r="AM11" s="97">
        <v>121.74416461252275</v>
      </c>
      <c r="AN11" s="97">
        <v>121.86596966951335</v>
      </c>
      <c r="AO11" s="97">
        <v>121.98789659248375</v>
      </c>
      <c r="AP11" s="97">
        <v>122.10994550336095</v>
      </c>
      <c r="AQ11" s="97">
        <v>122.2321165241938</v>
      </c>
      <c r="AR11" s="97">
        <v>122.35440977715335</v>
      </c>
      <c r="AS11" s="97">
        <v>122.47682538453289</v>
      </c>
      <c r="AT11" s="97">
        <v>122.59936346874802</v>
      </c>
      <c r="AU11" s="97">
        <v>122.72202415233683</v>
      </c>
      <c r="AV11" s="97">
        <v>122.84480755796</v>
      </c>
      <c r="AW11" s="97">
        <v>122.96771380840102</v>
      </c>
      <c r="AX11" s="97">
        <v>123.09074302656609</v>
      </c>
    </row>
    <row r="12" spans="1:50" x14ac:dyDescent="0.25">
      <c r="U12" s="97">
        <v>109.2114610874445</v>
      </c>
      <c r="V12" s="97">
        <v>109.32072717246895</v>
      </c>
      <c r="W12" s="97">
        <v>109.43010257822968</v>
      </c>
      <c r="X12" s="97">
        <v>109.5395871955932</v>
      </c>
      <c r="Y12" s="97">
        <v>109.64918144144131</v>
      </c>
      <c r="Z12" s="97">
        <v>109.75888539247245</v>
      </c>
      <c r="AA12" s="97">
        <v>109.86869913692991</v>
      </c>
      <c r="AB12" s="97">
        <v>109.97862276968013</v>
      </c>
      <c r="AC12" s="97">
        <v>110.08865639145446</v>
      </c>
      <c r="AD12" s="97">
        <v>110.19880010698409</v>
      </c>
      <c r="AE12" s="97">
        <v>110.30905402358255</v>
      </c>
      <c r="AF12" s="97">
        <v>110.41941825013063</v>
      </c>
      <c r="AG12" s="97">
        <v>110.52989289640203</v>
      </c>
      <c r="AH12" s="97">
        <v>110.64047807265447</v>
      </c>
      <c r="AI12" s="97">
        <v>110.75117388940934</v>
      </c>
      <c r="AJ12" s="97">
        <v>110.86198045734882</v>
      </c>
      <c r="AK12" s="97">
        <v>110.97289788727798</v>
      </c>
      <c r="AL12" s="97">
        <v>111.08392629011432</v>
      </c>
      <c r="AM12" s="97">
        <v>111.19506577688621</v>
      </c>
      <c r="AN12" s="97">
        <v>111.30631645873314</v>
      </c>
      <c r="AO12" s="97">
        <v>111.4176784469058</v>
      </c>
      <c r="AP12" s="97">
        <v>111.52915185276616</v>
      </c>
      <c r="AQ12" s="97">
        <v>111.64073678778766</v>
      </c>
      <c r="AR12" s="97">
        <v>111.75243336355526</v>
      </c>
      <c r="AS12" s="97">
        <v>111.86424169176553</v>
      </c>
      <c r="AT12" s="97">
        <v>111.97616188422685</v>
      </c>
      <c r="AU12" s="97">
        <v>112.08819405285938</v>
      </c>
      <c r="AV12" s="97">
        <v>112.20033830969531</v>
      </c>
      <c r="AW12" s="97">
        <v>112.3125947668789</v>
      </c>
      <c r="AX12" s="97">
        <v>112.42496353666661</v>
      </c>
    </row>
    <row r="13" spans="1:50" x14ac:dyDescent="0.25">
      <c r="R13" s="97">
        <v>99.048313505407194</v>
      </c>
      <c r="S13" s="97">
        <v>99.147411359581525</v>
      </c>
      <c r="T13" s="97">
        <v>99.24660836117549</v>
      </c>
      <c r="U13" s="97">
        <v>99.345900842382861</v>
      </c>
      <c r="V13" s="97">
        <v>99.44529376469508</v>
      </c>
      <c r="W13" s="97">
        <v>99.544786943829635</v>
      </c>
      <c r="X13" s="97">
        <v>99.644380298563235</v>
      </c>
      <c r="Y13" s="97">
        <v>99.744073742010173</v>
      </c>
      <c r="Z13" s="97">
        <v>99.843867231986366</v>
      </c>
      <c r="AA13" s="97">
        <v>99.943760763602043</v>
      </c>
      <c r="AB13" s="97">
        <v>100.0437543624891</v>
      </c>
      <c r="AC13" s="97">
        <v>100.1438480782147</v>
      </c>
      <c r="AD13" s="97">
        <v>100.24404197835067</v>
      </c>
      <c r="AE13" s="97">
        <v>100.3443361433667</v>
      </c>
      <c r="AF13" s="97">
        <v>100.44473066245354</v>
      </c>
      <c r="AG13" s="97">
        <v>100.5452256303055</v>
      </c>
      <c r="AH13" s="97">
        <v>100.64582114481439</v>
      </c>
      <c r="AI13" s="97">
        <v>100.74651730555684</v>
      </c>
      <c r="AJ13" s="97">
        <v>100.84731421290726</v>
      </c>
      <c r="AK13" s="97">
        <v>100.94821196758937</v>
      </c>
      <c r="AL13" s="97">
        <v>101.04921067049183</v>
      </c>
      <c r="AM13" s="97">
        <v>101.15031042261343</v>
      </c>
      <c r="AN13" s="97">
        <v>101.25151132505385</v>
      </c>
      <c r="AO13" s="97">
        <v>101.35281347901405</v>
      </c>
      <c r="AP13" s="97">
        <v>101.45421698579612</v>
      </c>
      <c r="AQ13" s="97">
        <v>101.55572194680366</v>
      </c>
      <c r="AR13" s="97">
        <v>101.65732846354162</v>
      </c>
      <c r="AS13" s="97">
        <v>101.75903663761652</v>
      </c>
      <c r="AT13" s="97">
        <v>101.86084657073653</v>
      </c>
      <c r="AU13" s="97">
        <v>101.96275836471159</v>
      </c>
      <c r="AV13" s="97">
        <v>102.06477212145353</v>
      </c>
      <c r="AW13" s="97">
        <v>102.16688794297609</v>
      </c>
      <c r="AX13" s="97">
        <v>102.2691059313951</v>
      </c>
    </row>
    <row r="14" spans="1:50" x14ac:dyDescent="0.25">
      <c r="P14" s="97">
        <v>89.50348517312284</v>
      </c>
      <c r="Q14" s="97">
        <v>89.593033424959529</v>
      </c>
      <c r="R14" s="97">
        <v>89.682638106619024</v>
      </c>
      <c r="S14" s="97">
        <v>89.772339177800248</v>
      </c>
      <c r="T14" s="97">
        <v>89.862135458383648</v>
      </c>
      <c r="U14" s="97">
        <v>89.952026734869293</v>
      </c>
      <c r="V14" s="97">
        <v>90.042012087160558</v>
      </c>
      <c r="W14" s="97">
        <v>90.132090733163054</v>
      </c>
      <c r="X14" s="97">
        <v>90.222262013697446</v>
      </c>
      <c r="Y14" s="97">
        <v>90.312525394874314</v>
      </c>
      <c r="Z14" s="97">
        <v>90.402880459056405</v>
      </c>
      <c r="AA14" s="97">
        <v>90.493326894052871</v>
      </c>
      <c r="AB14" s="97">
        <v>90.583864480825909</v>
      </c>
      <c r="AC14" s="97">
        <v>90.674493080224181</v>
      </c>
      <c r="AD14" s="97">
        <v>90.765212619302744</v>
      </c>
      <c r="AE14" s="97">
        <v>90.856023077844014</v>
      </c>
      <c r="AF14" s="97">
        <v>90.946924475696846</v>
      </c>
      <c r="AG14" s="97">
        <v>91.037916861493827</v>
      </c>
      <c r="AH14" s="97">
        <v>91.12900030318383</v>
      </c>
      <c r="AI14" s="97">
        <v>91.220174880630523</v>
      </c>
      <c r="AJ14" s="97">
        <v>91.311440680305282</v>
      </c>
      <c r="AK14" s="97">
        <v>91.402797791875201</v>
      </c>
      <c r="AL14" s="97">
        <v>91.494246306303566</v>
      </c>
      <c r="AM14" s="97">
        <v>91.585786314985867</v>
      </c>
      <c r="AN14" s="97">
        <v>91.677417909462136</v>
      </c>
      <c r="AO14" s="97">
        <v>91.769141181363906</v>
      </c>
      <c r="AP14" s="97">
        <v>91.860956222414544</v>
      </c>
      <c r="AQ14" s="97">
        <v>91.952863124429044</v>
      </c>
      <c r="AR14" s="97">
        <v>92.044861979314348</v>
      </c>
      <c r="AS14" s="97">
        <v>92.136952879069327</v>
      </c>
      <c r="AT14" s="97">
        <v>92.229135915784809</v>
      </c>
      <c r="AU14" s="97">
        <v>92.32141118164391</v>
      </c>
      <c r="AV14" s="97">
        <v>92.413778768921887</v>
      </c>
      <c r="AW14" s="97">
        <v>92.506238769986339</v>
      </c>
      <c r="AX14" s="97">
        <v>92.598791277297266</v>
      </c>
    </row>
    <row r="15" spans="1:50" x14ac:dyDescent="0.25">
      <c r="N15" s="97">
        <v>80.442910916820153</v>
      </c>
      <c r="O15" s="97">
        <v>80.523394062602932</v>
      </c>
      <c r="P15" s="97">
        <v>80.603801348370155</v>
      </c>
      <c r="Q15" s="97">
        <v>80.684309405036103</v>
      </c>
      <c r="R15" s="97">
        <v>80.764921900858923</v>
      </c>
      <c r="S15" s="97">
        <v>80.845635975746546</v>
      </c>
      <c r="T15" s="97">
        <v>80.926448985047017</v>
      </c>
      <c r="U15" s="97">
        <v>81.007358337560476</v>
      </c>
      <c r="V15" s="97">
        <v>81.088361648952088</v>
      </c>
      <c r="W15" s="97">
        <v>81.169456754447651</v>
      </c>
      <c r="X15" s="97">
        <v>81.250641720244687</v>
      </c>
      <c r="Y15" s="97">
        <v>81.331914849336826</v>
      </c>
      <c r="Z15" s="97">
        <v>81.413274682752629</v>
      </c>
      <c r="AA15" s="97">
        <v>81.494719995814478</v>
      </c>
      <c r="AB15" s="97">
        <v>81.57624978923478</v>
      </c>
      <c r="AC15" s="97">
        <v>81.657863275116142</v>
      </c>
      <c r="AD15" s="97">
        <v>81.739559858234074</v>
      </c>
      <c r="AE15" s="97">
        <v>81.821339113330524</v>
      </c>
      <c r="AF15" s="97">
        <v>81.903200759504472</v>
      </c>
      <c r="AG15" s="97">
        <v>81.985144633104156</v>
      </c>
      <c r="AH15" s="97">
        <v>82.067170660748019</v>
      </c>
      <c r="AI15" s="97">
        <v>82.149278834161208</v>
      </c>
      <c r="AJ15" s="97">
        <v>82.231469188353785</v>
      </c>
      <c r="AK15" s="97">
        <v>82.313741784259307</v>
      </c>
      <c r="AL15" s="97">
        <v>82.3960966963256</v>
      </c>
      <c r="AM15" s="97">
        <v>82.478534004806392</v>
      </c>
      <c r="AN15" s="97">
        <v>82.561053791828044</v>
      </c>
      <c r="AO15" s="97">
        <v>82.643656139910377</v>
      </c>
      <c r="AP15" s="97">
        <v>82.726341131655744</v>
      </c>
      <c r="AQ15" s="97">
        <v>82.809108849749123</v>
      </c>
      <c r="AR15" s="97">
        <v>82.891959376958297</v>
      </c>
      <c r="AS15" s="97">
        <v>82.974892796133702</v>
      </c>
      <c r="AT15" s="97">
        <v>83.057909190208846</v>
      </c>
      <c r="AU15" s="97">
        <v>83.141008642200077</v>
      </c>
      <c r="AV15" s="97">
        <v>83.224191235206888</v>
      </c>
      <c r="AW15" s="97">
        <v>83.307457052411877</v>
      </c>
      <c r="AX15" s="97">
        <v>83.390806177080862</v>
      </c>
    </row>
    <row r="16" spans="1:50" x14ac:dyDescent="0.25">
      <c r="L16" s="97">
        <v>71.844092978585053</v>
      </c>
      <c r="M16" s="97">
        <v>71.915973005587134</v>
      </c>
      <c r="N16" s="97">
        <v>71.987365843391089</v>
      </c>
      <c r="O16" s="97">
        <v>72.058873183867206</v>
      </c>
      <c r="P16" s="97">
        <v>72.130519557828435</v>
      </c>
      <c r="Q16" s="97">
        <v>72.202300621762575</v>
      </c>
      <c r="R16" s="97">
        <v>72.274210950128293</v>
      </c>
      <c r="S16" s="97">
        <v>72.346245157819496</v>
      </c>
      <c r="T16" s="97">
        <v>72.418397927426625</v>
      </c>
      <c r="U16" s="97">
        <v>72.490664075248745</v>
      </c>
      <c r="V16" s="97">
        <v>72.563038596259119</v>
      </c>
      <c r="W16" s="97">
        <v>72.635516709524367</v>
      </c>
      <c r="X16" s="97">
        <v>72.708093902443849</v>
      </c>
      <c r="Y16" s="97">
        <v>72.780765972636544</v>
      </c>
      <c r="Z16" s="97">
        <v>72.853529065850694</v>
      </c>
      <c r="AA16" s="97">
        <v>72.926379708115604</v>
      </c>
      <c r="AB16" s="97">
        <v>72.999314830273391</v>
      </c>
      <c r="AC16" s="97">
        <v>73.072331783068094</v>
      </c>
      <c r="AD16" s="97">
        <v>73.145428341172519</v>
      </c>
      <c r="AE16" s="97">
        <v>73.218602694943741</v>
      </c>
      <c r="AF16" s="97">
        <v>73.291853429350226</v>
      </c>
      <c r="AG16" s="97">
        <v>73.365179490417916</v>
      </c>
      <c r="AH16" s="97">
        <v>73.43858014066447</v>
      </c>
      <c r="AI16" s="97">
        <v>73.512054906234795</v>
      </c>
      <c r="AJ16" s="97">
        <v>73.585603519639079</v>
      </c>
      <c r="AK16" s="97">
        <v>73.659225862863281</v>
      </c>
      <c r="AL16" s="97">
        <v>73.732921915855215</v>
      </c>
      <c r="AM16" s="97">
        <v>73.806691714699667</v>
      </c>
      <c r="AN16" s="97">
        <v>73.880535322064404</v>
      </c>
      <c r="AO16" s="97">
        <v>73.954452809970633</v>
      </c>
      <c r="AP16" s="97">
        <v>74.028444252335831</v>
      </c>
      <c r="AQ16" s="97">
        <v>74.102509723151456</v>
      </c>
      <c r="AR16" s="97">
        <v>74.176649296482978</v>
      </c>
      <c r="AS16" s="97">
        <v>74.250863046469988</v>
      </c>
      <c r="AT16" s="97">
        <v>74.325151047326187</v>
      </c>
      <c r="AU16" s="97">
        <v>74.399513373339659</v>
      </c>
      <c r="AV16" s="97">
        <v>74.47395009887272</v>
      </c>
      <c r="AW16" s="97">
        <v>74.548461298362085</v>
      </c>
      <c r="AX16" s="97">
        <v>74.623047046318931</v>
      </c>
    </row>
    <row r="17" spans="1:50" x14ac:dyDescent="0.25">
      <c r="K17" s="97">
        <v>63.75237691159542</v>
      </c>
      <c r="L17" s="97">
        <v>63.814554673234241</v>
      </c>
      <c r="M17" s="97">
        <v>63.876846166103697</v>
      </c>
      <c r="N17" s="97">
        <v>63.939347004077433</v>
      </c>
      <c r="O17" s="97">
        <v>64.002055448609326</v>
      </c>
      <c r="P17" s="97">
        <v>64.064964579294369</v>
      </c>
      <c r="Q17" s="97">
        <v>64.128066944894968</v>
      </c>
      <c r="R17" s="97">
        <v>64.191354771105622</v>
      </c>
      <c r="S17" s="97">
        <v>64.254819999976064</v>
      </c>
      <c r="T17" s="97">
        <v>64.318454341183127</v>
      </c>
      <c r="U17" s="97">
        <v>64.38224932840167</v>
      </c>
      <c r="V17" s="97">
        <v>64.446196384628848</v>
      </c>
      <c r="W17" s="97">
        <v>64.510286896371042</v>
      </c>
      <c r="X17" s="97">
        <v>64.574512296315291</v>
      </c>
      <c r="Y17" s="97">
        <v>64.63886415358941</v>
      </c>
      <c r="Z17" s="97">
        <v>64.703334270121985</v>
      </c>
      <c r="AA17" s="97">
        <v>64.767914780908569</v>
      </c>
      <c r="AB17" s="97">
        <v>64.832598255186639</v>
      </c>
      <c r="AC17" s="97">
        <v>64.897377794657103</v>
      </c>
      <c r="AD17" s="97">
        <v>64.962247124030753</v>
      </c>
      <c r="AE17" s="97">
        <v>65.027200668431462</v>
      </c>
      <c r="AF17" s="97">
        <v>65.092233611709233</v>
      </c>
      <c r="AG17" s="97">
        <v>65.15734192970713</v>
      </c>
      <c r="AH17" s="97">
        <v>65.222522393231884</v>
      </c>
      <c r="AI17" s="97">
        <v>65.287772537143383</v>
      </c>
      <c r="AJ17" s="97">
        <v>65.353090594786551</v>
      </c>
      <c r="AK17" s="97">
        <v>65.418475400947642</v>
      </c>
      <c r="AL17" s="97">
        <v>65.483926271294763</v>
      </c>
      <c r="AM17" s="97">
        <v>65.549442871033989</v>
      </c>
      <c r="AN17" s="97">
        <v>65.615025088861628</v>
      </c>
      <c r="AO17" s="97">
        <v>65.680672932401606</v>
      </c>
      <c r="AP17" s="97">
        <v>65.746386456619987</v>
      </c>
      <c r="AQ17" s="97">
        <v>65.812165727230308</v>
      </c>
      <c r="AR17" s="97">
        <v>65.878010810011858</v>
      </c>
      <c r="AS17" s="97">
        <v>65.943921770809666</v>
      </c>
      <c r="AT17" s="97">
        <v>66.009898675534771</v>
      </c>
      <c r="AU17" s="97">
        <v>66.075941590164049</v>
      </c>
      <c r="AV17" s="97">
        <v>66.142050580740403</v>
      </c>
      <c r="AW17" s="97">
        <v>66.208225713372869</v>
      </c>
      <c r="AX17" s="97">
        <v>66.274467054236567</v>
      </c>
    </row>
    <row r="18" spans="1:50" x14ac:dyDescent="0.25">
      <c r="J18" s="97">
        <v>56.073528919075045</v>
      </c>
      <c r="K18" s="97">
        <v>56.125766364122654</v>
      </c>
      <c r="L18" s="97">
        <v>56.178308508297981</v>
      </c>
      <c r="M18" s="97">
        <v>56.231168202587398</v>
      </c>
      <c r="N18" s="97">
        <v>56.284341284256435</v>
      </c>
      <c r="O18" s="97">
        <v>56.337822031449363</v>
      </c>
      <c r="P18" s="97">
        <v>56.391603907877041</v>
      </c>
      <c r="Q18" s="97">
        <v>56.445679570849535</v>
      </c>
      <c r="R18" s="97">
        <v>56.500040857630253</v>
      </c>
      <c r="S18" s="97">
        <v>56.554678780520561</v>
      </c>
      <c r="T18" s="97">
        <v>56.609583531846667</v>
      </c>
      <c r="U18" s="97">
        <v>56.664744501593276</v>
      </c>
      <c r="V18" s="97">
        <v>56.720150310018511</v>
      </c>
      <c r="W18" s="97">
        <v>56.775788857721388</v>
      </c>
      <c r="X18" s="97">
        <v>56.831647395661506</v>
      </c>
      <c r="Y18" s="97">
        <v>56.887712617530788</v>
      </c>
      <c r="Z18" s="97">
        <v>56.943970776579853</v>
      </c>
      <c r="AA18" s="97">
        <v>57.000407828434376</v>
      </c>
      <c r="AB18" s="97">
        <v>57.057009600515187</v>
      </c>
      <c r="AC18" s="97">
        <v>57.113761987304372</v>
      </c>
      <c r="AD18" s="97">
        <v>57.170651168790876</v>
      </c>
      <c r="AE18" s="97">
        <v>57.227663846915348</v>
      </c>
      <c r="AF18" s="97">
        <v>57.284787491708926</v>
      </c>
      <c r="AG18" s="97">
        <v>57.342010585181995</v>
      </c>
      <c r="AH18" s="97">
        <v>57.399322847150692</v>
      </c>
      <c r="AI18" s="97">
        <v>57.456715423636382</v>
      </c>
      <c r="AJ18" s="97">
        <v>57.514181016140618</v>
      </c>
      <c r="AK18" s="97">
        <v>57.571713930286066</v>
      </c>
      <c r="AL18" s="97">
        <v>57.629310026637008</v>
      </c>
      <c r="AM18" s="97">
        <v>57.68696656655856</v>
      </c>
      <c r="AN18" s="97">
        <v>57.744681962506256</v>
      </c>
      <c r="AO18" s="97">
        <v>57.802455463765028</v>
      </c>
      <c r="AP18" s="97">
        <v>57.860286830092683</v>
      </c>
      <c r="AQ18" s="97">
        <v>57.918176056711985</v>
      </c>
      <c r="AR18" s="97">
        <v>57.976123201512159</v>
      </c>
      <c r="AS18" s="97">
        <v>58.034128322440374</v>
      </c>
      <c r="AT18" s="97">
        <v>58.09219147750175</v>
      </c>
      <c r="AU18" s="97">
        <v>58.150312724759445</v>
      </c>
      <c r="AV18" s="97">
        <v>58.208492122334711</v>
      </c>
      <c r="AW18" s="97">
        <v>58.266729728406951</v>
      </c>
      <c r="AX18" s="97">
        <v>58.325025601213781</v>
      </c>
    </row>
    <row r="19" spans="1:50" x14ac:dyDescent="0.25">
      <c r="I19" s="97">
        <v>48.803930428324691</v>
      </c>
      <c r="J19" s="97">
        <v>48.844951208130539</v>
      </c>
      <c r="K19" s="97">
        <v>48.886403639198427</v>
      </c>
      <c r="L19" s="97">
        <v>48.928292725176924</v>
      </c>
      <c r="M19" s="97">
        <v>48.970619973092305</v>
      </c>
      <c r="N19" s="97">
        <v>49.013385911282988</v>
      </c>
      <c r="O19" s="97">
        <v>49.056590129916231</v>
      </c>
      <c r="P19" s="97">
        <v>49.10023119376838</v>
      </c>
      <c r="Q19" s="97">
        <v>49.144306547015908</v>
      </c>
      <c r="R19" s="97">
        <v>49.188812415747904</v>
      </c>
      <c r="S19" s="97">
        <v>49.233743709631796</v>
      </c>
      <c r="T19" s="97">
        <v>49.279093924816628</v>
      </c>
      <c r="U19" s="97">
        <v>49.32485505066014</v>
      </c>
      <c r="V19" s="97">
        <v>49.37101748357852</v>
      </c>
      <c r="W19" s="97">
        <v>49.41756995214859</v>
      </c>
      <c r="X19" s="97">
        <v>49.46449945854436</v>
      </c>
      <c r="Y19" s="97">
        <v>49.511791242449824</v>
      </c>
      <c r="Z19" s="97">
        <v>49.559428774723315</v>
      </c>
      <c r="AA19" s="97">
        <v>49.607393789231338</v>
      </c>
      <c r="AB19" s="97">
        <v>49.655666362312886</v>
      </c>
      <c r="AC19" s="97">
        <v>49.704225050104014</v>
      </c>
      <c r="AD19" s="97">
        <v>49.753047094186819</v>
      </c>
      <c r="AE19" s="97">
        <v>49.802108705358364</v>
      </c>
      <c r="AF19" s="97">
        <v>49.851385433240068</v>
      </c>
      <c r="AG19" s="97">
        <v>49.900852625334196</v>
      </c>
      <c r="AH19" s="97">
        <v>49.95048597224266</v>
      </c>
      <c r="AI19" s="97">
        <v>50.000262125364898</v>
      </c>
      <c r="AJ19" s="97">
        <v>50.05015935900169</v>
      </c>
      <c r="AK19" s="97">
        <v>50.100158230618291</v>
      </c>
      <c r="AL19" s="97">
        <v>50.15024217269373</v>
      </c>
      <c r="AM19" s="97">
        <v>50.200397931177079</v>
      </c>
      <c r="AN19" s="97">
        <v>50.250615756720997</v>
      </c>
      <c r="AO19" s="97">
        <v>50.300889267254504</v>
      </c>
      <c r="AP19" s="97">
        <v>50.351214948019582</v>
      </c>
      <c r="AQ19" s="97">
        <v>50.401591346969035</v>
      </c>
      <c r="AR19" s="97">
        <v>50.452018147514039</v>
      </c>
      <c r="AS19" s="97">
        <v>50.502495400081401</v>
      </c>
      <c r="AT19" s="97">
        <v>50.553023155148374</v>
      </c>
      <c r="AU19" s="97">
        <v>50.603601463242718</v>
      </c>
      <c r="AV19" s="97">
        <v>50.654230374942728</v>
      </c>
      <c r="AW19" s="97">
        <v>50.704909940877343</v>
      </c>
      <c r="AX19" s="97">
        <v>50.755640211726131</v>
      </c>
    </row>
    <row r="20" spans="1:50" x14ac:dyDescent="0.25">
      <c r="H20" s="97">
        <v>41.951449804526128</v>
      </c>
      <c r="I20" s="97">
        <v>41.979310145168412</v>
      </c>
      <c r="J20" s="97">
        <v>42.007682075855037</v>
      </c>
      <c r="K20" s="97">
        <v>42.036577937284221</v>
      </c>
      <c r="L20" s="97">
        <v>42.066009331098449</v>
      </c>
      <c r="M20" s="97">
        <v>42.095987466148266</v>
      </c>
      <c r="N20" s="97">
        <v>42.126523077007597</v>
      </c>
      <c r="O20" s="97">
        <v>42.157626308366886</v>
      </c>
      <c r="P20" s="97">
        <v>42.189306583864621</v>
      </c>
      <c r="Q20" s="97">
        <v>42.221572458841507</v>
      </c>
      <c r="R20" s="97">
        <v>42.254431455803626</v>
      </c>
      <c r="S20" s="97">
        <v>42.287889881522723</v>
      </c>
      <c r="T20" s="97">
        <v>42.321952624914218</v>
      </c>
      <c r="U20" s="97">
        <v>42.356622935200868</v>
      </c>
      <c r="V20" s="97">
        <v>42.391902180422996</v>
      </c>
      <c r="W20" s="97">
        <v>42.427789587158138</v>
      </c>
      <c r="X20" s="97">
        <v>42.464281963438225</v>
      </c>
      <c r="Y20" s="97">
        <v>42.501373408394542</v>
      </c>
      <c r="Z20" s="97">
        <v>42.539055014230222</v>
      </c>
      <c r="AA20" s="97">
        <v>42.57731456884207</v>
      </c>
      <c r="AB20" s="97">
        <v>42.616136270920947</v>
      </c>
      <c r="AC20" s="97">
        <v>42.655500473775923</v>
      </c>
      <c r="AD20" s="97">
        <v>42.695383479535202</v>
      </c>
      <c r="AE20" s="97">
        <v>42.735757411758641</v>
      </c>
      <c r="AF20" s="97">
        <v>42.776590201646272</v>
      </c>
      <c r="AG20" s="97">
        <v>42.817845730392278</v>
      </c>
      <c r="AH20" s="97">
        <v>42.859484176700668</v>
      </c>
      <c r="AI20" s="97">
        <v>42.901462622057103</v>
      </c>
      <c r="AJ20" s="97">
        <v>42.943735963791717</v>
      </c>
      <c r="AK20" s="97">
        <v>42.986258172379756</v>
      </c>
      <c r="AL20" s="97">
        <v>43.028983898131443</v>
      </c>
      <c r="AM20" s="97">
        <v>43.071870375558696</v>
      </c>
      <c r="AN20" s="97">
        <v>43.114879484628112</v>
      </c>
      <c r="AO20" s="97">
        <v>43.157979707274343</v>
      </c>
      <c r="AP20" s="97">
        <v>43.201147584119397</v>
      </c>
      <c r="AQ20" s="97">
        <v>43.244368186448767</v>
      </c>
      <c r="AR20" s="97">
        <v>43.287634184028512</v>
      </c>
      <c r="AS20" s="97">
        <v>43.330943469246044</v>
      </c>
      <c r="AT20" s="97">
        <v>43.374296085410656</v>
      </c>
      <c r="AU20" s="97">
        <v>43.417692075874967</v>
      </c>
      <c r="AV20" s="97">
        <v>43.461131484034965</v>
      </c>
      <c r="AW20" s="97">
        <v>43.504614353330076</v>
      </c>
      <c r="AX20" s="97">
        <v>43.54814072724318</v>
      </c>
    </row>
    <row r="21" spans="1:50" x14ac:dyDescent="0.25">
      <c r="G21" s="97">
        <v>35.538151461835426</v>
      </c>
      <c r="H21" s="97">
        <v>35.550626491429384</v>
      </c>
      <c r="I21" s="97">
        <v>35.563601137241761</v>
      </c>
      <c r="J21" s="97">
        <v>35.577096599697235</v>
      </c>
      <c r="K21" s="97">
        <v>35.591134597896591</v>
      </c>
      <c r="L21" s="97">
        <v>35.605737415795232</v>
      </c>
      <c r="M21" s="97">
        <v>35.620927868152741</v>
      </c>
      <c r="N21" s="97">
        <v>35.636729250571911</v>
      </c>
      <c r="O21" s="97">
        <v>35.653165274554866</v>
      </c>
      <c r="P21" s="97">
        <v>35.670259984928528</v>
      </c>
      <c r="Q21" s="97">
        <v>35.688037656421081</v>
      </c>
      <c r="R21" s="97">
        <v>35.7065226656646</v>
      </c>
      <c r="S21" s="97">
        <v>35.725739334330882</v>
      </c>
      <c r="T21" s="97">
        <v>35.745711738487714</v>
      </c>
      <c r="U21" s="97">
        <v>35.766463478597657</v>
      </c>
      <c r="V21" s="97">
        <v>35.788017403893917</v>
      </c>
      <c r="W21" s="97">
        <v>35.810395284192275</v>
      </c>
      <c r="X21" s="97">
        <v>35.833617421596657</v>
      </c>
      <c r="Y21" s="97">
        <v>35.857702194123348</v>
      </c>
      <c r="Z21" s="97">
        <v>35.882665523151609</v>
      </c>
      <c r="AA21" s="97">
        <v>35.908520257024705</v>
      </c>
      <c r="AB21" s="97">
        <v>35.935275464397513</v>
      </c>
      <c r="AC21" s="97">
        <v>35.962935633514384</v>
      </c>
      <c r="AD21" s="97">
        <v>35.991499778156651</v>
      </c>
      <c r="AE21" s="97">
        <v>36.020960458418159</v>
      </c>
      <c r="AF21" s="97">
        <v>36.051302735947083</v>
      </c>
      <c r="AG21" s="97">
        <v>36.082503100363411</v>
      </c>
      <c r="AH21" s="97">
        <v>36.11452842805334</v>
      </c>
      <c r="AI21" s="97">
        <v>36.14733506837932</v>
      </c>
      <c r="AJ21" s="97">
        <v>36.180868197010085</v>
      </c>
      <c r="AK21" s="97">
        <v>36.215061631413164</v>
      </c>
      <c r="AL21" s="97">
        <v>36.249838365418611</v>
      </c>
      <c r="AM21" s="97">
        <v>36.285112135806664</v>
      </c>
      <c r="AN21" s="97">
        <v>36.320790356701409</v>
      </c>
      <c r="AO21" s="97">
        <v>36.356778695282635</v>
      </c>
      <c r="AP21" s="97">
        <v>36.39298732959714</v>
      </c>
      <c r="AQ21" s="97">
        <v>36.429338410681417</v>
      </c>
      <c r="AR21" s="97">
        <v>36.465773350363797</v>
      </c>
      <c r="AS21" s="97">
        <v>36.502257362679977</v>
      </c>
      <c r="AT21" s="97">
        <v>36.538777877256585</v>
      </c>
      <c r="AU21" s="97">
        <v>36.575334930614098</v>
      </c>
      <c r="AV21" s="97">
        <v>36.61192855930959</v>
      </c>
      <c r="AW21" s="97">
        <v>36.648558799936694</v>
      </c>
      <c r="AX21" s="97">
        <v>36.685225689125645</v>
      </c>
    </row>
    <row r="22" spans="1:50" x14ac:dyDescent="0.25">
      <c r="F22" s="97">
        <v>29.600193995631603</v>
      </c>
      <c r="G22" s="97">
        <v>29.595402898300197</v>
      </c>
      <c r="H22" s="97">
        <v>29.590969030494822</v>
      </c>
      <c r="I22" s="97">
        <v>29.58691728339187</v>
      </c>
      <c r="J22" s="97">
        <v>29.583273928340187</v>
      </c>
      <c r="K22" s="97">
        <v>29.580066701612044</v>
      </c>
      <c r="L22" s="97">
        <v>29.577324878550616</v>
      </c>
      <c r="M22" s="97">
        <v>29.575079347431341</v>
      </c>
      <c r="N22" s="97">
        <v>29.573362682480038</v>
      </c>
      <c r="O22" s="97">
        <v>29.572209214608772</v>
      </c>
      <c r="P22" s="97">
        <v>29.571655097965586</v>
      </c>
      <c r="Q22" s="97">
        <v>29.571738369833941</v>
      </c>
      <c r="R22" s="97">
        <v>29.572499000711719</v>
      </c>
      <c r="S22" s="97">
        <v>29.573978930514333</v>
      </c>
      <c r="T22" s="97">
        <v>29.576222085735004</v>
      </c>
      <c r="U22" s="97">
        <v>29.579274371005287</v>
      </c>
      <c r="V22" s="97">
        <v>29.583183626762239</v>
      </c>
      <c r="W22" s="97">
        <v>29.587999542567225</v>
      </c>
      <c r="X22" s="97">
        <v>29.59377351294091</v>
      </c>
      <c r="Y22" s="97">
        <v>29.600558419272964</v>
      </c>
      <c r="Z22" s="97">
        <v>29.60840831731689</v>
      </c>
      <c r="AA22" s="97">
        <v>29.617378004874706</v>
      </c>
      <c r="AB22" s="97">
        <v>29.627522438415134</v>
      </c>
      <c r="AC22" s="97">
        <v>29.638895960515267</v>
      </c>
      <c r="AD22" s="97">
        <v>29.651551292255419</v>
      </c>
      <c r="AE22" s="97">
        <v>29.665538236361549</v>
      </c>
      <c r="AF22" s="97">
        <v>29.680902028760038</v>
      </c>
      <c r="AG22" s="97">
        <v>29.697681269848456</v>
      </c>
      <c r="AH22" s="97">
        <v>29.715905365093349</v>
      </c>
      <c r="AI22" s="97">
        <v>29.73559141263431</v>
      </c>
      <c r="AJ22" s="97">
        <v>29.756740502002433</v>
      </c>
      <c r="AK22" s="97">
        <v>29.77933344680126</v>
      </c>
      <c r="AL22" s="97">
        <v>29.80332608687052</v>
      </c>
      <c r="AM22" s="97">
        <v>29.828644493461134</v>
      </c>
      <c r="AN22" s="97">
        <v>29.855180735150466</v>
      </c>
      <c r="AO22" s="97">
        <v>29.882790354144614</v>
      </c>
      <c r="AP22" s="97">
        <v>29.911293373085023</v>
      </c>
      <c r="AQ22" s="97">
        <v>29.940481398058616</v>
      </c>
      <c r="AR22" s="97">
        <v>29.970133797826662</v>
      </c>
      <c r="AS22" s="97">
        <v>30.000044955695888</v>
      </c>
      <c r="AT22" s="97">
        <v>30.030060005675313</v>
      </c>
      <c r="AU22" s="97">
        <v>30.060105085717254</v>
      </c>
      <c r="AV22" s="97">
        <v>30.090180225866792</v>
      </c>
      <c r="AW22" s="97">
        <v>30.120285456199053</v>
      </c>
      <c r="AX22" s="97">
        <v>30.150420806819284</v>
      </c>
    </row>
    <row r="23" spans="1:50" x14ac:dyDescent="0.25">
      <c r="E23" s="97">
        <v>24.183837526608954</v>
      </c>
      <c r="F23" s="97">
        <v>24.16099291417526</v>
      </c>
      <c r="G23" s="97">
        <v>24.138233607367653</v>
      </c>
      <c r="H23" s="97">
        <v>24.1155794522166</v>
      </c>
      <c r="I23" s="97">
        <v>24.09305188455836</v>
      </c>
      <c r="J23" s="97">
        <v>24.070674068586541</v>
      </c>
      <c r="K23" s="97">
        <v>24.04847104626101</v>
      </c>
      <c r="L23" s="97">
        <v>24.026469900670989</v>
      </c>
      <c r="M23" s="97">
        <v>24.004699934759081</v>
      </c>
      <c r="N23" s="97">
        <v>23.983192866808775</v>
      </c>
      <c r="O23" s="97">
        <v>23.961983044165038</v>
      </c>
      <c r="P23" s="97">
        <v>23.941107676704299</v>
      </c>
      <c r="Q23" s="97">
        <v>23.920607091578962</v>
      </c>
      <c r="R23" s="97">
        <v>23.900525010712002</v>
      </c>
      <c r="S23" s="97">
        <v>23.880908852379918</v>
      </c>
      <c r="T23" s="97">
        <v>23.861810057957086</v>
      </c>
      <c r="U23" s="97">
        <v>23.843284444443089</v>
      </c>
      <c r="V23" s="97">
        <v>23.825392582677225</v>
      </c>
      <c r="W23" s="97">
        <v>23.808200200047448</v>
      </c>
      <c r="X23" s="97">
        <v>23.791778604866206</v>
      </c>
      <c r="Y23" s="97">
        <v>23.77620512719114</v>
      </c>
      <c r="Z23" s="97">
        <v>23.761563567402952</v>
      </c>
      <c r="AA23" s="97">
        <v>23.74794463887913</v>
      </c>
      <c r="AB23" s="97">
        <v>23.73544638401118</v>
      </c>
      <c r="AC23" s="97">
        <v>23.724174532750268</v>
      </c>
      <c r="AD23" s="97">
        <v>23.714242758646204</v>
      </c>
      <c r="AE23" s="97">
        <v>23.70577276732805</v>
      </c>
      <c r="AF23" s="97">
        <v>23.698894124323722</v>
      </c>
      <c r="AG23" s="97">
        <v>23.693743690034612</v>
      </c>
      <c r="AH23" s="97">
        <v>23.690464475688977</v>
      </c>
      <c r="AI23" s="97">
        <v>23.689203660459498</v>
      </c>
      <c r="AJ23" s="97">
        <v>23.690109411536547</v>
      </c>
      <c r="AK23" s="97">
        <v>23.693326021886804</v>
      </c>
      <c r="AL23" s="97">
        <v>23.698986726025367</v>
      </c>
      <c r="AM23" s="97">
        <v>23.707203388297867</v>
      </c>
      <c r="AN23" s="97">
        <v>23.718052131587839</v>
      </c>
      <c r="AO23" s="97">
        <v>23.731554013819238</v>
      </c>
      <c r="AP23" s="97">
        <v>23.747650347500649</v>
      </c>
      <c r="AQ23" s="97">
        <v>23.766173770972401</v>
      </c>
      <c r="AR23" s="97">
        <v>23.786819790681115</v>
      </c>
      <c r="AS23" s="97">
        <v>23.809130917759632</v>
      </c>
      <c r="AT23" s="97">
        <v>23.832518423340581</v>
      </c>
      <c r="AU23" s="97">
        <v>23.856362861996214</v>
      </c>
      <c r="AV23" s="97">
        <v>23.880231157016684</v>
      </c>
      <c r="AW23" s="97">
        <v>23.90412333227032</v>
      </c>
      <c r="AX23" s="97">
        <v>23.92803941164928</v>
      </c>
    </row>
    <row r="24" spans="1:50" x14ac:dyDescent="0.25">
      <c r="D24" s="97">
        <v>19.337498259690125</v>
      </c>
      <c r="E24" s="97">
        <v>19.29752009083224</v>
      </c>
      <c r="F24" s="97">
        <v>19.25727669726507</v>
      </c>
      <c r="G24" s="97">
        <v>19.216774895922178</v>
      </c>
      <c r="H24" s="97">
        <v>19.176022513274397</v>
      </c>
      <c r="I24" s="97">
        <v>19.135028502328709</v>
      </c>
      <c r="J24" s="97">
        <v>19.093803074026503</v>
      </c>
      <c r="K24" s="97">
        <v>19.052357845456662</v>
      </c>
      <c r="L24" s="97">
        <v>19.010706007337248</v>
      </c>
      <c r="M24" s="97">
        <v>18.968862513601035</v>
      </c>
      <c r="N24" s="97">
        <v>18.926844296387486</v>
      </c>
      <c r="O24" s="97">
        <v>18.88467051029539</v>
      </c>
      <c r="P24" s="97">
        <v>18.842362810404108</v>
      </c>
      <c r="Q24" s="97">
        <v>18.799945669344602</v>
      </c>
      <c r="R24" s="97">
        <v>18.757446739618768</v>
      </c>
      <c r="S24" s="97">
        <v>18.714897268453026</v>
      </c>
      <c r="T24" s="97">
        <v>18.67233257376278</v>
      </c>
      <c r="U24" s="97">
        <v>18.629792591333299</v>
      </c>
      <c r="V24" s="97">
        <v>18.587322505132114</v>
      </c>
      <c r="W24" s="97">
        <v>18.5449734748019</v>
      </c>
      <c r="X24" s="97">
        <v>18.502803476886331</v>
      </c>
      <c r="Y24" s="97">
        <v>18.460878279254583</v>
      </c>
      <c r="Z24" s="97">
        <v>18.419272571537071</v>
      </c>
      <c r="AA24" s="97">
        <v>18.378071278154248</v>
      </c>
      <c r="AB24" s="97">
        <v>18.337371084630632</v>
      </c>
      <c r="AC24" s="97">
        <v>18.29728221212353</v>
      </c>
      <c r="AD24" s="97">
        <v>18.25793047901049</v>
      </c>
      <c r="AE24" s="97">
        <v>18.219459691097672</v>
      </c>
      <c r="AF24" s="97">
        <v>18.182034401918617</v>
      </c>
      <c r="AG24" s="97">
        <v>18.145843078777826</v>
      </c>
      <c r="AH24" s="97">
        <v>18.111101693484652</v>
      </c>
      <c r="AI24" s="97">
        <v>18.078057720001173</v>
      </c>
      <c r="AJ24" s="97">
        <v>18.046994448502836</v>
      </c>
      <c r="AK24" s="97">
        <v>18.018235388655789</v>
      </c>
      <c r="AL24" s="97">
        <v>17.992148285547344</v>
      </c>
      <c r="AM24" s="97">
        <v>17.969147825454375</v>
      </c>
      <c r="AN24" s="97">
        <v>17.949695322022858</v>
      </c>
      <c r="AO24" s="97">
        <v>17.934292309109679</v>
      </c>
      <c r="AP24" s="97">
        <v>17.923462655087157</v>
      </c>
      <c r="AQ24" s="97">
        <v>17.917714055872075</v>
      </c>
      <c r="AR24" s="97">
        <v>17.917464146773128</v>
      </c>
      <c r="AS24" s="97">
        <v>17.92290967365911</v>
      </c>
      <c r="AT24" s="97">
        <v>17.933814570132245</v>
      </c>
      <c r="AU24" s="97">
        <v>17.949216300079513</v>
      </c>
      <c r="AV24" s="97">
        <v>17.967174493980039</v>
      </c>
      <c r="AW24" s="97">
        <v>17.98515065505654</v>
      </c>
      <c r="AX24" s="97">
        <v>18.003144801285188</v>
      </c>
    </row>
    <row r="25" spans="1:50" x14ac:dyDescent="0.25">
      <c r="C25" s="97">
        <v>15.101326455159361</v>
      </c>
      <c r="D25" s="97">
        <v>15.047060878884835</v>
      </c>
      <c r="E25" s="97">
        <v>14.992187013016281</v>
      </c>
      <c r="F25" s="97">
        <v>14.936695451078503</v>
      </c>
      <c r="G25" s="97">
        <v>14.880576730955298</v>
      </c>
      <c r="H25" s="97">
        <v>14.82382136289306</v>
      </c>
      <c r="I25" s="97">
        <v>14.766419863391723</v>
      </c>
      <c r="J25" s="97">
        <v>14.708362796163758</v>
      </c>
      <c r="K25" s="97">
        <v>14.64964082152013</v>
      </c>
      <c r="L25" s="97">
        <v>14.590244755816913</v>
      </c>
      <c r="M25" s="97">
        <v>14.530165642936902</v>
      </c>
      <c r="N25" s="97">
        <v>14.469394840200154</v>
      </c>
      <c r="O25" s="97">
        <v>14.407924121614665</v>
      </c>
      <c r="P25" s="97">
        <v>14.345745802021526</v>
      </c>
      <c r="Q25" s="97">
        <v>14.28285288648903</v>
      </c>
      <c r="R25" s="97">
        <v>14.219239250312404</v>
      </c>
      <c r="S25" s="97">
        <v>14.154899856235325</v>
      </c>
      <c r="T25" s="97">
        <v>14.089831017102796</v>
      </c>
      <c r="U25" s="97">
        <v>14.024030714176597</v>
      </c>
      <c r="V25" s="97">
        <v>13.957498983930233</v>
      </c>
      <c r="W25" s="97">
        <v>13.890238389460043</v>
      </c>
      <c r="X25" s="97">
        <v>13.822254596941542</v>
      </c>
      <c r="Y25" s="97">
        <v>13.753557083143162</v>
      </c>
      <c r="Z25" s="97">
        <v>13.68416000732112</v>
      </c>
      <c r="AA25" s="97">
        <v>13.614083290458813</v>
      </c>
      <c r="AB25" s="97">
        <v>13.543353957617349</v>
      </c>
      <c r="AC25" s="97">
        <v>13.472007816295166</v>
      </c>
      <c r="AD25" s="97">
        <v>13.400091566793924</v>
      </c>
      <c r="AE25" s="97">
        <v>13.327665471981135</v>
      </c>
      <c r="AF25" s="97">
        <v>13.254806756844083</v>
      </c>
      <c r="AG25" s="97">
        <v>13.181613967594371</v>
      </c>
      <c r="AH25" s="97">
        <v>13.108212602632962</v>
      </c>
      <c r="AI25" s="97">
        <v>13.034762443194609</v>
      </c>
      <c r="AJ25" s="97">
        <v>12.96146717381116</v>
      </c>
      <c r="AK25" s="97">
        <v>12.888587111004131</v>
      </c>
      <c r="AL25" s="97">
        <v>12.816456177771023</v>
      </c>
      <c r="AM25" s="97">
        <v>12.745504699535825</v>
      </c>
      <c r="AN25" s="97">
        <v>12.676290172480631</v>
      </c>
      <c r="AO25" s="97">
        <v>12.609538832305388</v>
      </c>
      <c r="AP25" s="97">
        <v>12.546201412346909</v>
      </c>
      <c r="AQ25" s="97">
        <v>12.487526157376021</v>
      </c>
      <c r="AR25" s="97">
        <v>12.435148622433701</v>
      </c>
      <c r="AS25" s="97">
        <v>12.391184352644936</v>
      </c>
      <c r="AT25" s="97">
        <v>12.358268525639042</v>
      </c>
      <c r="AU25" s="97">
        <v>12.339364306154049</v>
      </c>
      <c r="AV25" s="97">
        <v>12.336816062271224</v>
      </c>
      <c r="AW25" s="97">
        <v>12.349159048798185</v>
      </c>
      <c r="AX25" s="97">
        <v>12.361514384485204</v>
      </c>
    </row>
    <row r="26" spans="1:50" x14ac:dyDescent="0.25">
      <c r="B26" s="97">
        <v>11.496975924970753</v>
      </c>
      <c r="C26" s="97">
        <v>11.432896268931886</v>
      </c>
      <c r="D26" s="97">
        <v>11.367960945581714</v>
      </c>
      <c r="E26" s="97">
        <v>11.302147407313381</v>
      </c>
      <c r="F26" s="97">
        <v>11.235432068097849</v>
      </c>
      <c r="G26" s="97">
        <v>11.167790235751038</v>
      </c>
      <c r="H26" s="97">
        <v>11.099196038564488</v>
      </c>
      <c r="I26" s="97">
        <v>11.029622345754101</v>
      </c>
      <c r="J26" s="97">
        <v>10.959040681114759</v>
      </c>
      <c r="K26" s="97">
        <v>10.887421129201588</v>
      </c>
      <c r="L26" s="97">
        <v>10.814732233286405</v>
      </c>
      <c r="M26" s="97">
        <v>10.740940884259961</v>
      </c>
      <c r="N26" s="97">
        <v>10.66601219956476</v>
      </c>
      <c r="O26" s="97">
        <v>10.589909391154047</v>
      </c>
      <c r="P26" s="97">
        <v>10.512593621377302</v>
      </c>
      <c r="Q26" s="97">
        <v>10.434023845598292</v>
      </c>
      <c r="R26" s="97">
        <v>10.354156640259058</v>
      </c>
      <c r="S26" s="97">
        <v>10.272946015022971</v>
      </c>
      <c r="T26" s="97">
        <v>10.190343207569709</v>
      </c>
      <c r="U26" s="97">
        <v>10.106296459597482</v>
      </c>
      <c r="V26" s="97">
        <v>10.020750772633596</v>
      </c>
      <c r="W26" s="97">
        <v>9.9336476424112075</v>
      </c>
      <c r="X26" s="97">
        <v>9.8449247708942433</v>
      </c>
      <c r="Y26" s="97">
        <v>9.754515755624185</v>
      </c>
      <c r="Z26" s="97">
        <v>9.6623497570627208</v>
      </c>
      <c r="AA26" s="97">
        <v>9.5683511462411754</v>
      </c>
      <c r="AB26" s="97">
        <v>9.4724391376434554</v>
      </c>
      <c r="AC26" s="97">
        <v>9.3745274163911425</v>
      </c>
      <c r="AD26" s="97">
        <v>9.2745237753180181</v>
      </c>
      <c r="AE26" s="97">
        <v>9.172329787791659</v>
      </c>
      <c r="AF26" s="97">
        <v>9.0678405583809489</v>
      </c>
      <c r="AG26" s="97">
        <v>8.9609446193437918</v>
      </c>
      <c r="AH26" s="97">
        <v>8.8515240825648203</v>
      </c>
      <c r="AI26" s="97">
        <v>8.7394552245325379</v>
      </c>
      <c r="AJ26" s="97">
        <v>8.6246097946484017</v>
      </c>
      <c r="AK26" s="97">
        <v>8.5068575277326239</v>
      </c>
      <c r="AL26" s="97">
        <v>8.3860706712731812</v>
      </c>
      <c r="AM26" s="97">
        <v>8.2621319234977157</v>
      </c>
      <c r="AN26" s="97">
        <v>8.1349482499023633</v>
      </c>
      <c r="AO26" s="97">
        <v>8.004475073652177</v>
      </c>
      <c r="AP26" s="97">
        <v>7.870759315800429</v>
      </c>
      <c r="AQ26" s="97">
        <v>7.7340178858710544</v>
      </c>
      <c r="AR26" s="97">
        <v>7.5947854865490303</v>
      </c>
      <c r="AS26" s="97">
        <v>7.4542037731728898</v>
      </c>
      <c r="AT26" s="97">
        <v>7.3146116324441284</v>
      </c>
      <c r="AU26" s="97">
        <v>7.180805187160507</v>
      </c>
      <c r="AV26" s="97">
        <v>7.0628493551899068</v>
      </c>
      <c r="AW26" s="97">
        <v>6.9826194281478253</v>
      </c>
      <c r="AX26" s="97">
        <v>6.9896055400497517</v>
      </c>
    </row>
    <row r="27" spans="1:50" x14ac:dyDescent="0.25">
      <c r="A27" s="97">
        <v>8.525258133476699</v>
      </c>
      <c r="B27" s="97">
        <v>8.4518972011102687</v>
      </c>
      <c r="C27" s="97">
        <v>8.3824157928144718</v>
      </c>
      <c r="D27" s="97">
        <v>8.3119557095695598</v>
      </c>
      <c r="E27" s="97">
        <v>8.2404874034853375</v>
      </c>
      <c r="F27" s="97">
        <v>8.1679797351789958</v>
      </c>
      <c r="G27" s="97">
        <v>8.0943998493415688</v>
      </c>
      <c r="H27" s="97">
        <v>8.0197130374509999</v>
      </c>
      <c r="I27" s="97">
        <v>7.9438825859685345</v>
      </c>
      <c r="J27" s="97">
        <v>7.8668696080924869</v>
      </c>
      <c r="K27" s="97">
        <v>7.788632856835096</v>
      </c>
      <c r="L27" s="97">
        <v>7.7091285168184136</v>
      </c>
      <c r="M27" s="97">
        <v>7.6283099717456038</v>
      </c>
      <c r="N27" s="97">
        <v>7.5461275439744462</v>
      </c>
      <c r="O27" s="97">
        <v>7.4625282019819776</v>
      </c>
      <c r="P27" s="97">
        <v>7.3774552307358698</v>
      </c>
      <c r="Q27" s="97">
        <v>7.2908478590460053</v>
      </c>
      <c r="R27" s="97">
        <v>7.2026408368154353</v>
      </c>
      <c r="S27" s="97">
        <v>7.1127639536891047</v>
      </c>
      <c r="T27" s="97">
        <v>7.0211414888363635</v>
      </c>
      <c r="U27" s="97">
        <v>6.9276915794063516</v>
      </c>
      <c r="V27" s="97">
        <v>6.8323254924372598</v>
      </c>
      <c r="W27" s="97">
        <v>6.7349467815101844</v>
      </c>
      <c r="X27" s="97">
        <v>6.6354503049920526</v>
      </c>
      <c r="Y27" s="97">
        <v>6.5337210769966765</v>
      </c>
      <c r="Z27" s="97">
        <v>6.4296329147860867</v>
      </c>
      <c r="AA27" s="97">
        <v>6.3230468366370838</v>
      </c>
      <c r="AB27" s="97">
        <v>6.2138091513824989</v>
      </c>
      <c r="AC27" s="97">
        <v>6.1017491637010322</v>
      </c>
      <c r="AD27" s="97">
        <v>5.9866763960549427</v>
      </c>
      <c r="AE27" s="97">
        <v>5.868377196412017</v>
      </c>
      <c r="AF27" s="97">
        <v>5.746610556741329</v>
      </c>
      <c r="AG27" s="97">
        <v>5.6211029049418046</v>
      </c>
      <c r="AH27" s="97">
        <v>5.491541543331623</v>
      </c>
      <c r="AI27" s="97">
        <v>5.3575662757319513</v>
      </c>
      <c r="AJ27" s="97">
        <v>5.2187585690492648</v>
      </c>
      <c r="AK27" s="97">
        <v>5.0746272946300603</v>
      </c>
      <c r="AL27" s="97">
        <v>4.9245896209538351</v>
      </c>
      <c r="AM27" s="97">
        <v>4.7679448589545732</v>
      </c>
      <c r="AN27" s="97">
        <v>4.6038377629789515</v>
      </c>
      <c r="AO27" s="97">
        <v>4.4312055114339408</v>
      </c>
      <c r="AP27" s="97">
        <v>4.248698405601937</v>
      </c>
      <c r="AQ27" s="97">
        <v>4.0545562512152058</v>
      </c>
      <c r="AR27" s="97">
        <v>3.8464059937038106</v>
      </c>
      <c r="AS27" s="97">
        <v>3.620911140656554</v>
      </c>
      <c r="AT27" s="97">
        <v>3.3731248715428048</v>
      </c>
      <c r="AU27" s="97">
        <v>3.0952142339201494</v>
      </c>
      <c r="AV27" s="97">
        <v>2.7737727709797677</v>
      </c>
      <c r="AW27" s="97">
        <v>2.3838044311754185</v>
      </c>
      <c r="AX27" s="97">
        <v>1.8745231080296634</v>
      </c>
    </row>
    <row r="28" spans="1:50" x14ac:dyDescent="0.25">
      <c r="B28" s="97">
        <v>6.0035919320623119</v>
      </c>
      <c r="C28" s="97">
        <v>5.9341317254016825</v>
      </c>
      <c r="D28" s="97">
        <v>5.8637345057819203</v>
      </c>
      <c r="E28" s="97">
        <v>5.7923725523204883</v>
      </c>
      <c r="F28" s="97">
        <v>5.7200166791263589</v>
      </c>
      <c r="G28" s="97">
        <v>5.6466361230493023</v>
      </c>
      <c r="H28" s="97">
        <v>5.5721984200627199</v>
      </c>
      <c r="I28" s="97">
        <v>5.4966692688600878</v>
      </c>
      <c r="J28" s="97">
        <v>5.4200123800108102</v>
      </c>
      <c r="K28" s="97">
        <v>5.3421893087607133</v>
      </c>
      <c r="L28" s="97">
        <v>5.2631592692548654</v>
      </c>
      <c r="M28" s="97">
        <v>5.182878927594869</v>
      </c>
      <c r="N28" s="97">
        <v>5.1013021707059005</v>
      </c>
      <c r="O28" s="97">
        <v>5.0183798474648018</v>
      </c>
      <c r="P28" s="97">
        <v>4.934059477908816</v>
      </c>
      <c r="Q28" s="97">
        <v>4.84828492557972</v>
      </c>
      <c r="R28" s="97">
        <v>4.7609960271280096</v>
      </c>
      <c r="S28" s="97">
        <v>4.6721281721635224</v>
      </c>
      <c r="T28" s="97">
        <v>4.5816118249388653</v>
      </c>
      <c r="U28" s="97">
        <v>4.4893719777213388</v>
      </c>
      <c r="V28" s="97">
        <v>4.3953275235536093</v>
      </c>
      <c r="W28" s="97">
        <v>4.2993905334056359</v>
      </c>
      <c r="X28" s="97">
        <v>4.2014654193159418</v>
      </c>
      <c r="Y28" s="97">
        <v>4.1014479607992289</v>
      </c>
      <c r="Z28" s="97">
        <v>3.99922416626376</v>
      </c>
      <c r="AA28" s="97">
        <v>3.8946689340457183</v>
      </c>
      <c r="AB28" s="97">
        <v>3.7876444683795851</v>
      </c>
      <c r="AC28" s="97">
        <v>3.6779983934284819</v>
      </c>
      <c r="AD28" s="97">
        <v>3.5655614923301551</v>
      </c>
      <c r="AE28" s="97">
        <v>3.4501449765629477</v>
      </c>
      <c r="AF28" s="97">
        <v>3.3315371616269389</v>
      </c>
      <c r="AG28" s="97">
        <v>3.2094993849241482</v>
      </c>
      <c r="AH28" s="97">
        <v>3.0837609461816564</v>
      </c>
      <c r="AI28" s="97">
        <v>2.954012772980255</v>
      </c>
      <c r="AJ28" s="97">
        <v>2.8198994037813834</v>
      </c>
      <c r="AK28" s="97">
        <v>2.6810087232569151</v>
      </c>
      <c r="AL28" s="97">
        <v>2.5368586576999963</v>
      </c>
      <c r="AM28" s="97">
        <v>2.3868797107928517</v>
      </c>
      <c r="AN28" s="97">
        <v>2.2303917523565882</v>
      </c>
      <c r="AO28" s="97">
        <v>2.0665728275469326</v>
      </c>
      <c r="AP28" s="97">
        <v>1.8944169433737823</v>
      </c>
      <c r="AQ28" s="97">
        <v>1.7126770345765834</v>
      </c>
      <c r="AR28" s="97">
        <v>1.5197895378716637</v>
      </c>
      <c r="AS28" s="97">
        <v>1.3137813224686261</v>
      </c>
      <c r="AT28" s="97">
        <v>1.0921777549692144</v>
      </c>
      <c r="AU28" s="97">
        <v>0.85199107313198308</v>
      </c>
      <c r="AV28" s="97">
        <v>0.5900548079500858</v>
      </c>
      <c r="AW28" s="97">
        <v>0.30452563100370345</v>
      </c>
      <c r="AX28" s="97">
        <v>0</v>
      </c>
    </row>
    <row r="29" spans="1:50" x14ac:dyDescent="0.25">
      <c r="C29" s="97">
        <v>4.0447864424942752</v>
      </c>
      <c r="D29" s="97">
        <v>3.9795287470129597</v>
      </c>
      <c r="E29" s="97">
        <v>3.9135045550721959</v>
      </c>
      <c r="F29" s="97">
        <v>3.846694956692728</v>
      </c>
      <c r="G29" s="97">
        <v>3.779080245362938</v>
      </c>
      <c r="H29" s="97">
        <v>3.7106398733374975</v>
      </c>
      <c r="I29" s="97">
        <v>3.641352404041327</v>
      </c>
      <c r="J29" s="97">
        <v>3.5711954615522212</v>
      </c>
      <c r="K29" s="97">
        <v>3.5001456770660138</v>
      </c>
      <c r="L29" s="97">
        <v>3.4281786322740073</v>
      </c>
      <c r="M29" s="97">
        <v>3.3552687996272352</v>
      </c>
      <c r="N29" s="97">
        <v>3.2813894795277889</v>
      </c>
      <c r="O29" s="97">
        <v>3.2065127345797682</v>
      </c>
      <c r="P29" s="97">
        <v>3.1306093211630053</v>
      </c>
      <c r="Q29" s="97">
        <v>3.0536486187712506</v>
      </c>
      <c r="R29" s="97">
        <v>2.9755985578071895</v>
      </c>
      <c r="S29" s="97">
        <v>2.8964255468665314</v>
      </c>
      <c r="T29" s="97">
        <v>2.8160944010149054</v>
      </c>
      <c r="U29" s="97">
        <v>2.7345682732063725</v>
      </c>
      <c r="V29" s="97">
        <v>2.6518085918818541</v>
      </c>
      <c r="W29" s="97">
        <v>2.5677750090125651</v>
      </c>
      <c r="X29" s="97">
        <v>2.4824253645540297</v>
      </c>
      <c r="Y29" s="97">
        <v>2.3957156756418212</v>
      </c>
      <c r="Z29" s="97">
        <v>2.307600162171958</v>
      </c>
      <c r="AA29" s="97">
        <v>2.2180313250746102</v>
      </c>
      <c r="AB29" s="97">
        <v>2.1269601002112317</v>
      </c>
      <c r="AC29" s="97">
        <v>2.0343361203043524</v>
      </c>
      <c r="AD29" s="97">
        <v>1.9401081310037789</v>
      </c>
      <c r="AE29" s="97">
        <v>1.8442246271846281</v>
      </c>
      <c r="AF29" s="97">
        <v>1.7466348050960414</v>
      </c>
      <c r="AG29" s="97">
        <v>1.6472899701197095</v>
      </c>
      <c r="AH29" s="97">
        <v>1.546145606805108</v>
      </c>
      <c r="AI29" s="97">
        <v>1.4431644207677292</v>
      </c>
      <c r="AJ29" s="97">
        <v>1.338320822881969</v>
      </c>
      <c r="AK29" s="97">
        <v>1.2316075818388781</v>
      </c>
      <c r="AL29" s="97">
        <v>1.1230457846646695</v>
      </c>
      <c r="AM29" s="97">
        <v>1.0126999258858316</v>
      </c>
      <c r="AN29" s="97">
        <v>0.90070108801819215</v>
      </c>
      <c r="AO29" s="97">
        <v>0.78728312321415861</v>
      </c>
      <c r="AP29" s="97">
        <v>0.67284011382180842</v>
      </c>
      <c r="AQ29" s="97">
        <v>0.55801927273983121</v>
      </c>
      <c r="AR29" s="97">
        <v>0.44387374404963137</v>
      </c>
      <c r="AS29" s="97">
        <v>0.3321175996045781</v>
      </c>
      <c r="AT29" s="97">
        <v>0.22555513966736909</v>
      </c>
      <c r="AU29" s="97">
        <v>0.12880222576496009</v>
      </c>
      <c r="AV29" s="97">
        <v>4.9471708052553937E-2</v>
      </c>
      <c r="AW29" s="97">
        <v>0</v>
      </c>
      <c r="AX29" s="97">
        <v>0</v>
      </c>
    </row>
    <row r="30" spans="1:50" x14ac:dyDescent="0.25">
      <c r="D30" s="97">
        <v>2.5912109490265278</v>
      </c>
      <c r="E30" s="97">
        <v>2.5343751679044333</v>
      </c>
      <c r="F30" s="97">
        <v>2.4770587599192351</v>
      </c>
      <c r="G30" s="97">
        <v>2.4192570998247747</v>
      </c>
      <c r="H30" s="97">
        <v>2.3609657967634825</v>
      </c>
      <c r="I30" s="97">
        <v>2.3021807479190111</v>
      </c>
      <c r="J30" s="97">
        <v>2.242898200356203</v>
      </c>
      <c r="K30" s="97">
        <v>2.1831148230890722</v>
      </c>
      <c r="L30" s="97">
        <v>2.122827791204652</v>
      </c>
      <c r="M30" s="97">
        <v>2.0620348841931455</v>
      </c>
      <c r="N30" s="97">
        <v>2.0007346010597127</v>
      </c>
      <c r="O30" s="97">
        <v>1.9389262953136408</v>
      </c>
      <c r="P30" s="97">
        <v>1.8766103335689159</v>
      </c>
      <c r="Q30" s="97">
        <v>1.8137882822760449</v>
      </c>
      <c r="R30" s="97">
        <v>1.7504631280763543</v>
      </c>
      <c r="S30" s="97">
        <v>1.6866395384758364</v>
      </c>
      <c r="T30" s="97">
        <v>1.6223241710382368</v>
      </c>
      <c r="U30" s="97">
        <v>1.5575260411793186</v>
      </c>
      <c r="V30" s="97">
        <v>1.4922569610111369</v>
      </c>
      <c r="W30" s="97">
        <v>1.4265320646764941</v>
      </c>
      <c r="X30" s="97">
        <v>1.3603704394111993</v>
      </c>
      <c r="Y30" s="97">
        <v>1.2937958864167636</v>
      </c>
      <c r="Z30" s="97">
        <v>1.226837841835813</v>
      </c>
      <c r="AA30" s="97">
        <v>1.1595324961181301</v>
      </c>
      <c r="AB30" s="97">
        <v>1.0919241604079388</v>
      </c>
      <c r="AC30" s="97">
        <v>1.024066942011379</v>
      </c>
      <c r="AD30" s="97">
        <v>0.95602680850170574</v>
      </c>
      <c r="AE30" s="97">
        <v>0.88788414286890893</v>
      </c>
      <c r="AF30" s="97">
        <v>0.81973692197861092</v>
      </c>
      <c r="AG30" s="97">
        <v>0.75170468954173941</v>
      </c>
      <c r="AH30" s="97">
        <v>0.68393354525232064</v>
      </c>
      <c r="AI30" s="97">
        <v>0.61660243625797406</v>
      </c>
      <c r="AJ30" s="97">
        <v>0.54993111745657575</v>
      </c>
      <c r="AK30" s="97">
        <v>0.48419024210523476</v>
      </c>
      <c r="AL30" s="97">
        <v>0.41971414469891544</v>
      </c>
      <c r="AM30" s="97">
        <v>0.35691695525005623</v>
      </c>
      <c r="AN30" s="97">
        <v>0.29631266401690681</v>
      </c>
      <c r="AO30" s="97">
        <v>0.2385394633859361</v>
      </c>
      <c r="AP30" s="97">
        <v>0.18438773253549445</v>
      </c>
      <c r="AQ30" s="97">
        <v>0.13482852643259277</v>
      </c>
      <c r="AR30" s="97">
        <v>9.1033495628303762E-2</v>
      </c>
      <c r="AS30" s="97">
        <v>5.4363805003553617E-2</v>
      </c>
      <c r="AT30" s="97">
        <v>2.6276624036597456E-2</v>
      </c>
      <c r="AU30" s="97">
        <v>8.0369257903550751E-3</v>
      </c>
      <c r="AV30" s="97">
        <v>0</v>
      </c>
      <c r="AW30" s="97">
        <v>0</v>
      </c>
      <c r="AX30" s="97">
        <v>0</v>
      </c>
    </row>
    <row r="31" spans="1:50" x14ac:dyDescent="0.25">
      <c r="E31" s="97">
        <v>1.5691572561104732</v>
      </c>
      <c r="F31" s="97">
        <v>1.5233614774674207</v>
      </c>
      <c r="G31" s="97">
        <v>1.4774092822814557</v>
      </c>
      <c r="H31" s="97">
        <v>1.4313102645998954</v>
      </c>
      <c r="I31" s="97">
        <v>1.3850751143330535</v>
      </c>
      <c r="J31" s="97">
        <v>1.3387157384530437</v>
      </c>
      <c r="K31" s="97">
        <v>1.2922453931333886</v>
      </c>
      <c r="L31" s="97">
        <v>1.2456788317204208</v>
      </c>
      <c r="M31" s="97">
        <v>1.1990324708813247</v>
      </c>
      <c r="N31" s="97">
        <v>1.1523245774431858</v>
      </c>
      <c r="O31" s="97">
        <v>1.1055754788076204</v>
      </c>
      <c r="P31" s="97">
        <v>1.0588078002609518</v>
      </c>
      <c r="Q31" s="97">
        <v>1.0120467330028642</v>
      </c>
      <c r="R31" s="97">
        <v>0.96532033729390976</v>
      </c>
      <c r="S31" s="97">
        <v>0.91865988578419033</v>
      </c>
      <c r="T31" s="97">
        <v>0.87210025283843606</v>
      </c>
      <c r="U31" s="97">
        <v>0.82568035652133787</v>
      </c>
      <c r="V31" s="97">
        <v>0.77944366085193617</v>
      </c>
      <c r="W31" s="97">
        <v>0.73343874696574596</v>
      </c>
      <c r="X31" s="97">
        <v>0.6877199629136681</v>
      </c>
      <c r="Y31" s="97">
        <v>0.64234816292325625</v>
      </c>
      <c r="Z31" s="97">
        <v>0.59739154795340188</v>
      </c>
      <c r="AA31" s="97">
        <v>0.55292662011674709</v>
      </c>
      <c r="AB31" s="97">
        <v>0.50903926373947539</v>
      </c>
      <c r="AC31" s="97">
        <v>0.46582596500110368</v>
      </c>
      <c r="AD31" s="97">
        <v>0.42339517947407657</v>
      </c>
      <c r="AE31" s="97">
        <v>0.38186885121606473</v>
      </c>
      <c r="AF31" s="97">
        <v>0.34138407634405116</v>
      </c>
      <c r="AG31" s="97">
        <v>0.30209488501596626</v>
      </c>
      <c r="AH31" s="97">
        <v>0.2641740833139925</v>
      </c>
      <c r="AI31" s="97">
        <v>0.22781504247525972</v>
      </c>
      <c r="AJ31" s="97">
        <v>0.19323323431441805</v>
      </c>
      <c r="AK31" s="97">
        <v>0.16066716831369018</v>
      </c>
      <c r="AL31" s="97">
        <v>0.13037815672225039</v>
      </c>
      <c r="AM31" s="97">
        <v>0.10264797313808034</v>
      </c>
      <c r="AN31" s="97">
        <v>7.77729133775443E-2</v>
      </c>
      <c r="AO31" s="97">
        <v>5.6051936735275316E-2</v>
      </c>
      <c r="AP31" s="97">
        <v>3.776539662748523E-2</v>
      </c>
      <c r="AQ31" s="97">
        <v>2.3139408552981001E-2</v>
      </c>
      <c r="AR31" s="97">
        <v>1.228958498265573E-2</v>
      </c>
      <c r="AS31" s="97">
        <v>5.1382374962262835E-3</v>
      </c>
      <c r="AT31" s="97">
        <v>1.3056386913311679E-3</v>
      </c>
      <c r="AU31" s="97">
        <v>0</v>
      </c>
      <c r="AV31" s="97">
        <v>0</v>
      </c>
      <c r="AW31" s="97">
        <v>0</v>
      </c>
      <c r="AX31" s="97">
        <v>0</v>
      </c>
    </row>
    <row r="32" spans="1:50" x14ac:dyDescent="0.25">
      <c r="F32" s="97">
        <v>0.89260495074759227</v>
      </c>
      <c r="G32" s="97">
        <v>0.85858330241885794</v>
      </c>
      <c r="H32" s="97">
        <v>0.82468416877389472</v>
      </c>
      <c r="I32" s="97">
        <v>0.79092596470942955</v>
      </c>
      <c r="J32" s="97">
        <v>0.7573284446581553</v>
      </c>
      <c r="K32" s="97">
        <v>0.72391282857420003</v>
      </c>
      <c r="L32" s="97">
        <v>0.69070191877329101</v>
      </c>
      <c r="M32" s="97">
        <v>0.65772022509104089</v>
      </c>
      <c r="N32" s="97">
        <v>0.62499409983942622</v>
      </c>
      <c r="O32" s="97">
        <v>0.59255188309110374</v>
      </c>
      <c r="P32" s="97">
        <v>0.56042405868406353</v>
      </c>
      <c r="Q32" s="97">
        <v>0.52864342118235097</v>
      </c>
      <c r="R32" s="97">
        <v>0.4972452537932468</v>
      </c>
      <c r="S32" s="97">
        <v>0.46626751689826945</v>
      </c>
      <c r="T32" s="97">
        <v>0.43575104636338002</v>
      </c>
      <c r="U32" s="97">
        <v>0.40573976010176432</v>
      </c>
      <c r="V32" s="97">
        <v>0.37628087039711505</v>
      </c>
      <c r="W32" s="97">
        <v>0.34742509816213779</v>
      </c>
      <c r="X32" s="97">
        <v>0.31922688347439115</v>
      </c>
      <c r="Y32" s="97">
        <v>0.29174458422792809</v>
      </c>
      <c r="Z32" s="97">
        <v>0.26504065133000621</v>
      </c>
      <c r="AA32" s="97">
        <v>0.23918176424808063</v>
      </c>
      <c r="AB32" s="97">
        <v>0.21423890446194657</v>
      </c>
      <c r="AC32" s="97">
        <v>0.19028733596095235</v>
      </c>
      <c r="AD32" s="97">
        <v>0.16740645065203158</v>
      </c>
      <c r="AE32" s="97">
        <v>0.14567942153757199</v>
      </c>
      <c r="AF32" s="97">
        <v>0.12519258673045577</v>
      </c>
      <c r="AG32" s="97">
        <v>0.10603446161888123</v>
      </c>
      <c r="AH32" s="97">
        <v>8.8294243654144608E-2</v>
      </c>
      <c r="AI32" s="97">
        <v>7.2059633682273194E-2</v>
      </c>
      <c r="AJ32" s="97">
        <v>5.7413750290398267E-2</v>
      </c>
      <c r="AK32" s="97">
        <v>4.4430863471981739E-2</v>
      </c>
      <c r="AL32" s="97">
        <v>3.3170632281227665E-2</v>
      </c>
      <c r="AM32" s="97">
        <v>2.3670523197387171E-2</v>
      </c>
      <c r="AN32" s="97">
        <v>1.5936162690098135E-2</v>
      </c>
      <c r="AO32" s="97">
        <v>9.9296354739919629E-3</v>
      </c>
      <c r="AP32" s="97">
        <v>5.5563493870454256E-3</v>
      </c>
      <c r="AQ32" s="97">
        <v>2.6523225525508509E-3</v>
      </c>
      <c r="AR32" s="97">
        <v>9.7598186482127655E-4</v>
      </c>
      <c r="AS32" s="97">
        <v>2.1210751931377694E-4</v>
      </c>
      <c r="AT32" s="97">
        <v>0</v>
      </c>
      <c r="AU32" s="97">
        <v>0</v>
      </c>
      <c r="AV32" s="97">
        <v>0</v>
      </c>
      <c r="AW32" s="97">
        <v>0</v>
      </c>
      <c r="AX32" s="97">
        <v>0</v>
      </c>
    </row>
    <row r="33" spans="7:50" x14ac:dyDescent="0.25">
      <c r="G33" s="97">
        <v>0.47378244200840691</v>
      </c>
      <c r="H33" s="97">
        <v>0.45058324361672708</v>
      </c>
      <c r="I33" s="97">
        <v>0.42768168198750717</v>
      </c>
      <c r="J33" s="97">
        <v>0.40509724819362791</v>
      </c>
      <c r="K33" s="97">
        <v>0.38285027974039748</v>
      </c>
      <c r="L33" s="97">
        <v>0.36096210204996987</v>
      </c>
      <c r="M33" s="97">
        <v>0.33945506656847402</v>
      </c>
      <c r="N33" s="97">
        <v>0.31835257968102393</v>
      </c>
      <c r="O33" s="97">
        <v>0.29767912629665794</v>
      </c>
      <c r="P33" s="97">
        <v>0.2774602865136872</v>
      </c>
      <c r="Q33" s="97">
        <v>0.25772274310665433</v>
      </c>
      <c r="R33" s="97">
        <v>0.23849427702329556</v>
      </c>
      <c r="S33" s="97">
        <v>0.21980374741340555</v>
      </c>
      <c r="T33" s="97">
        <v>0.20168105189925226</v>
      </c>
      <c r="U33" s="97">
        <v>0.18415706181120892</v>
      </c>
      <c r="V33" s="97">
        <v>0.16726352592074423</v>
      </c>
      <c r="W33" s="97">
        <v>0.15103293477172913</v>
      </c>
      <c r="X33" s="97">
        <v>0.13549833600625633</v>
      </c>
      <c r="Y33" s="97">
        <v>0.12069308907311981</v>
      </c>
      <c r="Z33" s="97">
        <v>0.10665054537853062</v>
      </c>
      <c r="AA33" s="97">
        <v>9.3403637298856354E-2</v>
      </c>
      <c r="AB33" s="97">
        <v>8.0984356582183697E-2</v>
      </c>
      <c r="AC33" s="97">
        <v>6.9423099664123869E-2</v>
      </c>
      <c r="AD33" s="97">
        <v>5.8747854603274217E-2</v>
      </c>
      <c r="AE33" s="97">
        <v>4.8983202231233612E-2</v>
      </c>
      <c r="AF33" s="97">
        <v>4.0149103617150697E-2</v>
      </c>
      <c r="AG33" s="97">
        <v>3.2259448561929381E-2</v>
      </c>
      <c r="AH33" s="97">
        <v>2.5320347943079642E-2</v>
      </c>
      <c r="AI33" s="97">
        <v>1.932816999976468E-2</v>
      </c>
      <c r="AJ33" s="97">
        <v>1.4267352531851225E-2</v>
      </c>
      <c r="AK33" s="97">
        <v>1.010807719669171E-2</v>
      </c>
      <c r="AL33" s="97">
        <v>6.8039787308272707E-3</v>
      </c>
      <c r="AM33" s="97">
        <v>4.2901925428627643E-3</v>
      </c>
      <c r="AN33" s="97">
        <v>2.4822279313383715E-3</v>
      </c>
      <c r="AO33" s="97">
        <v>1.2763881239217108E-3</v>
      </c>
      <c r="AP33" s="97">
        <v>5.5270494016981765E-4</v>
      </c>
      <c r="AQ33" s="97">
        <v>1.8149981704166683E-4</v>
      </c>
      <c r="AR33" s="97">
        <v>3.4457924729223647E-5</v>
      </c>
      <c r="AS33" s="97">
        <v>0</v>
      </c>
      <c r="AT33" s="97">
        <v>0</v>
      </c>
      <c r="AU33" s="97">
        <v>0</v>
      </c>
      <c r="AV33" s="97">
        <v>0</v>
      </c>
      <c r="AW33" s="97">
        <v>0</v>
      </c>
      <c r="AX33" s="97">
        <v>0</v>
      </c>
    </row>
    <row r="34" spans="7:50" x14ac:dyDescent="0.25">
      <c r="H34" s="97">
        <v>0.23298395394577123</v>
      </c>
      <c r="I34" s="97">
        <v>0.21854129666983063</v>
      </c>
      <c r="J34" s="97">
        <v>0.20445234720833294</v>
      </c>
      <c r="K34" s="97">
        <v>0.19073176079049012</v>
      </c>
      <c r="L34" s="97">
        <v>0.17739379104828429</v>
      </c>
      <c r="M34" s="97">
        <v>0.16445285137854265</v>
      </c>
      <c r="N34" s="97">
        <v>0.15192349693292945</v>
      </c>
      <c r="O34" s="97">
        <v>0.13982036370112597</v>
      </c>
      <c r="P34" s="97">
        <v>0.12815809315346482</v>
      </c>
      <c r="Q34" s="97">
        <v>0.11695124171946386</v>
      </c>
      <c r="R34" s="97">
        <v>0.10621417283587156</v>
      </c>
      <c r="S34" s="97">
        <v>9.5960928987333327E-2</v>
      </c>
      <c r="T34" s="97">
        <v>8.6205080894067379E-2</v>
      </c>
      <c r="U34" s="97">
        <v>7.695955074825811E-2</v>
      </c>
      <c r="V34" s="97">
        <v>6.8236406191400548E-2</v>
      </c>
      <c r="W34" s="97">
        <v>6.0046621596833293E-2</v>
      </c>
      <c r="X34" s="97">
        <v>5.239980323211995E-2</v>
      </c>
      <c r="Y34" s="97">
        <v>4.5303875105980398E-2</v>
      </c>
      <c r="Z34" s="97">
        <v>3.8764722869283855E-2</v>
      </c>
      <c r="AA34" s="97">
        <v>3.2785794198546776E-2</v>
      </c>
      <c r="AB34" s="97">
        <v>2.7367655860813637E-2</v>
      </c>
      <c r="AC34" s="97">
        <v>2.2507510430452255E-2</v>
      </c>
      <c r="AD34" s="97">
        <v>1.8198679778100781E-2</v>
      </c>
      <c r="AE34" s="97">
        <v>1.4430068450872696E-2</v>
      </c>
      <c r="AF34" s="97">
        <v>1.1185628469421298E-2</v>
      </c>
      <c r="AG34" s="97">
        <v>8.4438584831969896E-3</v>
      </c>
      <c r="AH34" s="97">
        <v>6.1773851827616761E-3</v>
      </c>
      <c r="AI34" s="97">
        <v>4.3526935904637546E-3</v>
      </c>
      <c r="AJ34" s="97">
        <v>2.9300947958549794E-3</v>
      </c>
      <c r="AK34" s="97">
        <v>1.8640427603264351E-3</v>
      </c>
      <c r="AL34" s="97">
        <v>1.1039310092984566E-3</v>
      </c>
      <c r="AM34" s="97">
        <v>5.9550560586119105E-4</v>
      </c>
      <c r="AN34" s="97">
        <v>2.8300585263971737E-4</v>
      </c>
      <c r="AO34" s="97">
        <v>1.1206272285964283E-4</v>
      </c>
      <c r="AP34" s="97">
        <v>3.321335569331044E-5</v>
      </c>
      <c r="AQ34" s="97">
        <v>5.5978617848427593E-6</v>
      </c>
      <c r="AR34" s="97">
        <v>0</v>
      </c>
      <c r="AS34" s="97">
        <v>0</v>
      </c>
      <c r="AT34" s="97">
        <v>0</v>
      </c>
      <c r="AU34" s="97">
        <v>0</v>
      </c>
      <c r="AV34" s="97">
        <v>0</v>
      </c>
      <c r="AW34" s="97">
        <v>0</v>
      </c>
      <c r="AX34" s="97">
        <v>0</v>
      </c>
    </row>
    <row r="35" spans="7:50" x14ac:dyDescent="0.25">
      <c r="I35" s="97">
        <v>0.10533218512515455</v>
      </c>
      <c r="J35" s="97">
        <v>9.7176847086478349E-2</v>
      </c>
      <c r="K35" s="97">
        <v>8.9335552492305154E-2</v>
      </c>
      <c r="L35" s="97">
        <v>8.1818258648815784E-2</v>
      </c>
      <c r="M35" s="97">
        <v>7.4630968430141789E-2</v>
      </c>
      <c r="N35" s="97">
        <v>6.7779063331470671E-2</v>
      </c>
      <c r="O35" s="97">
        <v>6.126741322151906E-2</v>
      </c>
      <c r="P35" s="97">
        <v>5.5100297560185703E-2</v>
      </c>
      <c r="Q35" s="97">
        <v>4.9281309904918781E-2</v>
      </c>
      <c r="R35" s="97">
        <v>4.3813252987730401E-2</v>
      </c>
      <c r="S35" s="97">
        <v>3.8698024449445909E-2</v>
      </c>
      <c r="T35" s="97">
        <v>3.3936493319059513E-2</v>
      </c>
      <c r="U35" s="97">
        <v>2.9528367677197957E-2</v>
      </c>
      <c r="V35" s="97">
        <v>2.5472054413140228E-2</v>
      </c>
      <c r="W35" s="97">
        <v>2.1764512619421559E-2</v>
      </c>
      <c r="X35" s="97">
        <v>1.8401103000983181E-2</v>
      </c>
      <c r="Y35" s="97">
        <v>1.537543675040532E-2</v>
      </c>
      <c r="Z35" s="97">
        <v>1.2679228702119972E-2</v>
      </c>
      <c r="AA35" s="97">
        <v>1.0302161269232935E-2</v>
      </c>
      <c r="AB35" s="97">
        <v>8.231767717800216E-3</v>
      </c>
      <c r="AC35" s="97">
        <v>6.4533457493553426E-3</v>
      </c>
      <c r="AD35" s="97">
        <v>4.9499150965668266E-3</v>
      </c>
      <c r="AE35" s="97">
        <v>3.7022357536206948E-3</v>
      </c>
      <c r="AF35" s="97">
        <v>2.688906283172675E-3</v>
      </c>
      <c r="AG35" s="97">
        <v>1.8865638659225459E-3</v>
      </c>
      <c r="AH35" s="97">
        <v>1.2702085690130614E-3</v>
      </c>
      <c r="AI35" s="97">
        <v>8.1367245859815163E-4</v>
      </c>
      <c r="AJ35" s="97">
        <v>4.9024790298637824E-4</v>
      </c>
      <c r="AK35" s="97">
        <v>2.734764197515016E-4</v>
      </c>
      <c r="AL35" s="97">
        <v>1.3807715086375138E-4</v>
      </c>
      <c r="AM35" s="97">
        <v>6.0960413241129886E-5</v>
      </c>
      <c r="AN35" s="97">
        <v>2.2226805955646429E-5</v>
      </c>
      <c r="AO35" s="97">
        <v>6.0012758402638805E-6</v>
      </c>
      <c r="AP35" s="97">
        <v>9.0940057500411351E-7</v>
      </c>
      <c r="AQ35" s="97">
        <v>0</v>
      </c>
      <c r="AR35" s="97">
        <v>0</v>
      </c>
      <c r="AS35" s="97">
        <v>0</v>
      </c>
      <c r="AT35" s="97">
        <v>0</v>
      </c>
      <c r="AU35" s="97">
        <v>0</v>
      </c>
      <c r="AV35" s="97">
        <v>0</v>
      </c>
      <c r="AW35" s="97">
        <v>0</v>
      </c>
      <c r="AX35" s="97">
        <v>0</v>
      </c>
    </row>
    <row r="36" spans="7:50" x14ac:dyDescent="0.25">
      <c r="J36" s="97">
        <v>4.3399944300057613E-2</v>
      </c>
      <c r="K36" s="97">
        <v>3.9270230555993157E-2</v>
      </c>
      <c r="L36" s="97">
        <v>3.5352239763299764E-2</v>
      </c>
      <c r="M36" s="97">
        <v>3.1667179492545008E-2</v>
      </c>
      <c r="N36" s="97">
        <v>2.821536975700609E-2</v>
      </c>
      <c r="O36" s="97">
        <v>2.4995408519227956E-2</v>
      </c>
      <c r="P36" s="97">
        <v>2.200519423738451E-2</v>
      </c>
      <c r="Q36" s="97">
        <v>1.9241923026988652E-2</v>
      </c>
      <c r="R36" s="97">
        <v>1.6702041275224282E-2</v>
      </c>
      <c r="S36" s="97">
        <v>1.4381198505132468E-2</v>
      </c>
      <c r="T36" s="97">
        <v>1.2274203363476684E-2</v>
      </c>
      <c r="U36" s="97">
        <v>1.0374984484313338E-2</v>
      </c>
      <c r="V36" s="97">
        <v>8.6765584008593032E-3</v>
      </c>
      <c r="W36" s="97">
        <v>7.1710070813264552E-3</v>
      </c>
      <c r="X36" s="97">
        <v>5.8494681222585896E-3</v>
      </c>
      <c r="Y36" s="97">
        <v>4.702141101902868E-3</v>
      </c>
      <c r="Z36" s="97">
        <v>3.7183140429631637E-3</v>
      </c>
      <c r="AA36" s="97">
        <v>2.886414305671907E-3</v>
      </c>
      <c r="AB36" s="97">
        <v>2.1940884500639898E-3</v>
      </c>
      <c r="AC36" s="97">
        <v>1.6283155595866029E-3</v>
      </c>
      <c r="AD36" s="97">
        <v>1.1755580560617201E-3</v>
      </c>
      <c r="AE36" s="97">
        <v>8.2195296425672225E-4</v>
      </c>
      <c r="AF36" s="97">
        <v>5.5354466752456991E-4</v>
      </c>
      <c r="AG36" s="97">
        <v>3.5655717456249816E-4</v>
      </c>
      <c r="AH36" s="97">
        <v>2.176995494980893E-4</v>
      </c>
      <c r="AI36" s="97">
        <v>1.2449230284474922E-4</v>
      </c>
      <c r="AJ36" s="97">
        <v>6.559530472781393E-5</v>
      </c>
      <c r="AK36" s="97">
        <v>3.1109737995340677E-5</v>
      </c>
      <c r="AL36" s="97">
        <v>1.2819099109336317E-5</v>
      </c>
      <c r="AM36" s="97">
        <v>4.329710289087245E-6</v>
      </c>
      <c r="AN36" s="97">
        <v>1.0733200243006217E-6</v>
      </c>
      <c r="AO36" s="97">
        <v>1.4773666046153915E-7</v>
      </c>
      <c r="AP36" s="97">
        <v>0</v>
      </c>
      <c r="AQ36" s="97">
        <v>0</v>
      </c>
      <c r="AR36" s="97">
        <v>0</v>
      </c>
      <c r="AS36" s="97">
        <v>0</v>
      </c>
      <c r="AT36" s="97">
        <v>0</v>
      </c>
      <c r="AU36" s="97">
        <v>0</v>
      </c>
      <c r="AV36" s="97">
        <v>0</v>
      </c>
      <c r="AW36" s="97">
        <v>0</v>
      </c>
      <c r="AX36" s="97">
        <v>0</v>
      </c>
    </row>
    <row r="37" spans="7:50" x14ac:dyDescent="0.25">
      <c r="K37" s="97">
        <v>1.6033871113089435E-2</v>
      </c>
      <c r="L37" s="97">
        <v>1.4279187699444274E-2</v>
      </c>
      <c r="M37" s="97">
        <v>1.2542064197214826E-2</v>
      </c>
      <c r="N37" s="97">
        <v>1.0940430391128174E-2</v>
      </c>
      <c r="O37" s="97">
        <v>9.4769973646761738E-3</v>
      </c>
      <c r="P37" s="97">
        <v>8.1476753097248431E-3</v>
      </c>
      <c r="Q37" s="97">
        <v>6.9476689426256266E-3</v>
      </c>
      <c r="R37" s="97">
        <v>5.8717457312543108E-3</v>
      </c>
      <c r="S37" s="97">
        <v>4.9142509390823208E-3</v>
      </c>
      <c r="T37" s="97">
        <v>4.06912075378688E-3</v>
      </c>
      <c r="U37" s="97">
        <v>3.3299030880641713E-3</v>
      </c>
      <c r="V37" s="97">
        <v>2.6897869756889858E-3</v>
      </c>
      <c r="W37" s="97">
        <v>2.1416417732992537E-3</v>
      </c>
      <c r="X37" s="97">
        <v>1.6780671607980098E-3</v>
      </c>
      <c r="Y37" s="97">
        <v>1.2914547630324571E-3</v>
      </c>
      <c r="Z37" s="97">
        <v>9.7406192407501933E-4</v>
      </c>
      <c r="AA37" s="97">
        <v>7.1809772404619757E-4</v>
      </c>
      <c r="AB37" s="97">
        <v>5.158207025121414E-4</v>
      </c>
      <c r="AC37" s="97">
        <v>3.5964691205187384E-4</v>
      </c>
      <c r="AD37" s="97">
        <v>2.4226585184323787E-4</v>
      </c>
      <c r="AE37" s="97">
        <v>1.5676052865396615E-4</v>
      </c>
      <c r="AF37" s="97">
        <v>9.6726406914581479E-5</v>
      </c>
      <c r="AG37" s="97">
        <v>5.638245013786555E-5</v>
      </c>
      <c r="AH37" s="97">
        <v>3.0666023773434041E-5</v>
      </c>
      <c r="AI37" s="97">
        <v>1.530244296482477E-5</v>
      </c>
      <c r="AJ37" s="97">
        <v>6.8398558431625951E-6</v>
      </c>
      <c r="AK37" s="97">
        <v>2.6415085434563807E-6</v>
      </c>
      <c r="AL37" s="97">
        <v>8.308080539651061E-7</v>
      </c>
      <c r="AM37" s="97">
        <v>1.903489732920741E-7</v>
      </c>
      <c r="AN37" s="97">
        <v>2.4000557558721066E-8</v>
      </c>
      <c r="AO37" s="97">
        <v>0</v>
      </c>
      <c r="AP37" s="97">
        <v>0</v>
      </c>
      <c r="AQ37" s="97">
        <v>0</v>
      </c>
      <c r="AR37" s="97">
        <v>0</v>
      </c>
      <c r="AS37" s="97">
        <v>0</v>
      </c>
      <c r="AT37" s="97">
        <v>0</v>
      </c>
      <c r="AU37" s="97">
        <v>0</v>
      </c>
      <c r="AV37" s="97">
        <v>0</v>
      </c>
      <c r="AW37" s="97">
        <v>0</v>
      </c>
      <c r="AX37" s="97">
        <v>0</v>
      </c>
    </row>
    <row r="38" spans="7:50" x14ac:dyDescent="0.25">
      <c r="L38" s="97">
        <v>4.5819274159625478E-3</v>
      </c>
      <c r="M38" s="97">
        <v>4.5865116351060638E-3</v>
      </c>
      <c r="N38" s="97">
        <v>3.9430752472729667E-3</v>
      </c>
      <c r="O38" s="97">
        <v>3.3335884009362245E-3</v>
      </c>
      <c r="P38" s="97">
        <v>2.7919059101473233E-3</v>
      </c>
      <c r="Q38" s="97">
        <v>2.3154431819037836E-3</v>
      </c>
      <c r="R38" s="97">
        <v>1.8999012053676947E-3</v>
      </c>
      <c r="S38" s="97">
        <v>1.5408248622481992E-3</v>
      </c>
      <c r="T38" s="97">
        <v>1.2336817682351881E-3</v>
      </c>
      <c r="U38" s="97">
        <v>9.738952985937925E-4</v>
      </c>
      <c r="V38" s="97">
        <v>7.5688232214838876E-4</v>
      </c>
      <c r="W38" s="97">
        <v>5.7809387658097231E-4</v>
      </c>
      <c r="X38" s="97">
        <v>4.3305911599504979E-4</v>
      </c>
      <c r="Y38" s="97">
        <v>3.1743180424638565E-4</v>
      </c>
      <c r="Z38" s="97">
        <v>2.2703834146817033E-4</v>
      </c>
      <c r="AA38" s="97">
        <v>1.579259726125961E-4</v>
      </c>
      <c r="AB38" s="97">
        <v>1.0640947526768625E-4</v>
      </c>
      <c r="AC38" s="97">
        <v>6.9114280347381136E-5</v>
      </c>
      <c r="AD38" s="97">
        <v>4.3013684291752551E-5</v>
      </c>
      <c r="AE38" s="97">
        <v>2.5457622226899661E-5</v>
      </c>
      <c r="AF38" s="97">
        <v>1.4190461647152617E-5</v>
      </c>
      <c r="AG38" s="97">
        <v>7.3555317278525934E-6</v>
      </c>
      <c r="AH38" s="97">
        <v>3.4847123675908067E-6</v>
      </c>
      <c r="AI38" s="97">
        <v>1.4724384415064756E-6</v>
      </c>
      <c r="AJ38" s="97">
        <v>5.3494444868971631E-7</v>
      </c>
      <c r="AK38" s="97">
        <v>1.5739882814287382E-7</v>
      </c>
      <c r="AL38" s="97">
        <v>3.3519622802743921E-8</v>
      </c>
      <c r="AM38" s="97">
        <v>3.8990103155842439E-9</v>
      </c>
      <c r="AN38" s="97">
        <v>0</v>
      </c>
      <c r="AO38" s="97">
        <v>0</v>
      </c>
      <c r="AP38" s="97">
        <v>0</v>
      </c>
      <c r="AQ38" s="97">
        <v>0</v>
      </c>
      <c r="AR38" s="97">
        <v>0</v>
      </c>
      <c r="AS38" s="97">
        <v>0</v>
      </c>
      <c r="AT38" s="97">
        <v>0</v>
      </c>
      <c r="AU38" s="97">
        <v>0</v>
      </c>
      <c r="AV38" s="97">
        <v>0</v>
      </c>
      <c r="AW38" s="97">
        <v>0</v>
      </c>
      <c r="AX38" s="97">
        <v>0</v>
      </c>
    </row>
    <row r="39" spans="7:50" x14ac:dyDescent="0.25">
      <c r="N39" s="97">
        <v>1.0747051989099179E-3</v>
      </c>
      <c r="O39" s="97">
        <v>1.0757804416405895E-3</v>
      </c>
      <c r="P39" s="97">
        <v>8.8348885713892308E-4</v>
      </c>
      <c r="Q39" s="97">
        <v>7.1091653093531483E-4</v>
      </c>
      <c r="R39" s="97">
        <v>5.6467680540897233E-4</v>
      </c>
      <c r="S39" s="97">
        <v>4.4234571450982909E-4</v>
      </c>
      <c r="T39" s="97">
        <v>3.4127540965274748E-4</v>
      </c>
      <c r="U39" s="97">
        <v>2.5890755762570587E-4</v>
      </c>
      <c r="V39" s="97">
        <v>1.927916378409903E-4</v>
      </c>
      <c r="W39" s="97">
        <v>1.4061001917677223E-4</v>
      </c>
      <c r="X39" s="97">
        <v>1.0019722194882895E-4</v>
      </c>
      <c r="Y39" s="97">
        <v>6.9557357140219008E-5</v>
      </c>
      <c r="Z39" s="97">
        <v>4.6878931052552723E-5</v>
      </c>
      <c r="AA39" s="97">
        <v>3.0546268724888772E-5</v>
      </c>
      <c r="AB39" s="97">
        <v>1.914679301259239E-5</v>
      </c>
      <c r="AC39" s="97">
        <v>1.1473477256579424E-5</v>
      </c>
      <c r="AD39" s="97">
        <v>6.5219488946714209E-6</v>
      </c>
      <c r="AE39" s="97">
        <v>3.4819711518257452E-6</v>
      </c>
      <c r="AF39" s="97">
        <v>1.7233743423569441E-6</v>
      </c>
      <c r="AG39" s="97">
        <v>7.7693777483392018E-7</v>
      </c>
      <c r="AH39" s="97">
        <v>3.1120775806850153E-7</v>
      </c>
      <c r="AI39" s="97">
        <v>1.0672040489395562E-7</v>
      </c>
      <c r="AJ39" s="97">
        <v>2.9494974987627074E-8</v>
      </c>
      <c r="AK39" s="97">
        <v>5.8672414803042206E-9</v>
      </c>
      <c r="AL39" s="97">
        <v>6.3341367815481011E-10</v>
      </c>
      <c r="AM39" s="97">
        <v>0</v>
      </c>
      <c r="AN39" s="97">
        <v>0</v>
      </c>
      <c r="AO39" s="97">
        <v>0</v>
      </c>
      <c r="AP39" s="97">
        <v>0</v>
      </c>
      <c r="AQ39" s="97">
        <v>0</v>
      </c>
      <c r="AR39" s="97">
        <v>0</v>
      </c>
      <c r="AS39" s="97">
        <v>0</v>
      </c>
      <c r="AT39" s="97">
        <v>0</v>
      </c>
      <c r="AU39" s="97">
        <v>0</v>
      </c>
      <c r="AV39" s="97">
        <v>0</v>
      </c>
      <c r="AW39" s="97">
        <v>0</v>
      </c>
      <c r="AX39" s="97">
        <v>0</v>
      </c>
    </row>
    <row r="40" spans="7:50" x14ac:dyDescent="0.25">
      <c r="P40" s="97">
        <v>1.985582515382076E-4</v>
      </c>
      <c r="Q40" s="97">
        <v>1.9875690910197289E-4</v>
      </c>
      <c r="R40" s="97">
        <v>1.5374539577690392E-4</v>
      </c>
      <c r="S40" s="97">
        <v>1.1598959952040958E-4</v>
      </c>
      <c r="T40" s="97">
        <v>8.5932831078627009E-5</v>
      </c>
      <c r="U40" s="97">
        <v>6.2398895564050213E-5</v>
      </c>
      <c r="V40" s="97">
        <v>4.43216509447691E-5</v>
      </c>
      <c r="W40" s="97">
        <v>3.0715642149513264E-5</v>
      </c>
      <c r="X40" s="97">
        <v>2.070605294763873E-5</v>
      </c>
      <c r="Y40" s="97">
        <v>1.3529265859074139E-5</v>
      </c>
      <c r="Z40" s="97">
        <v>8.5315619192690213E-6</v>
      </c>
      <c r="AA40" s="97">
        <v>5.1654028438634332E-6</v>
      </c>
      <c r="AB40" s="97">
        <v>2.9835191631793195E-6</v>
      </c>
      <c r="AC40" s="97">
        <v>1.6309423821987045E-6</v>
      </c>
      <c r="AD40" s="97">
        <v>8.3525280905801741E-7</v>
      </c>
      <c r="AE40" s="97">
        <v>3.9545428461473224E-7</v>
      </c>
      <c r="AF40" s="97">
        <v>1.7001626350354211E-7</v>
      </c>
      <c r="AG40" s="97">
        <v>6.4722701548061079E-8</v>
      </c>
      <c r="AH40" s="97">
        <v>2.1013356210560819E-8</v>
      </c>
      <c r="AI40" s="97">
        <v>5.4748344361971717E-9</v>
      </c>
      <c r="AJ40" s="97">
        <v>1.0216880371058623E-9</v>
      </c>
      <c r="AK40" s="97">
        <v>1.0290121215377209E-10</v>
      </c>
      <c r="AL40" s="97">
        <v>0</v>
      </c>
      <c r="AM40" s="97">
        <v>0</v>
      </c>
      <c r="AN40" s="97">
        <v>0</v>
      </c>
      <c r="AO40" s="97">
        <v>0</v>
      </c>
      <c r="AP40" s="97">
        <v>0</v>
      </c>
      <c r="AQ40" s="97">
        <v>0</v>
      </c>
      <c r="AR40" s="97">
        <v>0</v>
      </c>
      <c r="AS40" s="97">
        <v>0</v>
      </c>
      <c r="AT40" s="97">
        <v>0</v>
      </c>
      <c r="AU40" s="97">
        <v>0</v>
      </c>
      <c r="AV40" s="97">
        <v>0</v>
      </c>
      <c r="AW40" s="97">
        <v>0</v>
      </c>
      <c r="AX40" s="97">
        <v>0</v>
      </c>
    </row>
    <row r="41" spans="7:50" x14ac:dyDescent="0.25">
      <c r="R41" s="97">
        <v>2.7185119860542815E-5</v>
      </c>
      <c r="S41" s="97">
        <v>2.7212318577495272E-5</v>
      </c>
      <c r="T41" s="97">
        <v>1.9471907182156175E-5</v>
      </c>
      <c r="U41" s="97">
        <v>1.3589202481395793E-5</v>
      </c>
      <c r="V41" s="97">
        <v>9.1649608764488329E-6</v>
      </c>
      <c r="W41" s="97">
        <v>6.0035128028599102E-6</v>
      </c>
      <c r="X41" s="97">
        <v>3.8053920399326316E-6</v>
      </c>
      <c r="Y41" s="97">
        <v>2.3241005303421407E-6</v>
      </c>
      <c r="Z41" s="97">
        <v>1.3603683951174921E-6</v>
      </c>
      <c r="AA41" s="97">
        <v>7.5816713692505909E-7</v>
      </c>
      <c r="AB41" s="97">
        <v>3.9906262455495287E-7</v>
      </c>
      <c r="AC41" s="97">
        <v>1.9632886131260263E-7</v>
      </c>
      <c r="AD41" s="97">
        <v>8.906909823258405E-8</v>
      </c>
      <c r="AE41" s="97">
        <v>3.6591153161843941E-8</v>
      </c>
      <c r="AF41" s="97">
        <v>1.3269671670753101E-8</v>
      </c>
      <c r="AG41" s="97">
        <v>4.0900843029283734E-9</v>
      </c>
      <c r="AH41" s="97">
        <v>1.0078214306005626E-9</v>
      </c>
      <c r="AI41" s="97">
        <v>1.7711060982259822E-10</v>
      </c>
      <c r="AJ41" s="97">
        <v>1.6716815294483657E-11</v>
      </c>
      <c r="AK41" s="97">
        <v>0</v>
      </c>
      <c r="AL41" s="97">
        <v>0</v>
      </c>
      <c r="AM41" s="97">
        <v>0</v>
      </c>
      <c r="AN41" s="97">
        <v>0</v>
      </c>
      <c r="AO41" s="97">
        <v>0</v>
      </c>
      <c r="AP41" s="97">
        <v>0</v>
      </c>
      <c r="AQ41" s="97">
        <v>0</v>
      </c>
      <c r="AR41" s="97">
        <v>0</v>
      </c>
      <c r="AS41" s="97">
        <v>0</v>
      </c>
      <c r="AT41" s="97">
        <v>0</v>
      </c>
      <c r="AU41" s="97">
        <v>0</v>
      </c>
      <c r="AV41" s="97">
        <v>0</v>
      </c>
      <c r="AW41" s="97">
        <v>0</v>
      </c>
      <c r="AX41" s="97">
        <v>0</v>
      </c>
    </row>
    <row r="42" spans="7:50" x14ac:dyDescent="0.25">
      <c r="T42" s="97">
        <v>1.6710564018077739E-6</v>
      </c>
      <c r="U42" s="97">
        <v>1.6727282940163615E-6</v>
      </c>
      <c r="V42" s="97">
        <v>1.6744018589533826E-6</v>
      </c>
      <c r="W42" s="97">
        <v>1.0380875246790167E-6</v>
      </c>
      <c r="X42" s="97">
        <v>6.1878684862549068E-7</v>
      </c>
      <c r="Y42" s="97">
        <v>3.5049393721675705E-7</v>
      </c>
      <c r="Z42" s="97">
        <v>1.8867717372580494E-7</v>
      </c>
      <c r="AA42" s="97">
        <v>9.5737071458149823E-8</v>
      </c>
      <c r="AB42" s="97">
        <v>4.5309337077859213E-8</v>
      </c>
      <c r="AC42" s="97">
        <v>1.9728351593245368E-8</v>
      </c>
      <c r="AD42" s="97">
        <v>7.7588994705337566E-9</v>
      </c>
      <c r="AE42" s="97">
        <v>2.6861808982573813E-9</v>
      </c>
      <c r="AF42" s="97">
        <v>7.8799455309881347E-10</v>
      </c>
      <c r="AG42" s="97">
        <v>1.8416580855809297E-10</v>
      </c>
      <c r="AH42" s="97">
        <v>3.058099838263832E-11</v>
      </c>
      <c r="AI42" s="97">
        <v>2.7157300457485912E-12</v>
      </c>
      <c r="AJ42" s="97">
        <v>0</v>
      </c>
      <c r="AK42" s="97">
        <v>0</v>
      </c>
      <c r="AL42" s="97">
        <v>0</v>
      </c>
      <c r="AM42" s="97">
        <v>0</v>
      </c>
      <c r="AN42" s="97">
        <v>0</v>
      </c>
      <c r="AO42" s="97">
        <v>0</v>
      </c>
      <c r="AP42" s="97">
        <v>0</v>
      </c>
      <c r="AQ42" s="97">
        <v>0</v>
      </c>
      <c r="AR42" s="97">
        <v>0</v>
      </c>
      <c r="AS42" s="97">
        <v>0</v>
      </c>
      <c r="AT42" s="97">
        <v>0</v>
      </c>
      <c r="AU42" s="97">
        <v>0</v>
      </c>
      <c r="AV42" s="97">
        <v>0</v>
      </c>
      <c r="AW42" s="97">
        <v>0</v>
      </c>
      <c r="AX42" s="97">
        <v>0</v>
      </c>
    </row>
    <row r="43" spans="7:50" x14ac:dyDescent="0.25">
      <c r="W43" s="97">
        <v>4.5739915645127213E-8</v>
      </c>
      <c r="X43" s="97">
        <v>4.5785678438355386E-8</v>
      </c>
      <c r="Y43" s="97">
        <v>4.5831487017265815E-8</v>
      </c>
      <c r="Z43" s="97">
        <v>2.2558891678095282E-8</v>
      </c>
      <c r="AA43" s="97">
        <v>1.0284142505821393E-8</v>
      </c>
      <c r="AB43" s="97">
        <v>4.3041686008055747E-9</v>
      </c>
      <c r="AC43" s="97">
        <v>1.6233318991491651E-9</v>
      </c>
      <c r="AD43" s="97">
        <v>5.3759152958542886E-10</v>
      </c>
      <c r="AE43" s="97">
        <v>1.5043306836867027E-10</v>
      </c>
      <c r="AF43" s="97">
        <v>3.3434915920619976E-11</v>
      </c>
      <c r="AG43" s="97">
        <v>5.2618349883174932E-12</v>
      </c>
      <c r="AH43" s="97">
        <v>4.411838948663467E-13</v>
      </c>
      <c r="AI43" s="97">
        <v>0</v>
      </c>
      <c r="AJ43" s="97">
        <v>0</v>
      </c>
      <c r="AK43" s="97">
        <v>0</v>
      </c>
      <c r="AL43" s="97">
        <v>0</v>
      </c>
      <c r="AM43" s="97">
        <v>0</v>
      </c>
      <c r="AN43" s="97">
        <v>0</v>
      </c>
      <c r="AO43" s="97">
        <v>0</v>
      </c>
      <c r="AP43" s="97">
        <v>0</v>
      </c>
      <c r="AQ43" s="97">
        <v>0</v>
      </c>
      <c r="AR43" s="97">
        <v>0</v>
      </c>
      <c r="AS43" s="97">
        <v>0</v>
      </c>
      <c r="AT43" s="97">
        <v>0</v>
      </c>
      <c r="AU43" s="97">
        <v>0</v>
      </c>
      <c r="AV43" s="97">
        <v>0</v>
      </c>
      <c r="AW43" s="97">
        <v>0</v>
      </c>
      <c r="AX43" s="97">
        <v>0</v>
      </c>
    </row>
    <row r="44" spans="7:50" x14ac:dyDescent="0.25">
      <c r="Z44" s="97">
        <v>9.2146181059990047E-10</v>
      </c>
      <c r="AA44" s="97">
        <v>9.2238373329502097E-10</v>
      </c>
      <c r="AB44" s="97">
        <v>3.3481656305733085E-10</v>
      </c>
      <c r="AC44" s="97">
        <v>1.0648744560382955E-10</v>
      </c>
      <c r="AD44" s="97">
        <v>2.8483642773717109E-11</v>
      </c>
      <c r="AE44" s="97">
        <v>6.0346875753686962E-12</v>
      </c>
      <c r="AF44" s="97">
        <v>9.0254049625799586E-13</v>
      </c>
      <c r="AG44" s="97">
        <v>7.1672524813041384E-14</v>
      </c>
      <c r="AH44" s="97">
        <v>0</v>
      </c>
      <c r="AI44" s="97">
        <v>0</v>
      </c>
      <c r="AJ44" s="97">
        <v>0</v>
      </c>
      <c r="AK44" s="97">
        <v>0</v>
      </c>
      <c r="AL44" s="97">
        <v>0</v>
      </c>
      <c r="AM44" s="97">
        <v>0</v>
      </c>
      <c r="AN44" s="97">
        <v>0</v>
      </c>
      <c r="AO44" s="97">
        <v>0</v>
      </c>
      <c r="AP44" s="97">
        <v>0</v>
      </c>
      <c r="AQ44" s="97">
        <v>0</v>
      </c>
      <c r="AR44" s="97">
        <v>0</v>
      </c>
      <c r="AS44" s="97">
        <v>0</v>
      </c>
      <c r="AT44" s="97">
        <v>0</v>
      </c>
      <c r="AU44" s="97">
        <v>0</v>
      </c>
      <c r="AV44" s="97">
        <v>0</v>
      </c>
      <c r="AW44" s="97">
        <v>0</v>
      </c>
      <c r="AX44" s="97">
        <v>0</v>
      </c>
    </row>
    <row r="45" spans="7:50" x14ac:dyDescent="0.25">
      <c r="AB45" s="97">
        <v>1.0810051437187025E-12</v>
      </c>
      <c r="AC45" s="97">
        <v>1.0820866895452057E-12</v>
      </c>
      <c r="AD45" s="97">
        <v>1.0831693174584885E-12</v>
      </c>
      <c r="AE45" s="97">
        <v>1.543760451158672E-13</v>
      </c>
      <c r="AF45" s="97">
        <v>1.1643559234256081E-14</v>
      </c>
      <c r="AG45" s="97">
        <v>0</v>
      </c>
      <c r="AH45" s="97">
        <v>0</v>
      </c>
      <c r="AI45" s="97">
        <v>0</v>
      </c>
      <c r="AJ45" s="97">
        <v>0</v>
      </c>
      <c r="AK45" s="97">
        <v>0</v>
      </c>
      <c r="AL45" s="97">
        <v>0</v>
      </c>
      <c r="AM45" s="97">
        <v>0</v>
      </c>
      <c r="AN45" s="97">
        <v>0</v>
      </c>
      <c r="AO45" s="97">
        <v>0</v>
      </c>
      <c r="AP45" s="97">
        <v>0</v>
      </c>
      <c r="AQ45" s="97">
        <v>0</v>
      </c>
      <c r="AR45" s="97">
        <v>0</v>
      </c>
      <c r="AS45" s="97">
        <v>0</v>
      </c>
      <c r="AT45" s="97">
        <v>0</v>
      </c>
      <c r="AU45" s="97">
        <v>0</v>
      </c>
      <c r="AV45" s="97">
        <v>0</v>
      </c>
      <c r="AW45" s="97">
        <v>0</v>
      </c>
      <c r="AX45" s="97">
        <v>0</v>
      </c>
    </row>
    <row r="46" spans="7:50" x14ac:dyDescent="0.25">
      <c r="AE46" s="97">
        <v>0</v>
      </c>
      <c r="AF46" s="97">
        <v>0</v>
      </c>
      <c r="AG46" s="97">
        <v>0</v>
      </c>
      <c r="AH46" s="97">
        <v>0</v>
      </c>
      <c r="AI46" s="97">
        <v>0</v>
      </c>
      <c r="AJ46" s="97">
        <v>0</v>
      </c>
      <c r="AK46" s="97">
        <v>0</v>
      </c>
      <c r="AL46" s="97">
        <v>0</v>
      </c>
      <c r="AM46" s="97">
        <v>0</v>
      </c>
      <c r="AN46" s="97">
        <v>0</v>
      </c>
      <c r="AO46" s="97">
        <v>0</v>
      </c>
      <c r="AP46" s="97">
        <v>0</v>
      </c>
      <c r="AQ46" s="97">
        <v>0</v>
      </c>
      <c r="AR46" s="97">
        <v>0</v>
      </c>
      <c r="AS46" s="97">
        <v>0</v>
      </c>
      <c r="AT46" s="97">
        <v>0</v>
      </c>
      <c r="AU46" s="97">
        <v>0</v>
      </c>
      <c r="AV46" s="97">
        <v>0</v>
      </c>
      <c r="AW46" s="97">
        <v>0</v>
      </c>
      <c r="AX46" s="97">
        <v>0</v>
      </c>
    </row>
    <row r="47" spans="7:50" x14ac:dyDescent="0.25">
      <c r="AI47" s="97">
        <v>0</v>
      </c>
      <c r="AJ47" s="97">
        <v>0</v>
      </c>
      <c r="AK47" s="97">
        <v>0</v>
      </c>
      <c r="AL47" s="97">
        <v>0</v>
      </c>
      <c r="AM47" s="97">
        <v>0</v>
      </c>
      <c r="AN47" s="97">
        <v>0</v>
      </c>
      <c r="AO47" s="97">
        <v>0</v>
      </c>
      <c r="AP47" s="97">
        <v>0</v>
      </c>
      <c r="AQ47" s="97">
        <v>0</v>
      </c>
      <c r="AR47" s="97">
        <v>0</v>
      </c>
      <c r="AS47" s="97">
        <v>0</v>
      </c>
      <c r="AT47" s="97">
        <v>0</v>
      </c>
      <c r="AU47" s="97">
        <v>0</v>
      </c>
      <c r="AV47" s="97">
        <v>0</v>
      </c>
      <c r="AW47" s="97">
        <v>0</v>
      </c>
      <c r="AX47" s="97">
        <v>0</v>
      </c>
    </row>
    <row r="48" spans="7:50" x14ac:dyDescent="0.25">
      <c r="AL48" s="97">
        <v>0</v>
      </c>
      <c r="AM48" s="97">
        <v>0</v>
      </c>
      <c r="AN48" s="97">
        <v>0</v>
      </c>
      <c r="AO48" s="97">
        <v>0</v>
      </c>
      <c r="AP48" s="97">
        <v>0</v>
      </c>
      <c r="AQ48" s="97">
        <v>0</v>
      </c>
      <c r="AR48" s="97">
        <v>0</v>
      </c>
      <c r="AS48" s="97">
        <v>0</v>
      </c>
      <c r="AT48" s="97">
        <v>0</v>
      </c>
      <c r="AU48" s="97">
        <v>0</v>
      </c>
      <c r="AV48" s="97">
        <v>0</v>
      </c>
      <c r="AW48" s="97">
        <v>0</v>
      </c>
      <c r="AX48" s="97">
        <v>0</v>
      </c>
    </row>
    <row r="49" spans="42:50" x14ac:dyDescent="0.25">
      <c r="AP49" s="97">
        <v>0</v>
      </c>
      <c r="AQ49" s="97">
        <v>0</v>
      </c>
      <c r="AR49" s="97">
        <v>0</v>
      </c>
      <c r="AS49" s="97">
        <v>0</v>
      </c>
      <c r="AT49" s="97">
        <v>0</v>
      </c>
      <c r="AU49" s="97">
        <v>0</v>
      </c>
      <c r="AV49" s="97">
        <v>0</v>
      </c>
      <c r="AW49" s="97">
        <v>0</v>
      </c>
      <c r="AX49" s="97">
        <v>0</v>
      </c>
    </row>
    <row r="50" spans="42:50" x14ac:dyDescent="0.25">
      <c r="AS50" s="97">
        <v>0</v>
      </c>
      <c r="AT50" s="97">
        <v>0</v>
      </c>
      <c r="AU50" s="97">
        <v>0</v>
      </c>
      <c r="AV50" s="97">
        <v>0</v>
      </c>
      <c r="AW50" s="97">
        <v>0</v>
      </c>
      <c r="AX50" s="97">
        <v>0</v>
      </c>
    </row>
    <row r="51" spans="42:50" x14ac:dyDescent="0.25">
      <c r="AW51" s="97">
        <v>0</v>
      </c>
      <c r="AX51" s="97">
        <v>0</v>
      </c>
    </row>
  </sheetData>
  <mergeCells count="1">
    <mergeCell ref="A1:C3"/>
  </mergeCells>
  <conditionalFormatting sqref="A4:XFD1048576 A1 D1:XFD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/>
  <dimension ref="A1:AX51"/>
  <sheetViews>
    <sheetView zoomScale="70" zoomScaleNormal="70" workbookViewId="0">
      <selection activeCell="A4" sqref="A4"/>
    </sheetView>
  </sheetViews>
  <sheetFormatPr baseColWidth="10" defaultColWidth="9.140625" defaultRowHeight="15" x14ac:dyDescent="0.25"/>
  <cols>
    <col min="1" max="16384" width="9.140625" style="97"/>
  </cols>
  <sheetData>
    <row r="1" spans="1:50" x14ac:dyDescent="0.25">
      <c r="A1" s="96" t="s">
        <v>61</v>
      </c>
      <c r="B1" s="96"/>
      <c r="C1" s="96"/>
    </row>
    <row r="2" spans="1:50" x14ac:dyDescent="0.25">
      <c r="A2" s="96"/>
      <c r="B2" s="96"/>
      <c r="C2" s="96"/>
    </row>
    <row r="3" spans="1:50" x14ac:dyDescent="0.25">
      <c r="A3" s="96"/>
      <c r="B3" s="96"/>
      <c r="C3" s="96"/>
    </row>
    <row r="4" spans="1:50" x14ac:dyDescent="0.25">
      <c r="AV4" s="97">
        <v>313.72197761482215</v>
      </c>
      <c r="AW4" s="97">
        <v>314.03585650572586</v>
      </c>
      <c r="AX4" s="97">
        <v>314.35004943251249</v>
      </c>
    </row>
    <row r="5" spans="1:50" x14ac:dyDescent="0.25">
      <c r="AR5" s="97">
        <v>297.53068937445283</v>
      </c>
      <c r="AS5" s="97">
        <v>297.82836887877272</v>
      </c>
      <c r="AT5" s="97">
        <v>298.12634621148646</v>
      </c>
      <c r="AU5" s="97">
        <v>298.42462167057124</v>
      </c>
      <c r="AV5" s="97">
        <v>298.72319555430244</v>
      </c>
      <c r="AW5" s="97">
        <v>299.0220681612542</v>
      </c>
      <c r="AX5" s="97">
        <v>299.32123979029922</v>
      </c>
    </row>
    <row r="6" spans="1:50" x14ac:dyDescent="0.25">
      <c r="AN6" s="97">
        <v>282.175038525113</v>
      </c>
      <c r="AO6" s="97">
        <v>282.45735469819829</v>
      </c>
      <c r="AP6" s="97">
        <v>282.73995332866184</v>
      </c>
      <c r="AQ6" s="97">
        <v>283.02283469910225</v>
      </c>
      <c r="AR6" s="97">
        <v>283.30599909240112</v>
      </c>
      <c r="AS6" s="97">
        <v>283.58944679172248</v>
      </c>
      <c r="AT6" s="97">
        <v>283.87317808051438</v>
      </c>
      <c r="AU6" s="97">
        <v>284.15719324250796</v>
      </c>
      <c r="AV6" s="97">
        <v>284.44149256171841</v>
      </c>
      <c r="AW6" s="97">
        <v>284.72607632244518</v>
      </c>
      <c r="AX6" s="97">
        <v>285.01094480927219</v>
      </c>
    </row>
    <row r="7" spans="1:50" x14ac:dyDescent="0.25">
      <c r="AJ7" s="97">
        <v>267.61189756274507</v>
      </c>
      <c r="AK7" s="97">
        <v>267.87964331086977</v>
      </c>
      <c r="AL7" s="97">
        <v>268.14765693866013</v>
      </c>
      <c r="AM7" s="97">
        <v>268.4159387141296</v>
      </c>
      <c r="AN7" s="97">
        <v>268.68448890556044</v>
      </c>
      <c r="AO7" s="97">
        <v>268.95330778150236</v>
      </c>
      <c r="AP7" s="97">
        <v>269.22239561077453</v>
      </c>
      <c r="AQ7" s="97">
        <v>269.49175266246471</v>
      </c>
      <c r="AR7" s="97">
        <v>269.76137920593015</v>
      </c>
      <c r="AS7" s="97">
        <v>270.03127551079712</v>
      </c>
      <c r="AT7" s="97">
        <v>270.30144184696218</v>
      </c>
      <c r="AU7" s="97">
        <v>270.57187848459159</v>
      </c>
      <c r="AV7" s="97">
        <v>270.84258569412196</v>
      </c>
      <c r="AW7" s="97">
        <v>271.11356374626064</v>
      </c>
      <c r="AX7" s="97">
        <v>271.38481291198582</v>
      </c>
    </row>
    <row r="8" spans="1:50" x14ac:dyDescent="0.25">
      <c r="AG8" s="97">
        <v>254.05429211440736</v>
      </c>
      <c r="AH8" s="97">
        <v>254.30847347602077</v>
      </c>
      <c r="AI8" s="97">
        <v>254.56290914612887</v>
      </c>
      <c r="AJ8" s="97">
        <v>254.81759937916732</v>
      </c>
      <c r="AK8" s="97">
        <v>255.07254442982645</v>
      </c>
      <c r="AL8" s="97">
        <v>255.32774455305125</v>
      </c>
      <c r="AM8" s="97">
        <v>255.58320000404177</v>
      </c>
      <c r="AN8" s="97">
        <v>255.8389110382538</v>
      </c>
      <c r="AO8" s="97">
        <v>256.09487791139804</v>
      </c>
      <c r="AP8" s="97">
        <v>256.35110087944156</v>
      </c>
      <c r="AQ8" s="97">
        <v>256.60758019860725</v>
      </c>
      <c r="AR8" s="97">
        <v>256.86431612537473</v>
      </c>
      <c r="AS8" s="97">
        <v>257.12130891647956</v>
      </c>
      <c r="AT8" s="97">
        <v>257.37855882891478</v>
      </c>
      <c r="AU8" s="97">
        <v>257.63606611993032</v>
      </c>
      <c r="AV8" s="97">
        <v>257.8938310470333</v>
      </c>
      <c r="AW8" s="97">
        <v>258.1518538679889</v>
      </c>
      <c r="AX8" s="97">
        <v>258.41013484082004</v>
      </c>
    </row>
    <row r="9" spans="1:50" x14ac:dyDescent="0.25">
      <c r="AD9" s="97">
        <v>241.1835345497654</v>
      </c>
      <c r="AE9" s="97">
        <v>241.42483871628971</v>
      </c>
      <c r="AF9" s="97">
        <v>241.66638430767293</v>
      </c>
      <c r="AG9" s="97">
        <v>241.90817156546061</v>
      </c>
      <c r="AH9" s="97">
        <v>242.15020073143992</v>
      </c>
      <c r="AI9" s="97">
        <v>242.39247204764021</v>
      </c>
      <c r="AJ9" s="97">
        <v>242.6349857563327</v>
      </c>
      <c r="AK9" s="97">
        <v>242.87774210003124</v>
      </c>
      <c r="AL9" s="97">
        <v>243.12074132149209</v>
      </c>
      <c r="AM9" s="97">
        <v>243.36398366371444</v>
      </c>
      <c r="AN9" s="97">
        <v>243.60746936994093</v>
      </c>
      <c r="AO9" s="97">
        <v>243.85119868365692</v>
      </c>
      <c r="AP9" s="97">
        <v>244.09517184859195</v>
      </c>
      <c r="AQ9" s="97">
        <v>244.33938910871916</v>
      </c>
      <c r="AR9" s="97">
        <v>244.58385070825594</v>
      </c>
      <c r="AS9" s="97">
        <v>244.82855689166374</v>
      </c>
      <c r="AT9" s="97">
        <v>245.07350790364882</v>
      </c>
      <c r="AU9" s="97">
        <v>245.31870398916223</v>
      </c>
      <c r="AV9" s="97">
        <v>245.5641453934</v>
      </c>
      <c r="AW9" s="97">
        <v>245.80983236180367</v>
      </c>
      <c r="AX9" s="97">
        <v>246.05576514006037</v>
      </c>
    </row>
    <row r="10" spans="1:50" x14ac:dyDescent="0.25">
      <c r="AA10" s="97">
        <v>228.96482816248815</v>
      </c>
      <c r="AB10" s="97">
        <v>229.19390751123515</v>
      </c>
      <c r="AC10" s="97">
        <v>229.4232160539087</v>
      </c>
      <c r="AD10" s="97">
        <v>229.65275401981745</v>
      </c>
      <c r="AE10" s="97">
        <v>229.8825216384993</v>
      </c>
      <c r="AF10" s="97">
        <v>230.11251913972197</v>
      </c>
      <c r="AG10" s="97">
        <v>230.34274675348297</v>
      </c>
      <c r="AH10" s="97">
        <v>230.57320471000986</v>
      </c>
      <c r="AI10" s="97">
        <v>230.80389323976073</v>
      </c>
      <c r="AJ10" s="97">
        <v>231.03481257342403</v>
      </c>
      <c r="AK10" s="97">
        <v>231.26596294191921</v>
      </c>
      <c r="AL10" s="97">
        <v>231.49734457639659</v>
      </c>
      <c r="AM10" s="97">
        <v>231.72895770823774</v>
      </c>
      <c r="AN10" s="97">
        <v>231.96080256905614</v>
      </c>
      <c r="AO10" s="97">
        <v>232.19287939069625</v>
      </c>
      <c r="AP10" s="97">
        <v>232.42518840523513</v>
      </c>
      <c r="AQ10" s="97">
        <v>232.65772984498179</v>
      </c>
      <c r="AR10" s="97">
        <v>232.89050394247775</v>
      </c>
      <c r="AS10" s="97">
        <v>233.12351093049702</v>
      </c>
      <c r="AT10" s="97">
        <v>233.35675104204662</v>
      </c>
      <c r="AU10" s="97">
        <v>233.59022451036671</v>
      </c>
      <c r="AV10" s="97">
        <v>233.8239315689307</v>
      </c>
      <c r="AW10" s="97">
        <v>234.0578724514458</v>
      </c>
      <c r="AX10" s="97">
        <v>234.29204739185303</v>
      </c>
    </row>
    <row r="11" spans="1:50" x14ac:dyDescent="0.25">
      <c r="X11" s="97">
        <v>217.36513909767135</v>
      </c>
      <c r="Y11" s="97">
        <v>217.58261295557514</v>
      </c>
      <c r="Z11" s="97">
        <v>217.80030439610999</v>
      </c>
      <c r="AA11" s="97">
        <v>218.0182136369674</v>
      </c>
      <c r="AB11" s="97">
        <v>218.23634089605673</v>
      </c>
      <c r="AC11" s="97">
        <v>218.45468639150508</v>
      </c>
      <c r="AD11" s="97">
        <v>218.67325034165805</v>
      </c>
      <c r="AE11" s="97">
        <v>218.89203296507952</v>
      </c>
      <c r="AF11" s="97">
        <v>219.11103448055223</v>
      </c>
      <c r="AG11" s="97">
        <v>219.3302551070777</v>
      </c>
      <c r="AH11" s="97">
        <v>219.54969506387647</v>
      </c>
      <c r="AI11" s="97">
        <v>219.76935457038869</v>
      </c>
      <c r="AJ11" s="97">
        <v>219.98923384627372</v>
      </c>
      <c r="AK11" s="97">
        <v>220.20933311141101</v>
      </c>
      <c r="AL11" s="97">
        <v>220.42965258589973</v>
      </c>
      <c r="AM11" s="97">
        <v>220.65019249005931</v>
      </c>
      <c r="AN11" s="97">
        <v>220.87095304443</v>
      </c>
      <c r="AO11" s="97">
        <v>221.09193446977193</v>
      </c>
      <c r="AP11" s="97">
        <v>221.31313698706683</v>
      </c>
      <c r="AQ11" s="97">
        <v>221.53456081751713</v>
      </c>
      <c r="AR11" s="97">
        <v>221.75620618254678</v>
      </c>
      <c r="AS11" s="97">
        <v>221.97807330380107</v>
      </c>
      <c r="AT11" s="97">
        <v>222.20016240314712</v>
      </c>
      <c r="AU11" s="97">
        <v>222.4224737026741</v>
      </c>
      <c r="AV11" s="97">
        <v>222.64500742469323</v>
      </c>
      <c r="AW11" s="97">
        <v>222.86776379173841</v>
      </c>
      <c r="AX11" s="97">
        <v>223.09074302656609</v>
      </c>
    </row>
    <row r="12" spans="1:50" x14ac:dyDescent="0.25">
      <c r="U12" s="97">
        <v>206.35310704323575</v>
      </c>
      <c r="V12" s="97">
        <v>206.55956336123333</v>
      </c>
      <c r="W12" s="97">
        <v>206.76622623881136</v>
      </c>
      <c r="X12" s="97">
        <v>206.973095882633</v>
      </c>
      <c r="Y12" s="97">
        <v>207.18017249956773</v>
      </c>
      <c r="Z12" s="97">
        <v>207.38745629669216</v>
      </c>
      <c r="AA12" s="97">
        <v>207.59494748129021</v>
      </c>
      <c r="AB12" s="97">
        <v>207.80264626085312</v>
      </c>
      <c r="AC12" s="97">
        <v>208.01055284307955</v>
      </c>
      <c r="AD12" s="97">
        <v>208.2186674358762</v>
      </c>
      <c r="AE12" s="97">
        <v>208.42699024735757</v>
      </c>
      <c r="AF12" s="97">
        <v>208.6355214858466</v>
      </c>
      <c r="AG12" s="97">
        <v>208.84426135987451</v>
      </c>
      <c r="AH12" s="97">
        <v>209.05321007818111</v>
      </c>
      <c r="AI12" s="97">
        <v>209.26236784971528</v>
      </c>
      <c r="AJ12" s="97">
        <v>209.47173488363467</v>
      </c>
      <c r="AK12" s="97">
        <v>209.68131138930647</v>
      </c>
      <c r="AL12" s="97">
        <v>209.89109757630712</v>
      </c>
      <c r="AM12" s="97">
        <v>210.10109365442275</v>
      </c>
      <c r="AN12" s="97">
        <v>210.31129983364974</v>
      </c>
      <c r="AO12" s="97">
        <v>210.5217163241939</v>
      </c>
      <c r="AP12" s="97">
        <v>210.73234333647201</v>
      </c>
      <c r="AQ12" s="97">
        <v>210.94318108111099</v>
      </c>
      <c r="AR12" s="97">
        <v>211.15422976894868</v>
      </c>
      <c r="AS12" s="97">
        <v>211.36548961103375</v>
      </c>
      <c r="AT12" s="97">
        <v>211.57696081862596</v>
      </c>
      <c r="AU12" s="97">
        <v>211.78864360319665</v>
      </c>
      <c r="AV12" s="97">
        <v>212.00053817642853</v>
      </c>
      <c r="AW12" s="97">
        <v>212.2126447502163</v>
      </c>
      <c r="AX12" s="97">
        <v>212.42496353666661</v>
      </c>
    </row>
    <row r="13" spans="1:50" x14ac:dyDescent="0.25">
      <c r="R13" s="97">
        <v>195.89896044583023</v>
      </c>
      <c r="S13" s="97">
        <v>196.09495738841431</v>
      </c>
      <c r="T13" s="97">
        <v>196.29115042597212</v>
      </c>
      <c r="U13" s="97">
        <v>196.48753975469666</v>
      </c>
      <c r="V13" s="97">
        <v>196.68412557097736</v>
      </c>
      <c r="W13" s="97">
        <v>196.88090807139994</v>
      </c>
      <c r="X13" s="97">
        <v>197.07788745274712</v>
      </c>
      <c r="Y13" s="97">
        <v>197.27506391199813</v>
      </c>
      <c r="Z13" s="97">
        <v>197.47243764632944</v>
      </c>
      <c r="AA13" s="97">
        <v>197.67000885311487</v>
      </c>
      <c r="AB13" s="97">
        <v>197.86777772992573</v>
      </c>
      <c r="AC13" s="97">
        <v>198.06574447453073</v>
      </c>
      <c r="AD13" s="97">
        <v>198.26390928489676</v>
      </c>
      <c r="AE13" s="97">
        <v>198.46227235918855</v>
      </c>
      <c r="AF13" s="97">
        <v>198.66083389576926</v>
      </c>
      <c r="AG13" s="97">
        <v>198.85959409320043</v>
      </c>
      <c r="AH13" s="97">
        <v>199.0585531502422</v>
      </c>
      <c r="AI13" s="97">
        <v>199.25771126585377</v>
      </c>
      <c r="AJ13" s="97">
        <v>199.45706863919315</v>
      </c>
      <c r="AK13" s="97">
        <v>199.65662546961786</v>
      </c>
      <c r="AL13" s="97">
        <v>199.85638195668466</v>
      </c>
      <c r="AM13" s="97">
        <v>200.05633830015</v>
      </c>
      <c r="AN13" s="97">
        <v>200.25649469997049</v>
      </c>
      <c r="AO13" s="97">
        <v>200.45685135630217</v>
      </c>
      <c r="AP13" s="97">
        <v>200.657408469502</v>
      </c>
      <c r="AQ13" s="97">
        <v>200.85816624012702</v>
      </c>
      <c r="AR13" s="97">
        <v>201.05912486893504</v>
      </c>
      <c r="AS13" s="97">
        <v>201.2602845568847</v>
      </c>
      <c r="AT13" s="97">
        <v>201.46164550513561</v>
      </c>
      <c r="AU13" s="97">
        <v>201.66320791504884</v>
      </c>
      <c r="AV13" s="97">
        <v>201.86497198818674</v>
      </c>
      <c r="AW13" s="97">
        <v>202.0669379263135</v>
      </c>
      <c r="AX13" s="97">
        <v>202.2691059313951</v>
      </c>
    </row>
    <row r="14" spans="1:50" x14ac:dyDescent="0.25">
      <c r="P14" s="97">
        <v>186.16050347626188</v>
      </c>
      <c r="Q14" s="97">
        <v>186.34675709102436</v>
      </c>
      <c r="R14" s="97">
        <v>186.53319705255959</v>
      </c>
      <c r="S14" s="97">
        <v>186.71982354730733</v>
      </c>
      <c r="T14" s="97">
        <v>186.90663676189419</v>
      </c>
      <c r="U14" s="97">
        <v>187.09363688313334</v>
      </c>
      <c r="V14" s="97">
        <v>187.28082409802502</v>
      </c>
      <c r="W14" s="97">
        <v>187.46819859375631</v>
      </c>
      <c r="X14" s="97">
        <v>187.65576055770191</v>
      </c>
      <c r="Y14" s="97">
        <v>187.8435101774237</v>
      </c>
      <c r="Z14" s="97">
        <v>188.03144764067125</v>
      </c>
      <c r="AA14" s="97">
        <v>188.21957313538212</v>
      </c>
      <c r="AB14" s="97">
        <v>188.40788684968192</v>
      </c>
      <c r="AC14" s="97">
        <v>188.59638897188418</v>
      </c>
      <c r="AD14" s="97">
        <v>188.78507969049119</v>
      </c>
      <c r="AE14" s="97">
        <v>188.97395919419358</v>
      </c>
      <c r="AF14" s="97">
        <v>189.16302767187094</v>
      </c>
      <c r="AG14" s="97">
        <v>189.35228531259173</v>
      </c>
      <c r="AH14" s="97">
        <v>189.54173230561355</v>
      </c>
      <c r="AI14" s="97">
        <v>189.73136884038354</v>
      </c>
      <c r="AJ14" s="97">
        <v>189.92119510653814</v>
      </c>
      <c r="AK14" s="97">
        <v>190.11121129390369</v>
      </c>
      <c r="AL14" s="97">
        <v>190.30141759249639</v>
      </c>
      <c r="AM14" s="97">
        <v>190.49181419252247</v>
      </c>
      <c r="AN14" s="97">
        <v>190.68240128437878</v>
      </c>
      <c r="AO14" s="97">
        <v>190.87317905865208</v>
      </c>
      <c r="AP14" s="97">
        <v>191.06414770612045</v>
      </c>
      <c r="AQ14" s="97">
        <v>191.25530741775242</v>
      </c>
      <c r="AR14" s="97">
        <v>191.44665838470777</v>
      </c>
      <c r="AS14" s="97">
        <v>191.63820079833749</v>
      </c>
      <c r="AT14" s="97">
        <v>191.82993485018389</v>
      </c>
      <c r="AU14" s="97">
        <v>192.02186073198115</v>
      </c>
      <c r="AV14" s="97">
        <v>192.21397863565511</v>
      </c>
      <c r="AW14" s="97">
        <v>192.40628875332376</v>
      </c>
      <c r="AX14" s="97">
        <v>192.59879127729727</v>
      </c>
    </row>
    <row r="15" spans="1:50" x14ac:dyDescent="0.25">
      <c r="N15" s="97">
        <v>176.90616109276544</v>
      </c>
      <c r="O15" s="97">
        <v>177.08315573643051</v>
      </c>
      <c r="P15" s="97">
        <v>177.26032746326601</v>
      </c>
      <c r="Q15" s="97">
        <v>177.43767645044375</v>
      </c>
      <c r="R15" s="97">
        <v>177.61520287531283</v>
      </c>
      <c r="S15" s="97">
        <v>177.79290691539956</v>
      </c>
      <c r="T15" s="97">
        <v>177.97078874840798</v>
      </c>
      <c r="U15" s="97">
        <v>178.14884855221996</v>
      </c>
      <c r="V15" s="97">
        <v>178.32708650489539</v>
      </c>
      <c r="W15" s="97">
        <v>178.5055027846721</v>
      </c>
      <c r="X15" s="97">
        <v>178.68409756996655</v>
      </c>
      <c r="Y15" s="97">
        <v>178.86287103937346</v>
      </c>
      <c r="Z15" s="97">
        <v>179.04182337166625</v>
      </c>
      <c r="AA15" s="97">
        <v>179.22095474579734</v>
      </c>
      <c r="AB15" s="97">
        <v>179.40026534089822</v>
      </c>
      <c r="AC15" s="97">
        <v>179.57975533627928</v>
      </c>
      <c r="AD15" s="97">
        <v>179.75942491143073</v>
      </c>
      <c r="AE15" s="97">
        <v>179.93927424602202</v>
      </c>
      <c r="AF15" s="97">
        <v>180.11930351990256</v>
      </c>
      <c r="AG15" s="97">
        <v>180.29951291310164</v>
      </c>
      <c r="AH15" s="97">
        <v>180.47990260582861</v>
      </c>
      <c r="AI15" s="97">
        <v>180.66047277847326</v>
      </c>
      <c r="AJ15" s="97">
        <v>180.84122361160573</v>
      </c>
      <c r="AK15" s="97">
        <v>181.02215528597691</v>
      </c>
      <c r="AL15" s="97">
        <v>181.20326798251844</v>
      </c>
      <c r="AM15" s="97">
        <v>181.38456188234301</v>
      </c>
      <c r="AN15" s="97">
        <v>181.56603716674474</v>
      </c>
      <c r="AO15" s="97">
        <v>181.74769401719857</v>
      </c>
      <c r="AP15" s="97">
        <v>181.92953261536167</v>
      </c>
      <c r="AQ15" s="97">
        <v>182.11155314307251</v>
      </c>
      <c r="AR15" s="97">
        <v>182.2937557823517</v>
      </c>
      <c r="AS15" s="97">
        <v>182.4761407154019</v>
      </c>
      <c r="AT15" s="97">
        <v>182.65870812460793</v>
      </c>
      <c r="AU15" s="97">
        <v>182.84145819253732</v>
      </c>
      <c r="AV15" s="97">
        <v>183.02439110194013</v>
      </c>
      <c r="AW15" s="97">
        <v>183.20750703574933</v>
      </c>
      <c r="AX15" s="97">
        <v>183.39080617708086</v>
      </c>
    </row>
    <row r="16" spans="1:50" x14ac:dyDescent="0.25">
      <c r="L16" s="97">
        <v>168.11186716934361</v>
      </c>
      <c r="M16" s="97">
        <v>168.28006312047222</v>
      </c>
      <c r="N16" s="97">
        <v>168.44842735167794</v>
      </c>
      <c r="O16" s="97">
        <v>168.61696003132508</v>
      </c>
      <c r="P16" s="97">
        <v>168.78566132794623</v>
      </c>
      <c r="Q16" s="97">
        <v>168.95453141024279</v>
      </c>
      <c r="R16" s="97">
        <v>169.12357044708494</v>
      </c>
      <c r="S16" s="97">
        <v>169.29277860751159</v>
      </c>
      <c r="T16" s="97">
        <v>169.46215606073093</v>
      </c>
      <c r="U16" s="97">
        <v>169.63170297612044</v>
      </c>
      <c r="V16" s="97">
        <v>169.80141952322708</v>
      </c>
      <c r="W16" s="97">
        <v>169.97130587176736</v>
      </c>
      <c r="X16" s="97">
        <v>170.14136219162771</v>
      </c>
      <c r="Y16" s="97">
        <v>170.31158865286446</v>
      </c>
      <c r="Z16" s="97">
        <v>170.48198542570398</v>
      </c>
      <c r="AA16" s="97">
        <v>170.65255268054312</v>
      </c>
      <c r="AB16" s="97">
        <v>170.82329058794929</v>
      </c>
      <c r="AC16" s="97">
        <v>170.99419931866018</v>
      </c>
      <c r="AD16" s="97">
        <v>171.16527904358472</v>
      </c>
      <c r="AE16" s="97">
        <v>171.3365299338025</v>
      </c>
      <c r="AF16" s="97">
        <v>171.50795216056451</v>
      </c>
      <c r="AG16" s="97">
        <v>171.67954589529299</v>
      </c>
      <c r="AH16" s="97">
        <v>171.85131130958163</v>
      </c>
      <c r="AI16" s="97">
        <v>172.02324857519594</v>
      </c>
      <c r="AJ16" s="97">
        <v>172.19535786407312</v>
      </c>
      <c r="AK16" s="97">
        <v>172.36763934832254</v>
      </c>
      <c r="AL16" s="97">
        <v>172.54009320022567</v>
      </c>
      <c r="AM16" s="97">
        <v>172.71271959223634</v>
      </c>
      <c r="AN16" s="97">
        <v>172.88551869698114</v>
      </c>
      <c r="AO16" s="97">
        <v>173.05849068725885</v>
      </c>
      <c r="AP16" s="97">
        <v>173.2316357360418</v>
      </c>
      <c r="AQ16" s="97">
        <v>173.40495401647487</v>
      </c>
      <c r="AR16" s="97">
        <v>173.57844570187643</v>
      </c>
      <c r="AS16" s="97">
        <v>173.75211096573818</v>
      </c>
      <c r="AT16" s="97">
        <v>173.92594998172532</v>
      </c>
      <c r="AU16" s="97">
        <v>174.09996292367694</v>
      </c>
      <c r="AV16" s="97">
        <v>174.27414996560597</v>
      </c>
      <c r="AW16" s="97">
        <v>174.44851128169952</v>
      </c>
      <c r="AX16" s="97">
        <v>174.62304704631893</v>
      </c>
    </row>
    <row r="17" spans="1:50" x14ac:dyDescent="0.25">
      <c r="K17" s="97">
        <v>159.91458660234585</v>
      </c>
      <c r="L17" s="97">
        <v>160.07458117290059</v>
      </c>
      <c r="M17" s="97">
        <v>160.23473581804987</v>
      </c>
      <c r="N17" s="97">
        <v>160.39505069794828</v>
      </c>
      <c r="O17" s="97">
        <v>160.5555259729108</v>
      </c>
      <c r="P17" s="97">
        <v>160.7161618034126</v>
      </c>
      <c r="Q17" s="97">
        <v>160.87695835008964</v>
      </c>
      <c r="R17" s="97">
        <v>161.03791577373849</v>
      </c>
      <c r="S17" s="97">
        <v>161.1990342353165</v>
      </c>
      <c r="T17" s="97">
        <v>161.36031389594217</v>
      </c>
      <c r="U17" s="97">
        <v>161.52175491689516</v>
      </c>
      <c r="V17" s="97">
        <v>161.68335745961656</v>
      </c>
      <c r="W17" s="97">
        <v>161.84512168570885</v>
      </c>
      <c r="X17" s="97">
        <v>162.00704775693634</v>
      </c>
      <c r="Y17" s="97">
        <v>162.16913583522512</v>
      </c>
      <c r="Z17" s="97">
        <v>162.33138608266319</v>
      </c>
      <c r="AA17" s="97">
        <v>162.49379866150085</v>
      </c>
      <c r="AB17" s="97">
        <v>162.6563737341508</v>
      </c>
      <c r="AC17" s="97">
        <v>162.81911146318799</v>
      </c>
      <c r="AD17" s="97">
        <v>162.98201201135026</v>
      </c>
      <c r="AE17" s="97">
        <v>163.14507554153809</v>
      </c>
      <c r="AF17" s="97">
        <v>163.30830221681506</v>
      </c>
      <c r="AG17" s="97">
        <v>163.47169220040786</v>
      </c>
      <c r="AH17" s="97">
        <v>163.63524565570646</v>
      </c>
      <c r="AI17" s="97">
        <v>163.79896274626435</v>
      </c>
      <c r="AJ17" s="97">
        <v>163.96284363579863</v>
      </c>
      <c r="AK17" s="97">
        <v>164.12688848819025</v>
      </c>
      <c r="AL17" s="97">
        <v>164.29109746748401</v>
      </c>
      <c r="AM17" s="97">
        <v>164.4554707378889</v>
      </c>
      <c r="AN17" s="97">
        <v>164.62000846377836</v>
      </c>
      <c r="AO17" s="97">
        <v>164.78471080968984</v>
      </c>
      <c r="AP17" s="97">
        <v>164.94957794032595</v>
      </c>
      <c r="AQ17" s="97">
        <v>165.11461002055373</v>
      </c>
      <c r="AR17" s="97">
        <v>165.2798072154053</v>
      </c>
      <c r="AS17" s="97">
        <v>165.44516969007788</v>
      </c>
      <c r="AT17" s="97">
        <v>165.61069760993388</v>
      </c>
      <c r="AU17" s="97">
        <v>165.77639114050132</v>
      </c>
      <c r="AV17" s="97">
        <v>165.94225044747367</v>
      </c>
      <c r="AW17" s="97">
        <v>166.10827569671034</v>
      </c>
      <c r="AX17" s="97">
        <v>166.27446705423657</v>
      </c>
    </row>
    <row r="18" spans="1:50" x14ac:dyDescent="0.25">
      <c r="J18" s="97">
        <v>152.11701255116705</v>
      </c>
      <c r="K18" s="97">
        <v>152.26920564758368</v>
      </c>
      <c r="L18" s="97">
        <v>152.42155101321862</v>
      </c>
      <c r="M18" s="97">
        <v>152.5740488004173</v>
      </c>
      <c r="N18" s="97">
        <v>152.72669916167749</v>
      </c>
      <c r="O18" s="97">
        <v>152.87950224964959</v>
      </c>
      <c r="P18" s="97">
        <v>153.03245821713662</v>
      </c>
      <c r="Q18" s="97">
        <v>153.18556721709464</v>
      </c>
      <c r="R18" s="97">
        <v>153.33882940263271</v>
      </c>
      <c r="S18" s="97">
        <v>153.49224492701293</v>
      </c>
      <c r="T18" s="97">
        <v>153.64581394365084</v>
      </c>
      <c r="U18" s="97">
        <v>153.79953660611551</v>
      </c>
      <c r="V18" s="97">
        <v>153.95341306812961</v>
      </c>
      <c r="W18" s="97">
        <v>154.10744348356957</v>
      </c>
      <c r="X18" s="97">
        <v>154.26162800646588</v>
      </c>
      <c r="Y18" s="97">
        <v>154.41596679100309</v>
      </c>
      <c r="Z18" s="97">
        <v>154.5704599915199</v>
      </c>
      <c r="AA18" s="97">
        <v>154.72510776250957</v>
      </c>
      <c r="AB18" s="97">
        <v>154.87991025861996</v>
      </c>
      <c r="AC18" s="97">
        <v>155.03486763465349</v>
      </c>
      <c r="AD18" s="97">
        <v>155.18998004556761</v>
      </c>
      <c r="AE18" s="97">
        <v>155.34524764647466</v>
      </c>
      <c r="AF18" s="97">
        <v>155.50067059264234</v>
      </c>
      <c r="AG18" s="97">
        <v>155.65624903949353</v>
      </c>
      <c r="AH18" s="97">
        <v>155.81198314260675</v>
      </c>
      <c r="AI18" s="97">
        <v>155.96787305771608</v>
      </c>
      <c r="AJ18" s="97">
        <v>156.12391894071146</v>
      </c>
      <c r="AK18" s="97">
        <v>156.28012094763884</v>
      </c>
      <c r="AL18" s="97">
        <v>156.43647923470016</v>
      </c>
      <c r="AM18" s="97">
        <v>156.59299395825371</v>
      </c>
      <c r="AN18" s="97">
        <v>156.74966527481439</v>
      </c>
      <c r="AO18" s="97">
        <v>156.90649334105328</v>
      </c>
      <c r="AP18" s="97">
        <v>157.06347831379864</v>
      </c>
      <c r="AQ18" s="97">
        <v>157.2206203500354</v>
      </c>
      <c r="AR18" s="97">
        <v>157.37791960690564</v>
      </c>
      <c r="AS18" s="97">
        <v>157.53537624170858</v>
      </c>
      <c r="AT18" s="97">
        <v>157.69299041190087</v>
      </c>
      <c r="AU18" s="97">
        <v>157.85076227509671</v>
      </c>
      <c r="AV18" s="97">
        <v>158.00869198906798</v>
      </c>
      <c r="AW18" s="97">
        <v>158.16677971174443</v>
      </c>
      <c r="AX18" s="97">
        <v>158.32502560121378</v>
      </c>
    </row>
    <row r="19" spans="1:50" x14ac:dyDescent="0.25">
      <c r="I19" s="97">
        <v>144.69965497914416</v>
      </c>
      <c r="J19" s="97">
        <v>144.84442700807344</v>
      </c>
      <c r="K19" s="97">
        <v>144.98934388144178</v>
      </c>
      <c r="L19" s="97">
        <v>145.13440574416609</v>
      </c>
      <c r="M19" s="97">
        <v>145.27961274130826</v>
      </c>
      <c r="N19" s="97">
        <v>145.42496501807528</v>
      </c>
      <c r="O19" s="97">
        <v>145.57046271981943</v>
      </c>
      <c r="P19" s="97">
        <v>145.71610599203839</v>
      </c>
      <c r="Q19" s="97">
        <v>145.86189498037552</v>
      </c>
      <c r="R19" s="97">
        <v>146.00782983061981</v>
      </c>
      <c r="S19" s="97">
        <v>146.15391068870611</v>
      </c>
      <c r="T19" s="97">
        <v>146.30013770071523</v>
      </c>
      <c r="U19" s="97">
        <v>146.44651101287425</v>
      </c>
      <c r="V19" s="97">
        <v>146.5930307715565</v>
      </c>
      <c r="W19" s="97">
        <v>146.7396971232817</v>
      </c>
      <c r="X19" s="97">
        <v>146.88651021471628</v>
      </c>
      <c r="Y19" s="97">
        <v>147.03347019267335</v>
      </c>
      <c r="Z19" s="97">
        <v>147.18057720411281</v>
      </c>
      <c r="AA19" s="97">
        <v>147.32783139614173</v>
      </c>
      <c r="AB19" s="97">
        <v>147.47523291601436</v>
      </c>
      <c r="AC19" s="97">
        <v>147.62278191113222</v>
      </c>
      <c r="AD19" s="97">
        <v>147.77047852904428</v>
      </c>
      <c r="AE19" s="97">
        <v>147.91832291744717</v>
      </c>
      <c r="AF19" s="97">
        <v>148.0663152241853</v>
      </c>
      <c r="AG19" s="97">
        <v>148.214455597251</v>
      </c>
      <c r="AH19" s="97">
        <v>148.36274418478465</v>
      </c>
      <c r="AI19" s="97">
        <v>148.51118113507482</v>
      </c>
      <c r="AJ19" s="97">
        <v>148.65976659655851</v>
      </c>
      <c r="AK19" s="97">
        <v>148.80850071782123</v>
      </c>
      <c r="AL19" s="97">
        <v>148.95738364759703</v>
      </c>
      <c r="AM19" s="97">
        <v>149.10641553476887</v>
      </c>
      <c r="AN19" s="97">
        <v>149.25559652836876</v>
      </c>
      <c r="AO19" s="97">
        <v>149.40492677757751</v>
      </c>
      <c r="AP19" s="97">
        <v>149.55440643172554</v>
      </c>
      <c r="AQ19" s="97">
        <v>149.70403564029246</v>
      </c>
      <c r="AR19" s="97">
        <v>149.85381455290752</v>
      </c>
      <c r="AS19" s="97">
        <v>150.00374331934961</v>
      </c>
      <c r="AT19" s="97">
        <v>150.15382208954748</v>
      </c>
      <c r="AU19" s="97">
        <v>150.30405101357997</v>
      </c>
      <c r="AV19" s="97">
        <v>150.45443024167599</v>
      </c>
      <c r="AW19" s="97">
        <v>150.60495992421482</v>
      </c>
      <c r="AX19" s="97">
        <v>150.75564021172613</v>
      </c>
    </row>
    <row r="20" spans="1:50" x14ac:dyDescent="0.25">
      <c r="H20" s="97">
        <v>137.64397420071947</v>
      </c>
      <c r="I20" s="97">
        <v>137.78168701985371</v>
      </c>
      <c r="J20" s="97">
        <v>137.91953762068644</v>
      </c>
      <c r="K20" s="97">
        <v>138.05752614106825</v>
      </c>
      <c r="L20" s="97">
        <v>138.19565271898773</v>
      </c>
      <c r="M20" s="97">
        <v>138.33391749257146</v>
      </c>
      <c r="N20" s="97">
        <v>138.4723206000842</v>
      </c>
      <c r="O20" s="97">
        <v>138.61086217992909</v>
      </c>
      <c r="P20" s="97">
        <v>138.74954237064767</v>
      </c>
      <c r="Q20" s="97">
        <v>138.88836131092023</v>
      </c>
      <c r="R20" s="97">
        <v>139.02731913956566</v>
      </c>
      <c r="S20" s="97">
        <v>139.16641599554185</v>
      </c>
      <c r="T20" s="97">
        <v>139.30565201794559</v>
      </c>
      <c r="U20" s="97">
        <v>139.44502734601298</v>
      </c>
      <c r="V20" s="97">
        <v>139.58454211911931</v>
      </c>
      <c r="W20" s="97">
        <v>139.72419647677938</v>
      </c>
      <c r="X20" s="97">
        <v>139.8639905586476</v>
      </c>
      <c r="Y20" s="97">
        <v>140.00392450451804</v>
      </c>
      <c r="Z20" s="97">
        <v>140.14399845432462</v>
      </c>
      <c r="AA20" s="97">
        <v>140.28421254814134</v>
      </c>
      <c r="AB20" s="97">
        <v>140.42456692618231</v>
      </c>
      <c r="AC20" s="97">
        <v>140.56506172880194</v>
      </c>
      <c r="AD20" s="97">
        <v>140.70569709649499</v>
      </c>
      <c r="AE20" s="97">
        <v>140.84647316989685</v>
      </c>
      <c r="AF20" s="97">
        <v>140.98739008978362</v>
      </c>
      <c r="AG20" s="97">
        <v>141.12844799707224</v>
      </c>
      <c r="AH20" s="97">
        <v>141.26964703282061</v>
      </c>
      <c r="AI20" s="97">
        <v>141.41098733822776</v>
      </c>
      <c r="AJ20" s="97">
        <v>141.55246905463406</v>
      </c>
      <c r="AK20" s="97">
        <v>141.69409232352123</v>
      </c>
      <c r="AL20" s="97">
        <v>141.83585728651249</v>
      </c>
      <c r="AM20" s="97">
        <v>141.97776408537285</v>
      </c>
      <c r="AN20" s="97">
        <v>142.11981286200921</v>
      </c>
      <c r="AO20" s="97">
        <v>142.26200375847017</v>
      </c>
      <c r="AP20" s="97">
        <v>142.40433691694679</v>
      </c>
      <c r="AQ20" s="97">
        <v>142.5468124797722</v>
      </c>
      <c r="AR20" s="97">
        <v>142.68943058942199</v>
      </c>
      <c r="AS20" s="97">
        <v>142.83219138851425</v>
      </c>
      <c r="AT20" s="97">
        <v>142.97509501980977</v>
      </c>
      <c r="AU20" s="97">
        <v>143.11814162621224</v>
      </c>
      <c r="AV20" s="97">
        <v>143.26133135076824</v>
      </c>
      <c r="AW20" s="97">
        <v>143.40466433666757</v>
      </c>
      <c r="AX20" s="97">
        <v>143.54814072724318</v>
      </c>
    </row>
    <row r="21" spans="1:50" x14ac:dyDescent="0.25">
      <c r="G21" s="97">
        <v>130.93233454149586</v>
      </c>
      <c r="H21" s="97">
        <v>131.06333236403214</v>
      </c>
      <c r="I21" s="97">
        <v>131.19446124991171</v>
      </c>
      <c r="J21" s="97">
        <v>131.32572133026346</v>
      </c>
      <c r="K21" s="97">
        <v>131.45711273634748</v>
      </c>
      <c r="L21" s="97">
        <v>131.58863559955518</v>
      </c>
      <c r="M21" s="97">
        <v>131.72029005140948</v>
      </c>
      <c r="N21" s="97">
        <v>131.85207622356478</v>
      </c>
      <c r="O21" s="97">
        <v>131.98399424780732</v>
      </c>
      <c r="P21" s="97">
        <v>132.11604425605506</v>
      </c>
      <c r="Q21" s="97">
        <v>132.24822638035812</v>
      </c>
      <c r="R21" s="97">
        <v>132.38054075289855</v>
      </c>
      <c r="S21" s="97">
        <v>132.51298750599079</v>
      </c>
      <c r="T21" s="97">
        <v>132.64556677208157</v>
      </c>
      <c r="U21" s="97">
        <v>132.77827868375016</v>
      </c>
      <c r="V21" s="97">
        <v>132.91112337370851</v>
      </c>
      <c r="W21" s="97">
        <v>133.04410097480127</v>
      </c>
      <c r="X21" s="97">
        <v>133.17721162000615</v>
      </c>
      <c r="Y21" s="97">
        <v>133.31045544243372</v>
      </c>
      <c r="Z21" s="97">
        <v>133.44383257532783</v>
      </c>
      <c r="AA21" s="97">
        <v>133.57734315206565</v>
      </c>
      <c r="AB21" s="97">
        <v>133.71098730615776</v>
      </c>
      <c r="AC21" s="97">
        <v>133.84476517124833</v>
      </c>
      <c r="AD21" s="97">
        <v>133.97867688111521</v>
      </c>
      <c r="AE21" s="97">
        <v>134.11272256967015</v>
      </c>
      <c r="AF21" s="97">
        <v>134.24690237095882</v>
      </c>
      <c r="AG21" s="97">
        <v>134.38121641916106</v>
      </c>
      <c r="AH21" s="97">
        <v>134.51566484859092</v>
      </c>
      <c r="AI21" s="97">
        <v>134.65024779369679</v>
      </c>
      <c r="AJ21" s="97">
        <v>134.78496538906171</v>
      </c>
      <c r="AK21" s="97">
        <v>134.91981776940327</v>
      </c>
      <c r="AL21" s="97">
        <v>135.0548050695738</v>
      </c>
      <c r="AM21" s="97">
        <v>135.18992742456066</v>
      </c>
      <c r="AN21" s="97">
        <v>135.32518496948629</v>
      </c>
      <c r="AO21" s="97">
        <v>135.46057783960808</v>
      </c>
      <c r="AP21" s="97">
        <v>135.59610617031902</v>
      </c>
      <c r="AQ21" s="97">
        <v>135.73177009714743</v>
      </c>
      <c r="AR21" s="97">
        <v>135.86756975575727</v>
      </c>
      <c r="AS21" s="97">
        <v>136.00350528194818</v>
      </c>
      <c r="AT21" s="97">
        <v>136.1395768116557</v>
      </c>
      <c r="AU21" s="97">
        <v>136.27578448095136</v>
      </c>
      <c r="AV21" s="97">
        <v>136.41212842604287</v>
      </c>
      <c r="AW21" s="97">
        <v>136.54860878327418</v>
      </c>
      <c r="AX21" s="97">
        <v>136.68522568912564</v>
      </c>
    </row>
    <row r="22" spans="1:50" x14ac:dyDescent="0.25">
      <c r="F22" s="97">
        <v>124.5479602578678</v>
      </c>
      <c r="G22" s="97">
        <v>124.67257051286899</v>
      </c>
      <c r="H22" s="97">
        <v>124.79730544045105</v>
      </c>
      <c r="I22" s="97">
        <v>124.922165165349</v>
      </c>
      <c r="J22" s="97">
        <v>125.0471498124225</v>
      </c>
      <c r="K22" s="97">
        <v>125.17225950665622</v>
      </c>
      <c r="L22" s="97">
        <v>125.29749437315988</v>
      </c>
      <c r="M22" s="97">
        <v>125.42285453716838</v>
      </c>
      <c r="N22" s="97">
        <v>125.54834012404184</v>
      </c>
      <c r="O22" s="97">
        <v>125.67395125926593</v>
      </c>
      <c r="P22" s="97">
        <v>125.7996880684517</v>
      </c>
      <c r="Q22" s="97">
        <v>125.92555067733606</v>
      </c>
      <c r="R22" s="97">
        <v>126.05153921178159</v>
      </c>
      <c r="S22" s="97">
        <v>126.17765379777684</v>
      </c>
      <c r="T22" s="97">
        <v>126.30389456143638</v>
      </c>
      <c r="U22" s="97">
        <v>126.43026162900102</v>
      </c>
      <c r="V22" s="97">
        <v>126.55675512683781</v>
      </c>
      <c r="W22" s="97">
        <v>126.68337518144027</v>
      </c>
      <c r="X22" s="97">
        <v>126.8101219194285</v>
      </c>
      <c r="Y22" s="97">
        <v>126.9369954675492</v>
      </c>
      <c r="Z22" s="97">
        <v>127.06399595267594</v>
      </c>
      <c r="AA22" s="97">
        <v>127.19112350180923</v>
      </c>
      <c r="AB22" s="97">
        <v>127.31837824207662</v>
      </c>
      <c r="AC22" s="97">
        <v>127.44576030073286</v>
      </c>
      <c r="AD22" s="97">
        <v>127.57326980516002</v>
      </c>
      <c r="AE22" s="97">
        <v>127.70090688286763</v>
      </c>
      <c r="AF22" s="97">
        <v>127.82867166149275</v>
      </c>
      <c r="AG22" s="97">
        <v>127.95656426880021</v>
      </c>
      <c r="AH22" s="97">
        <v>128.08458483268257</v>
      </c>
      <c r="AI22" s="97">
        <v>128.21273348116043</v>
      </c>
      <c r="AJ22" s="97">
        <v>128.34101034238248</v>
      </c>
      <c r="AK22" s="97">
        <v>128.46941554462555</v>
      </c>
      <c r="AL22" s="97">
        <v>128.59794921629486</v>
      </c>
      <c r="AM22" s="97">
        <v>128.72661148592411</v>
      </c>
      <c r="AN22" s="97">
        <v>128.85540248217563</v>
      </c>
      <c r="AO22" s="97">
        <v>128.98432233384031</v>
      </c>
      <c r="AP22" s="97">
        <v>129.11337116983808</v>
      </c>
      <c r="AQ22" s="97">
        <v>129.24254911921778</v>
      </c>
      <c r="AR22" s="97">
        <v>129.37185631115739</v>
      </c>
      <c r="AS22" s="97">
        <v>129.50129287496409</v>
      </c>
      <c r="AT22" s="97">
        <v>129.63085894007446</v>
      </c>
      <c r="AU22" s="97">
        <v>129.76055463605454</v>
      </c>
      <c r="AV22" s="97">
        <v>129.89038009260008</v>
      </c>
      <c r="AW22" s="97">
        <v>130.02033543953655</v>
      </c>
      <c r="AX22" s="97">
        <v>130.15042080681928</v>
      </c>
    </row>
    <row r="23" spans="1:50" x14ac:dyDescent="0.25">
      <c r="E23" s="97">
        <v>118.47489360604959</v>
      </c>
      <c r="F23" s="97">
        <v>118.59342775685322</v>
      </c>
      <c r="G23" s="97">
        <v>118.71208050109446</v>
      </c>
      <c r="H23" s="97">
        <v>118.83085195742609</v>
      </c>
      <c r="I23" s="97">
        <v>118.94974224461961</v>
      </c>
      <c r="J23" s="97">
        <v>119.06875148156527</v>
      </c>
      <c r="K23" s="97">
        <v>119.18787978727232</v>
      </c>
      <c r="L23" s="97">
        <v>119.30712728086908</v>
      </c>
      <c r="M23" s="97">
        <v>119.42649408160311</v>
      </c>
      <c r="N23" s="97">
        <v>119.54598030884114</v>
      </c>
      <c r="O23" s="97">
        <v>119.66558608206947</v>
      </c>
      <c r="P23" s="97">
        <v>119.78531152089381</v>
      </c>
      <c r="Q23" s="97">
        <v>119.90515674503969</v>
      </c>
      <c r="R23" s="97">
        <v>120.02512187435231</v>
      </c>
      <c r="S23" s="97">
        <v>120.1452070287968</v>
      </c>
      <c r="T23" s="97">
        <v>120.26541232845832</v>
      </c>
      <c r="U23" s="97">
        <v>120.3857378935422</v>
      </c>
      <c r="V23" s="97">
        <v>120.50618384437399</v>
      </c>
      <c r="W23" s="97">
        <v>120.62675030139967</v>
      </c>
      <c r="X23" s="97">
        <v>120.74743738518572</v>
      </c>
      <c r="Y23" s="97">
        <v>120.86824521641921</v>
      </c>
      <c r="Z23" s="97">
        <v>120.98917391590798</v>
      </c>
      <c r="AA23" s="97">
        <v>121.11022360458077</v>
      </c>
      <c r="AB23" s="97">
        <v>121.23139440348724</v>
      </c>
      <c r="AC23" s="97">
        <v>121.35268643379823</v>
      </c>
      <c r="AD23" s="97">
        <v>121.47409981680575</v>
      </c>
      <c r="AE23" s="97">
        <v>121.59563467392323</v>
      </c>
      <c r="AF23" s="97">
        <v>121.7172911266855</v>
      </c>
      <c r="AG23" s="97">
        <v>121.83906929674906</v>
      </c>
      <c r="AH23" s="97">
        <v>121.96096930589204</v>
      </c>
      <c r="AI23" s="97">
        <v>122.0829912760145</v>
      </c>
      <c r="AJ23" s="97">
        <v>122.20513532913841</v>
      </c>
      <c r="AK23" s="97">
        <v>122.32740158740785</v>
      </c>
      <c r="AL23" s="97">
        <v>122.44979017308904</v>
      </c>
      <c r="AM23" s="97">
        <v>122.57230120857061</v>
      </c>
      <c r="AN23" s="97">
        <v>122.69493481636364</v>
      </c>
      <c r="AO23" s="97">
        <v>122.81769111910168</v>
      </c>
      <c r="AP23" s="97">
        <v>122.94057023954107</v>
      </c>
      <c r="AQ23" s="97">
        <v>123.06357230056096</v>
      </c>
      <c r="AR23" s="97">
        <v>123.18669742516342</v>
      </c>
      <c r="AS23" s="97">
        <v>123.30994573647355</v>
      </c>
      <c r="AT23" s="97">
        <v>123.43331735773971</v>
      </c>
      <c r="AU23" s="97">
        <v>123.5568124123335</v>
      </c>
      <c r="AV23" s="97">
        <v>123.68043102374999</v>
      </c>
      <c r="AW23" s="97">
        <v>123.80417331560783</v>
      </c>
      <c r="AX23" s="97">
        <v>123.92803941164928</v>
      </c>
    </row>
    <row r="24" spans="1:50" x14ac:dyDescent="0.25">
      <c r="D24" s="97">
        <v>112.69795495569416</v>
      </c>
      <c r="E24" s="97">
        <v>112.81070927841503</v>
      </c>
      <c r="F24" s="97">
        <v>112.92357641185458</v>
      </c>
      <c r="G24" s="97">
        <v>113.03655646887995</v>
      </c>
      <c r="H24" s="97">
        <v>113.1496495624712</v>
      </c>
      <c r="I24" s="97">
        <v>113.26285580572146</v>
      </c>
      <c r="J24" s="97">
        <v>113.37617531183695</v>
      </c>
      <c r="K24" s="97">
        <v>113.48960819413719</v>
      </c>
      <c r="L24" s="97">
        <v>113.60315456605507</v>
      </c>
      <c r="M24" s="97">
        <v>113.71681454113703</v>
      </c>
      <c r="N24" s="97">
        <v>113.83058823304296</v>
      </c>
      <c r="O24" s="97">
        <v>113.94447575554665</v>
      </c>
      <c r="P24" s="97">
        <v>114.05847722253556</v>
      </c>
      <c r="Q24" s="97">
        <v>114.17259274801121</v>
      </c>
      <c r="R24" s="97">
        <v>114.28682244608913</v>
      </c>
      <c r="S24" s="97">
        <v>114.40116643099903</v>
      </c>
      <c r="T24" s="97">
        <v>114.51562481708487</v>
      </c>
      <c r="U24" s="97">
        <v>114.63019771880508</v>
      </c>
      <c r="V24" s="97">
        <v>114.74488525073255</v>
      </c>
      <c r="W24" s="97">
        <v>114.85968752755484</v>
      </c>
      <c r="X24" s="97">
        <v>114.97460466407423</v>
      </c>
      <c r="Y24" s="97">
        <v>115.08963677520788</v>
      </c>
      <c r="Z24" s="97">
        <v>115.20478397598788</v>
      </c>
      <c r="AA24" s="97">
        <v>115.32004638156147</v>
      </c>
      <c r="AB24" s="97">
        <v>115.43542410719104</v>
      </c>
      <c r="AC24" s="97">
        <v>115.55091726825434</v>
      </c>
      <c r="AD24" s="97">
        <v>115.66652598024453</v>
      </c>
      <c r="AE24" s="97">
        <v>115.78225035877036</v>
      </c>
      <c r="AF24" s="97">
        <v>115.89809051955618</v>
      </c>
      <c r="AG24" s="97">
        <v>116.01404657844219</v>
      </c>
      <c r="AH24" s="97">
        <v>116.13011865138442</v>
      </c>
      <c r="AI24" s="97">
        <v>116.246306854455</v>
      </c>
      <c r="AJ24" s="97">
        <v>116.36261130384213</v>
      </c>
      <c r="AK24" s="97">
        <v>116.47903211585025</v>
      </c>
      <c r="AL24" s="97">
        <v>116.59556940690018</v>
      </c>
      <c r="AM24" s="97">
        <v>116.71222329352922</v>
      </c>
      <c r="AN24" s="97">
        <v>116.82899389239134</v>
      </c>
      <c r="AO24" s="97">
        <v>116.94588132025704</v>
      </c>
      <c r="AP24" s="97">
        <v>117.06288569401381</v>
      </c>
      <c r="AQ24" s="97">
        <v>117.18000713066604</v>
      </c>
      <c r="AR24" s="97">
        <v>117.29724574733517</v>
      </c>
      <c r="AS24" s="97">
        <v>117.41460166125982</v>
      </c>
      <c r="AT24" s="97">
        <v>117.53207498979592</v>
      </c>
      <c r="AU24" s="97">
        <v>117.6496658504168</v>
      </c>
      <c r="AV24" s="97">
        <v>117.76737436071332</v>
      </c>
      <c r="AW24" s="97">
        <v>117.88520063839402</v>
      </c>
      <c r="AX24" s="97">
        <v>118.00314480128519</v>
      </c>
    </row>
    <row r="25" spans="1:50" x14ac:dyDescent="0.25">
      <c r="C25" s="97">
        <v>107.20270484840628</v>
      </c>
      <c r="D25" s="97">
        <v>107.30996117247869</v>
      </c>
      <c r="E25" s="97">
        <v>107.41732480652124</v>
      </c>
      <c r="F25" s="97">
        <v>107.52479585789753</v>
      </c>
      <c r="G25" s="97">
        <v>107.63237443407864</v>
      </c>
      <c r="H25" s="97">
        <v>107.74006064264316</v>
      </c>
      <c r="I25" s="97">
        <v>107.8478545912773</v>
      </c>
      <c r="J25" s="97">
        <v>107.95575638777501</v>
      </c>
      <c r="K25" s="97">
        <v>108.0637661400381</v>
      </c>
      <c r="L25" s="97">
        <v>108.17188395607633</v>
      </c>
      <c r="M25" s="97">
        <v>108.28010994400756</v>
      </c>
      <c r="N25" s="97">
        <v>108.38844421205772</v>
      </c>
      <c r="O25" s="97">
        <v>108.49688686856116</v>
      </c>
      <c r="P25" s="97">
        <v>108.60543802196048</v>
      </c>
      <c r="Q25" s="97">
        <v>108.7140977808069</v>
      </c>
      <c r="R25" s="97">
        <v>108.82286625376015</v>
      </c>
      <c r="S25" s="97">
        <v>108.93174354958873</v>
      </c>
      <c r="T25" s="97">
        <v>109.04072977716993</v>
      </c>
      <c r="U25" s="97">
        <v>109.14982504548999</v>
      </c>
      <c r="V25" s="97">
        <v>109.25902946364418</v>
      </c>
      <c r="W25" s="97">
        <v>109.36834314083696</v>
      </c>
      <c r="X25" s="97">
        <v>109.47776618638198</v>
      </c>
      <c r="Y25" s="97">
        <v>109.58729870970232</v>
      </c>
      <c r="Z25" s="97">
        <v>109.69694082033051</v>
      </c>
      <c r="AA25" s="97">
        <v>109.80669262790866</v>
      </c>
      <c r="AB25" s="97">
        <v>109.91655424218857</v>
      </c>
      <c r="AC25" s="97">
        <v>110.02652577303189</v>
      </c>
      <c r="AD25" s="97">
        <v>110.13660733041016</v>
      </c>
      <c r="AE25" s="97">
        <v>110.24679902440494</v>
      </c>
      <c r="AF25" s="97">
        <v>110.35710096520792</v>
      </c>
      <c r="AG25" s="97">
        <v>110.46751326312108</v>
      </c>
      <c r="AH25" s="97">
        <v>110.57803602855668</v>
      </c>
      <c r="AI25" s="97">
        <v>110.68866937203754</v>
      </c>
      <c r="AJ25" s="97">
        <v>110.799413404197</v>
      </c>
      <c r="AK25" s="97">
        <v>110.91026823577909</v>
      </c>
      <c r="AL25" s="97">
        <v>111.02123397763866</v>
      </c>
      <c r="AM25" s="97">
        <v>111.13231074074143</v>
      </c>
      <c r="AN25" s="97">
        <v>111.24349863616426</v>
      </c>
      <c r="AO25" s="97">
        <v>111.35479777509497</v>
      </c>
      <c r="AP25" s="97">
        <v>111.46620826883273</v>
      </c>
      <c r="AQ25" s="97">
        <v>111.57773022878804</v>
      </c>
      <c r="AR25" s="97">
        <v>111.6893637664829</v>
      </c>
      <c r="AS25" s="97">
        <v>111.80110899355083</v>
      </c>
      <c r="AT25" s="97">
        <v>111.91296602173706</v>
      </c>
      <c r="AU25" s="97">
        <v>112.02493496289864</v>
      </c>
      <c r="AV25" s="97">
        <v>112.13701592900452</v>
      </c>
      <c r="AW25" s="97">
        <v>112.24920903213567</v>
      </c>
      <c r="AX25" s="97">
        <v>112.3615143844852</v>
      </c>
    </row>
    <row r="26" spans="1:50" x14ac:dyDescent="0.25">
      <c r="B26" s="97">
        <v>101.97540790631575</v>
      </c>
      <c r="C26" s="97">
        <v>102.07743431892618</v>
      </c>
      <c r="D26" s="97">
        <v>102.17956280897943</v>
      </c>
      <c r="E26" s="97">
        <v>102.281793478604</v>
      </c>
      <c r="F26" s="97">
        <v>102.38412643003058</v>
      </c>
      <c r="G26" s="97">
        <v>102.48656176559211</v>
      </c>
      <c r="H26" s="97">
        <v>102.58909958772396</v>
      </c>
      <c r="I26" s="97">
        <v>102.69173999896394</v>
      </c>
      <c r="J26" s="97">
        <v>102.79448310195248</v>
      </c>
      <c r="K26" s="97">
        <v>102.89732899943267</v>
      </c>
      <c r="L26" s="97">
        <v>103.00027779425045</v>
      </c>
      <c r="M26" s="97">
        <v>103.10332958935462</v>
      </c>
      <c r="N26" s="97">
        <v>103.20648448779694</v>
      </c>
      <c r="O26" s="97">
        <v>103.30974259273238</v>
      </c>
      <c r="P26" s="97">
        <v>103.41310400741899</v>
      </c>
      <c r="Q26" s="97">
        <v>103.51656883521825</v>
      </c>
      <c r="R26" s="97">
        <v>103.62013717959498</v>
      </c>
      <c r="S26" s="97">
        <v>103.72380914411751</v>
      </c>
      <c r="T26" s="97">
        <v>103.82758483245783</v>
      </c>
      <c r="U26" s="97">
        <v>103.93146434839163</v>
      </c>
      <c r="V26" s="97">
        <v>104.03544779579843</v>
      </c>
      <c r="W26" s="97">
        <v>104.13953527866171</v>
      </c>
      <c r="X26" s="97">
        <v>104.24372690106895</v>
      </c>
      <c r="Y26" s="97">
        <v>104.34802276721177</v>
      </c>
      <c r="Z26" s="97">
        <v>104.45242298138606</v>
      </c>
      <c r="AA26" s="97">
        <v>104.55692764799204</v>
      </c>
      <c r="AB26" s="97">
        <v>104.66153687153437</v>
      </c>
      <c r="AC26" s="97">
        <v>104.7662507566223</v>
      </c>
      <c r="AD26" s="97">
        <v>104.87106940796971</v>
      </c>
      <c r="AE26" s="97">
        <v>104.97599293039528</v>
      </c>
      <c r="AF26" s="97">
        <v>105.08102142882252</v>
      </c>
      <c r="AG26" s="97">
        <v>105.18615500827995</v>
      </c>
      <c r="AH26" s="97">
        <v>105.29139377390115</v>
      </c>
      <c r="AI26" s="97">
        <v>105.39673783092489</v>
      </c>
      <c r="AJ26" s="97">
        <v>105.50218728469525</v>
      </c>
      <c r="AK26" s="97">
        <v>105.60774224066169</v>
      </c>
      <c r="AL26" s="97">
        <v>105.71340280437917</v>
      </c>
      <c r="AM26" s="97">
        <v>105.81916908150825</v>
      </c>
      <c r="AN26" s="97">
        <v>105.92504117781526</v>
      </c>
      <c r="AO26" s="97">
        <v>106.03101919917226</v>
      </c>
      <c r="AP26" s="97">
        <v>106.13710325155729</v>
      </c>
      <c r="AQ26" s="97">
        <v>106.24329344105442</v>
      </c>
      <c r="AR26" s="97">
        <v>106.34958987385384</v>
      </c>
      <c r="AS26" s="97">
        <v>106.45599265625202</v>
      </c>
      <c r="AT26" s="97">
        <v>106.5625018946517</v>
      </c>
      <c r="AU26" s="97">
        <v>106.66911769556216</v>
      </c>
      <c r="AV26" s="97">
        <v>106.77584016559922</v>
      </c>
      <c r="AW26" s="97">
        <v>106.88266941148532</v>
      </c>
      <c r="AX26" s="97">
        <v>106.98960554004975</v>
      </c>
    </row>
    <row r="27" spans="1:50" x14ac:dyDescent="0.25">
      <c r="A27" s="97">
        <v>100</v>
      </c>
      <c r="B27" s="97">
        <v>97.100050016670835</v>
      </c>
      <c r="C27" s="97">
        <v>97.197198632899912</v>
      </c>
      <c r="D27" s="97">
        <v>97.294444446335717</v>
      </c>
      <c r="E27" s="97">
        <v>97.391787554224081</v>
      </c>
      <c r="F27" s="97">
        <v>97.489228053908107</v>
      </c>
      <c r="G27" s="97">
        <v>97.586766042828316</v>
      </c>
      <c r="H27" s="97">
        <v>97.684401618522699</v>
      </c>
      <c r="I27" s="97">
        <v>97.782134878626835</v>
      </c>
      <c r="J27" s="97">
        <v>97.879965920874</v>
      </c>
      <c r="K27" s="97">
        <v>97.977894843095243</v>
      </c>
      <c r="L27" s="97">
        <v>98.075921743219496</v>
      </c>
      <c r="M27" s="97">
        <v>98.174046719273662</v>
      </c>
      <c r="N27" s="97">
        <v>98.272269869382725</v>
      </c>
      <c r="O27" s="97">
        <v>98.370591291769856</v>
      </c>
      <c r="P27" s="97">
        <v>98.469011084756474</v>
      </c>
      <c r="Q27" s="97">
        <v>98.567529346762385</v>
      </c>
      <c r="R27" s="97">
        <v>98.666146176305858</v>
      </c>
      <c r="S27" s="97">
        <v>98.764861672003732</v>
      </c>
      <c r="T27" s="97">
        <v>98.863675932571496</v>
      </c>
      <c r="U27" s="97">
        <v>98.962589056823433</v>
      </c>
      <c r="V27" s="97">
        <v>99.061601143672675</v>
      </c>
      <c r="W27" s="97">
        <v>99.160712292131322</v>
      </c>
      <c r="X27" s="97">
        <v>99.259922601310521</v>
      </c>
      <c r="Y27" s="97">
        <v>99.359232170420597</v>
      </c>
      <c r="Z27" s="97">
        <v>99.458641098771125</v>
      </c>
      <c r="AA27" s="97">
        <v>99.55814948577104</v>
      </c>
      <c r="AB27" s="97">
        <v>99.657757430928726</v>
      </c>
      <c r="AC27" s="97">
        <v>99.757465033852156</v>
      </c>
      <c r="AD27" s="97">
        <v>99.857272394248938</v>
      </c>
      <c r="AE27" s="97">
        <v>99.957179611926435</v>
      </c>
      <c r="AF27" s="97">
        <v>100.05718678679187</v>
      </c>
      <c r="AG27" s="97">
        <v>100.15729401885243</v>
      </c>
      <c r="AH27" s="97">
        <v>100.25750140821535</v>
      </c>
      <c r="AI27" s="97">
        <v>100.35780905508803</v>
      </c>
      <c r="AJ27" s="97">
        <v>100.45821705977814</v>
      </c>
      <c r="AK27" s="97">
        <v>100.55872552269368</v>
      </c>
      <c r="AL27" s="97">
        <v>100.65933454434311</v>
      </c>
      <c r="AM27" s="97">
        <v>100.76004422533548</v>
      </c>
      <c r="AN27" s="97">
        <v>100.86085466638048</v>
      </c>
      <c r="AO27" s="97">
        <v>100.96176596828855</v>
      </c>
      <c r="AP27" s="97">
        <v>101.062778231971</v>
      </c>
      <c r="AQ27" s="97">
        <v>101.1638915584401</v>
      </c>
      <c r="AR27" s="97">
        <v>101.26510604880919</v>
      </c>
      <c r="AS27" s="97">
        <v>101.36642180429277</v>
      </c>
      <c r="AT27" s="97">
        <v>101.4678389262066</v>
      </c>
      <c r="AU27" s="97">
        <v>101.56935751596781</v>
      </c>
      <c r="AV27" s="97">
        <v>101.670977675095</v>
      </c>
      <c r="AW27" s="97">
        <v>101.77269950520834</v>
      </c>
      <c r="AX27" s="97">
        <v>101.87452310802966</v>
      </c>
    </row>
    <row r="28" spans="1:50" x14ac:dyDescent="0.25">
      <c r="B28" s="97">
        <v>92.457778858818742</v>
      </c>
      <c r="C28" s="97">
        <v>92.550282881980479</v>
      </c>
      <c r="D28" s="97">
        <v>92.642879455432819</v>
      </c>
      <c r="E28" s="97">
        <v>92.735568671772327</v>
      </c>
      <c r="F28" s="97">
        <v>92.828350623688223</v>
      </c>
      <c r="G28" s="97">
        <v>92.921225403962495</v>
      </c>
      <c r="H28" s="97">
        <v>93.014193105469914</v>
      </c>
      <c r="I28" s="97">
        <v>93.107253821178176</v>
      </c>
      <c r="J28" s="97">
        <v>93.200407644148015</v>
      </c>
      <c r="K28" s="97">
        <v>93.293654667533275</v>
      </c>
      <c r="L28" s="97">
        <v>93.38699498458098</v>
      </c>
      <c r="M28" s="97">
        <v>93.480428688631434</v>
      </c>
      <c r="N28" s="97">
        <v>93.573955873118379</v>
      </c>
      <c r="O28" s="97">
        <v>93.667576631569005</v>
      </c>
      <c r="P28" s="97">
        <v>93.761291057604055</v>
      </c>
      <c r="Q28" s="97">
        <v>93.855099244937989</v>
      </c>
      <c r="R28" s="97">
        <v>93.949001287378977</v>
      </c>
      <c r="S28" s="97">
        <v>94.042997278829091</v>
      </c>
      <c r="T28" s="97">
        <v>94.137087313284312</v>
      </c>
      <c r="U28" s="97">
        <v>94.231271484834693</v>
      </c>
      <c r="V28" s="97">
        <v>94.325549887664408</v>
      </c>
      <c r="W28" s="97">
        <v>94.419922616051878</v>
      </c>
      <c r="X28" s="97">
        <v>94.514389764369838</v>
      </c>
      <c r="Y28" s="97">
        <v>94.608951427085429</v>
      </c>
      <c r="Z28" s="97">
        <v>94.703607698760337</v>
      </c>
      <c r="AA28" s="97">
        <v>94.798358674050831</v>
      </c>
      <c r="AB28" s="97">
        <v>94.893204447707902</v>
      </c>
      <c r="AC28" s="97">
        <v>94.988145114577335</v>
      </c>
      <c r="AD28" s="97">
        <v>95.083180769599792</v>
      </c>
      <c r="AE28" s="97">
        <v>95.178311507810946</v>
      </c>
      <c r="AF28" s="97">
        <v>95.273537424341541</v>
      </c>
      <c r="AG28" s="97">
        <v>95.368858614417491</v>
      </c>
      <c r="AH28" s="97">
        <v>95.464275173359994</v>
      </c>
      <c r="AI28" s="97">
        <v>95.559787196585631</v>
      </c>
      <c r="AJ28" s="97">
        <v>95.655394779606439</v>
      </c>
      <c r="AK28" s="97">
        <v>95.751098018029992</v>
      </c>
      <c r="AL28" s="97">
        <v>95.846897007559548</v>
      </c>
      <c r="AM28" s="97">
        <v>95.942791843994087</v>
      </c>
      <c r="AN28" s="97">
        <v>96.038782623228471</v>
      </c>
      <c r="AO28" s="97">
        <v>96.134869441253485</v>
      </c>
      <c r="AP28" s="97">
        <v>96.231052394155952</v>
      </c>
      <c r="AQ28" s="97">
        <v>96.32733157811883</v>
      </c>
      <c r="AR28" s="97">
        <v>96.423707089421313</v>
      </c>
      <c r="AS28" s="97">
        <v>96.520179024438931</v>
      </c>
      <c r="AT28" s="97">
        <v>96.616747479643607</v>
      </c>
      <c r="AU28" s="97">
        <v>96.71341255160381</v>
      </c>
      <c r="AV28" s="97">
        <v>96.81017433698463</v>
      </c>
      <c r="AW28" s="97">
        <v>96.90703293254785</v>
      </c>
      <c r="AX28" s="97">
        <v>97.003988435152081</v>
      </c>
    </row>
    <row r="29" spans="1:50" x14ac:dyDescent="0.25">
      <c r="C29" s="97">
        <v>88.12553223766767</v>
      </c>
      <c r="D29" s="97">
        <v>88.213701847362728</v>
      </c>
      <c r="E29" s="97">
        <v>88.30195967076699</v>
      </c>
      <c r="F29" s="97">
        <v>88.390305796138264</v>
      </c>
      <c r="G29" s="97">
        <v>88.478740311822705</v>
      </c>
      <c r="H29" s="97">
        <v>88.567263306254844</v>
      </c>
      <c r="I29" s="97">
        <v>88.65587486795765</v>
      </c>
      <c r="J29" s="97">
        <v>88.744575085542706</v>
      </c>
      <c r="K29" s="97">
        <v>88.833364047710262</v>
      </c>
      <c r="L29" s="97">
        <v>88.922241843249267</v>
      </c>
      <c r="M29" s="97">
        <v>89.011208561037506</v>
      </c>
      <c r="N29" s="97">
        <v>89.100264290041736</v>
      </c>
      <c r="O29" s="97">
        <v>89.189409119317688</v>
      </c>
      <c r="P29" s="97">
        <v>89.278643138010182</v>
      </c>
      <c r="Q29" s="97">
        <v>89.367966435353267</v>
      </c>
      <c r="R29" s="97">
        <v>89.457379100670224</v>
      </c>
      <c r="S29" s="97">
        <v>89.546881223373745</v>
      </c>
      <c r="T29" s="97">
        <v>89.636472892965941</v>
      </c>
      <c r="U29" s="97">
        <v>89.726154199038504</v>
      </c>
      <c r="V29" s="97">
        <v>89.815925231272743</v>
      </c>
      <c r="W29" s="97">
        <v>89.905786079439693</v>
      </c>
      <c r="X29" s="97">
        <v>89.99573683340023</v>
      </c>
      <c r="Y29" s="97">
        <v>90.085777583105099</v>
      </c>
      <c r="Z29" s="97">
        <v>90.175908418595043</v>
      </c>
      <c r="AA29" s="97">
        <v>90.26612943000093</v>
      </c>
      <c r="AB29" s="97">
        <v>90.356440707543769</v>
      </c>
      <c r="AC29" s="97">
        <v>90.446842341534847</v>
      </c>
      <c r="AD29" s="97">
        <v>90.537334422375807</v>
      </c>
      <c r="AE29" s="97">
        <v>90.627917040558728</v>
      </c>
      <c r="AF29" s="97">
        <v>90.718590286666256</v>
      </c>
      <c r="AG29" s="97">
        <v>90.809354251371602</v>
      </c>
      <c r="AH29" s="97">
        <v>90.90020902543877</v>
      </c>
      <c r="AI29" s="97">
        <v>90.991154699722543</v>
      </c>
      <c r="AJ29" s="97">
        <v>91.082191365168612</v>
      </c>
      <c r="AK29" s="97">
        <v>91.17331911281363</v>
      </c>
      <c r="AL29" s="97">
        <v>91.264538033785371</v>
      </c>
      <c r="AM29" s="97">
        <v>91.355848219302729</v>
      </c>
      <c r="AN29" s="97">
        <v>91.44724976067593</v>
      </c>
      <c r="AO29" s="97">
        <v>91.538742749306508</v>
      </c>
      <c r="AP29" s="97">
        <v>91.630327276687467</v>
      </c>
      <c r="AQ29" s="97">
        <v>91.722003434403334</v>
      </c>
      <c r="AR29" s="97">
        <v>91.813771314130292</v>
      </c>
      <c r="AS29" s="97">
        <v>91.905631007636217</v>
      </c>
      <c r="AT29" s="97">
        <v>91.997582606780796</v>
      </c>
      <c r="AU29" s="97">
        <v>92.08962620351565</v>
      </c>
      <c r="AV29" s="97">
        <v>92.181761889884385</v>
      </c>
      <c r="AW29" s="97">
        <v>92.27398975802268</v>
      </c>
      <c r="AX29" s="97">
        <v>92.366309900158427</v>
      </c>
    </row>
    <row r="30" spans="1:50" x14ac:dyDescent="0.25">
      <c r="D30" s="97">
        <v>83.996279469690748</v>
      </c>
      <c r="E30" s="97">
        <v>84.080317761303078</v>
      </c>
      <c r="F30" s="97">
        <v>84.164440133240149</v>
      </c>
      <c r="G30" s="97">
        <v>84.248646669624364</v>
      </c>
      <c r="H30" s="97">
        <v>84.3329374546623</v>
      </c>
      <c r="I30" s="97">
        <v>84.41731257264469</v>
      </c>
      <c r="J30" s="97">
        <v>84.501772107946678</v>
      </c>
      <c r="K30" s="97">
        <v>84.586316145027837</v>
      </c>
      <c r="L30" s="97">
        <v>84.670944768432193</v>
      </c>
      <c r="M30" s="97">
        <v>84.755658062788356</v>
      </c>
      <c r="N30" s="97">
        <v>84.840456112809647</v>
      </c>
      <c r="O30" s="97">
        <v>84.925339003294127</v>
      </c>
      <c r="P30" s="97">
        <v>85.010306819124693</v>
      </c>
      <c r="Q30" s="97">
        <v>85.095359645269156</v>
      </c>
      <c r="R30" s="97">
        <v>85.18049756678036</v>
      </c>
      <c r="S30" s="97">
        <v>85.265720668796234</v>
      </c>
      <c r="T30" s="97">
        <v>85.35102903653987</v>
      </c>
      <c r="U30" s="97">
        <v>85.436422755319654</v>
      </c>
      <c r="V30" s="97">
        <v>85.521901910529323</v>
      </c>
      <c r="W30" s="97">
        <v>85.60746658764802</v>
      </c>
      <c r="X30" s="97">
        <v>85.693116872240452</v>
      </c>
      <c r="Y30" s="97">
        <v>85.778852849956891</v>
      </c>
      <c r="Z30" s="97">
        <v>85.864674606533328</v>
      </c>
      <c r="AA30" s="97">
        <v>85.950582227791529</v>
      </c>
      <c r="AB30" s="97">
        <v>86.03657579963911</v>
      </c>
      <c r="AC30" s="97">
        <v>86.122655408069676</v>
      </c>
      <c r="AD30" s="97">
        <v>86.208821139162822</v>
      </c>
      <c r="AE30" s="97">
        <v>86.29507307908429</v>
      </c>
      <c r="AF30" s="97">
        <v>86.381411314086037</v>
      </c>
      <c r="AG30" s="97">
        <v>86.467835930506283</v>
      </c>
      <c r="AH30" s="97">
        <v>86.554347014769661</v>
      </c>
      <c r="AI30" s="97">
        <v>86.640944653387265</v>
      </c>
      <c r="AJ30" s="97">
        <v>86.727628932956762</v>
      </c>
      <c r="AK30" s="97">
        <v>86.814399940162403</v>
      </c>
      <c r="AL30" s="97">
        <v>86.901257761775241</v>
      </c>
      <c r="AM30" s="97">
        <v>86.988202484653058</v>
      </c>
      <c r="AN30" s="97">
        <v>87.07523419574062</v>
      </c>
      <c r="AO30" s="97">
        <v>87.162352982069621</v>
      </c>
      <c r="AP30" s="97">
        <v>87.24955893075888</v>
      </c>
      <c r="AQ30" s="97">
        <v>87.336852129014332</v>
      </c>
      <c r="AR30" s="97">
        <v>87.424232664129207</v>
      </c>
      <c r="AS30" s="97">
        <v>87.511700623484032</v>
      </c>
      <c r="AT30" s="97">
        <v>87.59925609454676</v>
      </c>
      <c r="AU30" s="97">
        <v>87.686899164872898</v>
      </c>
      <c r="AV30" s="97">
        <v>87.77462992210549</v>
      </c>
      <c r="AW30" s="97">
        <v>87.862448453975318</v>
      </c>
      <c r="AX30" s="97">
        <v>87.950354848300933</v>
      </c>
    </row>
    <row r="31" spans="1:50" x14ac:dyDescent="0.25">
      <c r="E31" s="97">
        <v>80.060508976247633</v>
      </c>
      <c r="F31" s="97">
        <v>80.140609528825124</v>
      </c>
      <c r="G31" s="97">
        <v>80.22079022201882</v>
      </c>
      <c r="H31" s="97">
        <v>80.301051136009448</v>
      </c>
      <c r="I31" s="97">
        <v>80.381392351057869</v>
      </c>
      <c r="J31" s="97">
        <v>80.461813947505348</v>
      </c>
      <c r="K31" s="97">
        <v>80.542316005773486</v>
      </c>
      <c r="L31" s="97">
        <v>80.622898606364345</v>
      </c>
      <c r="M31" s="97">
        <v>80.703561829860519</v>
      </c>
      <c r="N31" s="97">
        <v>80.784305756925249</v>
      </c>
      <c r="O31" s="97">
        <v>80.865130468302468</v>
      </c>
      <c r="P31" s="97">
        <v>80.946036044816907</v>
      </c>
      <c r="Q31" s="97">
        <v>81.027022567374132</v>
      </c>
      <c r="R31" s="97">
        <v>81.108090116960668</v>
      </c>
      <c r="S31" s="97">
        <v>81.189238774644096</v>
      </c>
      <c r="T31" s="97">
        <v>81.270468621573045</v>
      </c>
      <c r="U31" s="97">
        <v>81.351779738977399</v>
      </c>
      <c r="V31" s="97">
        <v>81.433172208168273</v>
      </c>
      <c r="W31" s="97">
        <v>81.514646110538123</v>
      </c>
      <c r="X31" s="97">
        <v>81.596201527560908</v>
      </c>
      <c r="Y31" s="97">
        <v>81.677838540791996</v>
      </c>
      <c r="Z31" s="97">
        <v>81.759557231868442</v>
      </c>
      <c r="AA31" s="97">
        <v>81.841357682508942</v>
      </c>
      <c r="AB31" s="97">
        <v>81.923239974513919</v>
      </c>
      <c r="AC31" s="97">
        <v>82.00520418976572</v>
      </c>
      <c r="AD31" s="97">
        <v>82.087250410228535</v>
      </c>
      <c r="AE31" s="97">
        <v>82.169378717948604</v>
      </c>
      <c r="AF31" s="97">
        <v>82.251589195054251</v>
      </c>
      <c r="AG31" s="97">
        <v>82.333881923755925</v>
      </c>
      <c r="AH31" s="97">
        <v>82.416256986346397</v>
      </c>
      <c r="AI31" s="97">
        <v>82.498714465200706</v>
      </c>
      <c r="AJ31" s="97">
        <v>82.58125444277637</v>
      </c>
      <c r="AK31" s="97">
        <v>82.663877001613358</v>
      </c>
      <c r="AL31" s="97">
        <v>82.746582224334247</v>
      </c>
      <c r="AM31" s="97">
        <v>82.829370193644237</v>
      </c>
      <c r="AN31" s="97">
        <v>82.912240992331334</v>
      </c>
      <c r="AO31" s="97">
        <v>82.995194703266321</v>
      </c>
      <c r="AP31" s="97">
        <v>83.078231409402932</v>
      </c>
      <c r="AQ31" s="97">
        <v>83.161351193777875</v>
      </c>
      <c r="AR31" s="97">
        <v>83.244554139510953</v>
      </c>
      <c r="AS31" s="97">
        <v>83.327840329805113</v>
      </c>
      <c r="AT31" s="97">
        <v>83.411209847946523</v>
      </c>
      <c r="AU31" s="97">
        <v>83.494662777304754</v>
      </c>
      <c r="AV31" s="97">
        <v>83.578199201332708</v>
      </c>
      <c r="AW31" s="97">
        <v>83.661819203566822</v>
      </c>
      <c r="AX31" s="97">
        <v>83.745522867627116</v>
      </c>
    </row>
    <row r="32" spans="1:50" x14ac:dyDescent="0.25">
      <c r="F32" s="97">
        <v>76.309154857849379</v>
      </c>
      <c r="G32" s="97">
        <v>76.385502180006029</v>
      </c>
      <c r="H32" s="97">
        <v>76.461925887671256</v>
      </c>
      <c r="I32" s="97">
        <v>76.538426057268694</v>
      </c>
      <c r="J32" s="97">
        <v>76.615002765298584</v>
      </c>
      <c r="K32" s="97">
        <v>76.691656088337638</v>
      </c>
      <c r="L32" s="97">
        <v>76.768386103039163</v>
      </c>
      <c r="M32" s="97">
        <v>76.845192886133177</v>
      </c>
      <c r="N32" s="97">
        <v>76.922076514426479</v>
      </c>
      <c r="O32" s="97">
        <v>76.999037064802721</v>
      </c>
      <c r="P32" s="97">
        <v>77.076074614222449</v>
      </c>
      <c r="Q32" s="97">
        <v>77.153189239723204</v>
      </c>
      <c r="R32" s="97">
        <v>77.230381018419621</v>
      </c>
      <c r="S32" s="97">
        <v>77.307650027503513</v>
      </c>
      <c r="T32" s="97">
        <v>77.384996344243859</v>
      </c>
      <c r="U32" s="97">
        <v>77.462420045987002</v>
      </c>
      <c r="V32" s="97">
        <v>77.539921210156649</v>
      </c>
      <c r="W32" s="97">
        <v>77.617499914253955</v>
      </c>
      <c r="X32" s="97">
        <v>77.695156235857667</v>
      </c>
      <c r="Y32" s="97">
        <v>77.772890252624066</v>
      </c>
      <c r="Z32" s="97">
        <v>77.850702042287224</v>
      </c>
      <c r="AA32" s="97">
        <v>77.928591682658904</v>
      </c>
      <c r="AB32" s="97">
        <v>78.006559251628744</v>
      </c>
      <c r="AC32" s="97">
        <v>78.084604827164355</v>
      </c>
      <c r="AD32" s="97">
        <v>78.162728487311284</v>
      </c>
      <c r="AE32" s="97">
        <v>78.240930310193221</v>
      </c>
      <c r="AF32" s="97">
        <v>78.319210374012002</v>
      </c>
      <c r="AG32" s="97">
        <v>78.397568757047665</v>
      </c>
      <c r="AH32" s="97">
        <v>78.476005537658637</v>
      </c>
      <c r="AI32" s="97">
        <v>78.554520794281657</v>
      </c>
      <c r="AJ32" s="97">
        <v>78.633114605432041</v>
      </c>
      <c r="AK32" s="97">
        <v>78.711787049703574</v>
      </c>
      <c r="AL32" s="97">
        <v>78.790538205768726</v>
      </c>
      <c r="AM32" s="97">
        <v>78.869368152378641</v>
      </c>
      <c r="AN32" s="97">
        <v>78.948276968363288</v>
      </c>
      <c r="AO32" s="97">
        <v>79.027264732631465</v>
      </c>
      <c r="AP32" s="97">
        <v>79.106331524170969</v>
      </c>
      <c r="AQ32" s="97">
        <v>79.185477422048592</v>
      </c>
      <c r="AR32" s="97">
        <v>79.264702505410241</v>
      </c>
      <c r="AS32" s="97">
        <v>79.344006853481005</v>
      </c>
      <c r="AT32" s="97">
        <v>79.423390545565212</v>
      </c>
      <c r="AU32" s="97">
        <v>79.502853661046615</v>
      </c>
      <c r="AV32" s="97">
        <v>79.582396279388277</v>
      </c>
      <c r="AW32" s="97">
        <v>79.662018480132858</v>
      </c>
      <c r="AX32" s="97">
        <v>79.741720342902553</v>
      </c>
    </row>
    <row r="33" spans="7:50" x14ac:dyDescent="0.25">
      <c r="G33" s="97">
        <v>72.733576011199631</v>
      </c>
      <c r="H33" s="97">
        <v>72.806345966124169</v>
      </c>
      <c r="I33" s="97">
        <v>72.879188727400674</v>
      </c>
      <c r="J33" s="97">
        <v>72.95210436787201</v>
      </c>
      <c r="K33" s="97">
        <v>73.025092960453804</v>
      </c>
      <c r="L33" s="97">
        <v>73.098154578134626</v>
      </c>
      <c r="M33" s="97">
        <v>73.171289293976116</v>
      </c>
      <c r="N33" s="97">
        <v>73.244497181113005</v>
      </c>
      <c r="O33" s="97">
        <v>73.317778312753177</v>
      </c>
      <c r="P33" s="97">
        <v>73.39113276217779</v>
      </c>
      <c r="Q33" s="97">
        <v>73.464560602741258</v>
      </c>
      <c r="R33" s="97">
        <v>73.538061907871452</v>
      </c>
      <c r="S33" s="97">
        <v>73.611636751069696</v>
      </c>
      <c r="T33" s="97">
        <v>73.685285205910816</v>
      </c>
      <c r="U33" s="97">
        <v>73.75900734604329</v>
      </c>
      <c r="V33" s="97">
        <v>73.83280324518924</v>
      </c>
      <c r="W33" s="97">
        <v>73.906672977144595</v>
      </c>
      <c r="X33" s="97">
        <v>73.980616615779098</v>
      </c>
      <c r="Y33" s="97">
        <v>74.054634235036374</v>
      </c>
      <c r="Z33" s="97">
        <v>74.128725908934072</v>
      </c>
      <c r="AA33" s="97">
        <v>74.202891711563836</v>
      </c>
      <c r="AB33" s="97">
        <v>74.277131717091493</v>
      </c>
      <c r="AC33" s="97">
        <v>74.351445999757075</v>
      </c>
      <c r="AD33" s="97">
        <v>74.425834633874828</v>
      </c>
      <c r="AE33" s="97">
        <v>74.500297693833431</v>
      </c>
      <c r="AF33" s="97">
        <v>74.574835254095959</v>
      </c>
      <c r="AG33" s="97">
        <v>74.649447389199921</v>
      </c>
      <c r="AH33" s="97">
        <v>74.72413417375752</v>
      </c>
      <c r="AI33" s="97">
        <v>74.798895682455495</v>
      </c>
      <c r="AJ33" s="97">
        <v>74.87373199005539</v>
      </c>
      <c r="AK33" s="97">
        <v>74.948643171393527</v>
      </c>
      <c r="AL33" s="97">
        <v>75.023629301381078</v>
      </c>
      <c r="AM33" s="97">
        <v>75.098690455004174</v>
      </c>
      <c r="AN33" s="97">
        <v>75.173826707323997</v>
      </c>
      <c r="AO33" s="97">
        <v>75.249038133476773</v>
      </c>
      <c r="AP33" s="97">
        <v>75.324324808673964</v>
      </c>
      <c r="AQ33" s="97">
        <v>75.399686808202233</v>
      </c>
      <c r="AR33" s="97">
        <v>75.475124207423605</v>
      </c>
      <c r="AS33" s="97">
        <v>75.550637081775477</v>
      </c>
      <c r="AT33" s="97">
        <v>75.626225506770709</v>
      </c>
      <c r="AU33" s="97">
        <v>75.701889557997774</v>
      </c>
      <c r="AV33" s="97">
        <v>75.777629311120691</v>
      </c>
      <c r="AW33" s="97">
        <v>75.853444841879238</v>
      </c>
      <c r="AX33" s="97">
        <v>75.929336226088935</v>
      </c>
    </row>
    <row r="34" spans="7:50" x14ac:dyDescent="0.25">
      <c r="H34" s="97">
        <v>69.325536224737718</v>
      </c>
      <c r="I34" s="97">
        <v>69.394896435287691</v>
      </c>
      <c r="J34" s="97">
        <v>69.464326040739905</v>
      </c>
      <c r="K34" s="97">
        <v>69.533825110523964</v>
      </c>
      <c r="L34" s="97">
        <v>69.603393714138903</v>
      </c>
      <c r="M34" s="97">
        <v>69.673031921153367</v>
      </c>
      <c r="N34" s="97">
        <v>69.742739801205559</v>
      </c>
      <c r="O34" s="97">
        <v>69.81251742400336</v>
      </c>
      <c r="P34" s="97">
        <v>69.882364859324426</v>
      </c>
      <c r="Q34" s="97">
        <v>69.952282177016144</v>
      </c>
      <c r="R34" s="97">
        <v>70.022269446995864</v>
      </c>
      <c r="S34" s="97">
        <v>70.092326739250893</v>
      </c>
      <c r="T34" s="97">
        <v>70.162454123838501</v>
      </c>
      <c r="U34" s="97">
        <v>70.232651670886071</v>
      </c>
      <c r="V34" s="97">
        <v>70.302919450591148</v>
      </c>
      <c r="W34" s="97">
        <v>70.373257533221548</v>
      </c>
      <c r="X34" s="97">
        <v>70.44366598911536</v>
      </c>
      <c r="Y34" s="97">
        <v>70.514144888681017</v>
      </c>
      <c r="Z34" s="97">
        <v>70.584694302397452</v>
      </c>
      <c r="AA34" s="97">
        <v>70.655314300814055</v>
      </c>
      <c r="AB34" s="97">
        <v>70.726004954550845</v>
      </c>
      <c r="AC34" s="97">
        <v>70.796766334298511</v>
      </c>
      <c r="AD34" s="97">
        <v>70.867598510818382</v>
      </c>
      <c r="AE34" s="97">
        <v>70.938501554942675</v>
      </c>
      <c r="AF34" s="97">
        <v>71.00947553757446</v>
      </c>
      <c r="AG34" s="97">
        <v>71.080520529687661</v>
      </c>
      <c r="AH34" s="97">
        <v>71.151636602327358</v>
      </c>
      <c r="AI34" s="97">
        <v>71.222823826609542</v>
      </c>
      <c r="AJ34" s="97">
        <v>71.294082273721514</v>
      </c>
      <c r="AK34" s="97">
        <v>71.365412014921688</v>
      </c>
      <c r="AL34" s="97">
        <v>71.436813121539842</v>
      </c>
      <c r="AM34" s="97">
        <v>71.508285664977052</v>
      </c>
      <c r="AN34" s="97">
        <v>71.579829716705902</v>
      </c>
      <c r="AO34" s="97">
        <v>71.651445348270414</v>
      </c>
      <c r="AP34" s="97">
        <v>71.723132631286262</v>
      </c>
      <c r="AQ34" s="97">
        <v>71.794891637440699</v>
      </c>
      <c r="AR34" s="97">
        <v>71.866722438492772</v>
      </c>
      <c r="AS34" s="97">
        <v>71.938625106273278</v>
      </c>
      <c r="AT34" s="97">
        <v>72.010599712684879</v>
      </c>
      <c r="AU34" s="97">
        <v>72.0826463297022</v>
      </c>
      <c r="AV34" s="97">
        <v>72.154765029371845</v>
      </c>
      <c r="AW34" s="97">
        <v>72.22695588381255</v>
      </c>
      <c r="AX34" s="97">
        <v>72.299218965215132</v>
      </c>
    </row>
    <row r="35" spans="7:50" x14ac:dyDescent="0.25">
      <c r="I35" s="97">
        <v>66.077185206834571</v>
      </c>
      <c r="J35" s="97">
        <v>66.143295441649627</v>
      </c>
      <c r="K35" s="97">
        <v>66.209471819765653</v>
      </c>
      <c r="L35" s="97">
        <v>66.27571440735899</v>
      </c>
      <c r="M35" s="97">
        <v>66.342023270672257</v>
      </c>
      <c r="N35" s="97">
        <v>66.408398476014341</v>
      </c>
      <c r="O35" s="97">
        <v>66.474840089760434</v>
      </c>
      <c r="P35" s="97">
        <v>66.541348178352166</v>
      </c>
      <c r="Q35" s="97">
        <v>66.607922808297587</v>
      </c>
      <c r="R35" s="97">
        <v>66.674564046171383</v>
      </c>
      <c r="S35" s="97">
        <v>66.741271958614789</v>
      </c>
      <c r="T35" s="97">
        <v>66.80804661233573</v>
      </c>
      <c r="U35" s="97">
        <v>66.874888074108824</v>
      </c>
      <c r="V35" s="97">
        <v>66.941796410775567</v>
      </c>
      <c r="W35" s="97">
        <v>67.008771689244298</v>
      </c>
      <c r="X35" s="97">
        <v>67.075813976490323</v>
      </c>
      <c r="Y35" s="97">
        <v>67.142923339555907</v>
      </c>
      <c r="Z35" s="97">
        <v>67.210099845550431</v>
      </c>
      <c r="AA35" s="97">
        <v>67.277343561650383</v>
      </c>
      <c r="AB35" s="97">
        <v>67.344654555099495</v>
      </c>
      <c r="AC35" s="97">
        <v>67.412032893208817</v>
      </c>
      <c r="AD35" s="97">
        <v>67.479478643356614</v>
      </c>
      <c r="AE35" s="97">
        <v>67.546991872988684</v>
      </c>
      <c r="AF35" s="97">
        <v>67.614572649618282</v>
      </c>
      <c r="AG35" s="97">
        <v>67.682221040826121</v>
      </c>
      <c r="AH35" s="97">
        <v>67.749937114260689</v>
      </c>
      <c r="AI35" s="97">
        <v>67.817720937637972</v>
      </c>
      <c r="AJ35" s="97">
        <v>67.885572578741872</v>
      </c>
      <c r="AK35" s="97">
        <v>67.95349210542399</v>
      </c>
      <c r="AL35" s="97">
        <v>68.021479585603885</v>
      </c>
      <c r="AM35" s="97">
        <v>68.089535087269027</v>
      </c>
      <c r="AN35" s="97">
        <v>68.157658678474945</v>
      </c>
      <c r="AO35" s="97">
        <v>68.225850427345208</v>
      </c>
      <c r="AP35" s="97">
        <v>68.294110402071595</v>
      </c>
      <c r="AQ35" s="97">
        <v>68.362438670914059</v>
      </c>
      <c r="AR35" s="97">
        <v>68.430835302200904</v>
      </c>
      <c r="AS35" s="97">
        <v>68.499300364328761</v>
      </c>
      <c r="AT35" s="97">
        <v>68.56783392576267</v>
      </c>
      <c r="AU35" s="97">
        <v>68.636436055036242</v>
      </c>
      <c r="AV35" s="97">
        <v>68.705106820751567</v>
      </c>
      <c r="AW35" s="97">
        <v>68.77384629157946</v>
      </c>
      <c r="AX35" s="97">
        <v>68.84265453625936</v>
      </c>
    </row>
    <row r="36" spans="7:50" x14ac:dyDescent="0.25">
      <c r="J36" s="97">
        <v>62.981040502941127</v>
      </c>
      <c r="K36" s="97">
        <v>63.044053044463801</v>
      </c>
      <c r="L36" s="97">
        <v>63.107128630044748</v>
      </c>
      <c r="M36" s="97">
        <v>63.170267322759578</v>
      </c>
      <c r="N36" s="97">
        <v>63.233469185747019</v>
      </c>
      <c r="O36" s="97">
        <v>63.296734282208917</v>
      </c>
      <c r="P36" s="97">
        <v>63.360062675410376</v>
      </c>
      <c r="Q36" s="97">
        <v>63.423454428679754</v>
      </c>
      <c r="R36" s="97">
        <v>63.486909605408869</v>
      </c>
      <c r="S36" s="97">
        <v>63.55042826905288</v>
      </c>
      <c r="T36" s="97">
        <v>63.614010483130471</v>
      </c>
      <c r="U36" s="97">
        <v>63.677656311223828</v>
      </c>
      <c r="V36" s="97">
        <v>63.741365816978792</v>
      </c>
      <c r="W36" s="97">
        <v>63.805139064104893</v>
      </c>
      <c r="X36" s="97">
        <v>63.868976116375393</v>
      </c>
      <c r="Y36" s="97">
        <v>63.932877037627328</v>
      </c>
      <c r="Z36" s="97">
        <v>63.996841891761626</v>
      </c>
      <c r="AA36" s="97">
        <v>64.060870742743134</v>
      </c>
      <c r="AB36" s="97">
        <v>64.12496365460072</v>
      </c>
      <c r="AC36" s="97">
        <v>64.189120691427348</v>
      </c>
      <c r="AD36" s="97">
        <v>64.25334191737997</v>
      </c>
      <c r="AE36" s="97">
        <v>64.317627396679882</v>
      </c>
      <c r="AF36" s="97">
        <v>64.38197719361257</v>
      </c>
      <c r="AG36" s="97">
        <v>64.446391372527771</v>
      </c>
      <c r="AH36" s="97">
        <v>64.510869997839762</v>
      </c>
      <c r="AI36" s="97">
        <v>64.575413134027087</v>
      </c>
      <c r="AJ36" s="97">
        <v>64.640020845632961</v>
      </c>
      <c r="AK36" s="97">
        <v>64.704693197265044</v>
      </c>
      <c r="AL36" s="97">
        <v>64.769430253595715</v>
      </c>
      <c r="AM36" s="97">
        <v>64.834232079362039</v>
      </c>
      <c r="AN36" s="97">
        <v>64.899098739365868</v>
      </c>
      <c r="AO36" s="97">
        <v>64.964030298473816</v>
      </c>
      <c r="AP36" s="97">
        <v>65.029026821617506</v>
      </c>
      <c r="AQ36" s="97">
        <v>65.094088373793397</v>
      </c>
      <c r="AR36" s="97">
        <v>65.159215020063115</v>
      </c>
      <c r="AS36" s="97">
        <v>65.224406825553288</v>
      </c>
      <c r="AT36" s="97">
        <v>65.2896638554557</v>
      </c>
      <c r="AU36" s="97">
        <v>65.354986175027435</v>
      </c>
      <c r="AV36" s="97">
        <v>65.42037384959076</v>
      </c>
      <c r="AW36" s="97">
        <v>65.485826944533414</v>
      </c>
      <c r="AX36" s="97">
        <v>65.551345525308449</v>
      </c>
    </row>
    <row r="37" spans="7:50" x14ac:dyDescent="0.25">
      <c r="K37" s="97">
        <v>60.029970260035121</v>
      </c>
      <c r="L37" s="97">
        <v>60.090030255287772</v>
      </c>
      <c r="M37" s="97">
        <v>60.150150340575685</v>
      </c>
      <c r="N37" s="97">
        <v>60.210330576018968</v>
      </c>
      <c r="O37" s="97">
        <v>60.270571021797849</v>
      </c>
      <c r="P37" s="97">
        <v>60.33087173815278</v>
      </c>
      <c r="Q37" s="97">
        <v>60.391232785384446</v>
      </c>
      <c r="R37" s="97">
        <v>60.451654223853943</v>
      </c>
      <c r="S37" s="97">
        <v>60.512136113982706</v>
      </c>
      <c r="T37" s="97">
        <v>60.572678516252644</v>
      </c>
      <c r="U37" s="97">
        <v>60.63328149120612</v>
      </c>
      <c r="V37" s="97">
        <v>60.69394509944614</v>
      </c>
      <c r="W37" s="97">
        <v>60.754669401636313</v>
      </c>
      <c r="X37" s="97">
        <v>60.815454458500973</v>
      </c>
      <c r="Y37" s="97">
        <v>60.87630033082516</v>
      </c>
      <c r="Z37" s="97">
        <v>60.937207079454744</v>
      </c>
      <c r="AA37" s="97">
        <v>60.998174765296476</v>
      </c>
      <c r="AB37" s="97">
        <v>61.059203449318048</v>
      </c>
      <c r="AC37" s="97">
        <v>61.120293192548203</v>
      </c>
      <c r="AD37" s="97">
        <v>61.181444056076593</v>
      </c>
      <c r="AE37" s="97">
        <v>61.242656101054159</v>
      </c>
      <c r="AF37" s="97">
        <v>61.30392938869295</v>
      </c>
      <c r="AG37" s="97">
        <v>61.365263980266199</v>
      </c>
      <c r="AH37" s="97">
        <v>61.426659937108582</v>
      </c>
      <c r="AI37" s="97">
        <v>61.488117320615977</v>
      </c>
      <c r="AJ37" s="97">
        <v>61.549636192245856</v>
      </c>
      <c r="AK37" s="97">
        <v>61.61121661351703</v>
      </c>
      <c r="AL37" s="97">
        <v>61.672858646009956</v>
      </c>
      <c r="AM37" s="97">
        <v>61.734562351366669</v>
      </c>
      <c r="AN37" s="97">
        <v>61.796327791290892</v>
      </c>
      <c r="AO37" s="97">
        <v>61.858155027548037</v>
      </c>
      <c r="AP37" s="97">
        <v>61.92004412196539</v>
      </c>
      <c r="AQ37" s="97">
        <v>61.981995136431983</v>
      </c>
      <c r="AR37" s="97">
        <v>62.044008132898909</v>
      </c>
      <c r="AS37" s="97">
        <v>62.106083173379147</v>
      </c>
      <c r="AT37" s="97">
        <v>62.168220319947707</v>
      </c>
      <c r="AU37" s="97">
        <v>62.230419634741793</v>
      </c>
      <c r="AV37" s="97">
        <v>62.292681179960674</v>
      </c>
      <c r="AW37" s="97">
        <v>62.355005017865949</v>
      </c>
      <c r="AX37" s="97">
        <v>62.417391210781417</v>
      </c>
    </row>
    <row r="38" spans="7:50" x14ac:dyDescent="0.25">
      <c r="L38" s="97">
        <v>57.217176798665562</v>
      </c>
      <c r="M38" s="97">
        <v>57.274422593591197</v>
      </c>
      <c r="N38" s="97">
        <v>57.331725662944216</v>
      </c>
      <c r="O38" s="97">
        <v>57.38908606402768</v>
      </c>
      <c r="P38" s="97">
        <v>57.446503854201993</v>
      </c>
      <c r="Q38" s="97">
        <v>57.503979090884918</v>
      </c>
      <c r="R38" s="97">
        <v>57.561511831551741</v>
      </c>
      <c r="S38" s="97">
        <v>57.61910213373519</v>
      </c>
      <c r="T38" s="97">
        <v>57.6767500550256</v>
      </c>
      <c r="U38" s="97">
        <v>57.734455653070839</v>
      </c>
      <c r="V38" s="97">
        <v>57.792218985576547</v>
      </c>
      <c r="W38" s="97">
        <v>57.850040110306054</v>
      </c>
      <c r="X38" s="97">
        <v>57.907919085080515</v>
      </c>
      <c r="Y38" s="97">
        <v>57.965855967778879</v>
      </c>
      <c r="Z38" s="97">
        <v>58.02385081633804</v>
      </c>
      <c r="AA38" s="97">
        <v>58.081903688752845</v>
      </c>
      <c r="AB38" s="97">
        <v>58.140014643076171</v>
      </c>
      <c r="AC38" s="97">
        <v>58.198183737419022</v>
      </c>
      <c r="AD38" s="97">
        <v>58.256411029950421</v>
      </c>
      <c r="AE38" s="97">
        <v>58.314696578897717</v>
      </c>
      <c r="AF38" s="97">
        <v>58.373040442546476</v>
      </c>
      <c r="AG38" s="97">
        <v>58.431442679240504</v>
      </c>
      <c r="AH38" s="97">
        <v>58.489903347382111</v>
      </c>
      <c r="AI38" s="97">
        <v>58.548422505431908</v>
      </c>
      <c r="AJ38" s="97">
        <v>58.607000211909124</v>
      </c>
      <c r="AK38" s="97">
        <v>58.665636525391406</v>
      </c>
      <c r="AL38" s="97">
        <v>58.724331504515114</v>
      </c>
      <c r="AM38" s="97">
        <v>58.783085207975212</v>
      </c>
      <c r="AN38" s="97">
        <v>58.841897694525436</v>
      </c>
      <c r="AO38" s="97">
        <v>58.900769022978238</v>
      </c>
      <c r="AP38" s="97">
        <v>58.959699252204999</v>
      </c>
      <c r="AQ38" s="97">
        <v>59.018688441135886</v>
      </c>
      <c r="AR38" s="97">
        <v>59.077736648760158</v>
      </c>
      <c r="AS38" s="97">
        <v>59.136843934126013</v>
      </c>
      <c r="AT38" s="97">
        <v>59.1960103563407</v>
      </c>
      <c r="AU38" s="97">
        <v>59.255235974570709</v>
      </c>
      <c r="AV38" s="97">
        <v>59.314520848041596</v>
      </c>
      <c r="AW38" s="97">
        <v>59.373865036038303</v>
      </c>
      <c r="AX38" s="97">
        <v>59.433268597904977</v>
      </c>
    </row>
    <row r="39" spans="7:50" x14ac:dyDescent="0.25">
      <c r="N39" s="97">
        <v>54.59074441289048</v>
      </c>
      <c r="O39" s="97">
        <v>54.645362461776323</v>
      </c>
      <c r="P39" s="97">
        <v>54.70003515602918</v>
      </c>
      <c r="Q39" s="97">
        <v>54.754762550321729</v>
      </c>
      <c r="R39" s="97">
        <v>54.809544699381398</v>
      </c>
      <c r="S39" s="97">
        <v>54.864381657990336</v>
      </c>
      <c r="T39" s="97">
        <v>54.919273480985524</v>
      </c>
      <c r="U39" s="97">
        <v>54.974220223258747</v>
      </c>
      <c r="V39" s="97">
        <v>55.029221939756773</v>
      </c>
      <c r="W39" s="97">
        <v>55.084278685481323</v>
      </c>
      <c r="X39" s="97">
        <v>55.139390515489168</v>
      </c>
      <c r="Y39" s="97">
        <v>55.194557484892123</v>
      </c>
      <c r="Z39" s="97">
        <v>55.249779648857157</v>
      </c>
      <c r="AA39" s="97">
        <v>55.30505706260643</v>
      </c>
      <c r="AB39" s="97">
        <v>55.360389781417375</v>
      </c>
      <c r="AC39" s="97">
        <v>55.415777860622747</v>
      </c>
      <c r="AD39" s="97">
        <v>55.471221355610567</v>
      </c>
      <c r="AE39" s="97">
        <v>55.526720321824371</v>
      </c>
      <c r="AF39" s="97">
        <v>55.582274814763146</v>
      </c>
      <c r="AG39" s="97">
        <v>55.637884889981336</v>
      </c>
      <c r="AH39" s="97">
        <v>55.693550603089079</v>
      </c>
      <c r="AI39" s="97">
        <v>55.749272009752033</v>
      </c>
      <c r="AJ39" s="97">
        <v>55.805049165691678</v>
      </c>
      <c r="AK39" s="97">
        <v>55.860882126685112</v>
      </c>
      <c r="AL39" s="97">
        <v>55.916770948565336</v>
      </c>
      <c r="AM39" s="97">
        <v>55.972715687221168</v>
      </c>
      <c r="AN39" s="97">
        <v>56.028716398597361</v>
      </c>
      <c r="AO39" s="97">
        <v>56.084773138694608</v>
      </c>
      <c r="AP39" s="97">
        <v>56.140885963569694</v>
      </c>
      <c r="AQ39" s="97">
        <v>56.19705492933538</v>
      </c>
      <c r="AR39" s="97">
        <v>56.253280092160708</v>
      </c>
      <c r="AS39" s="97">
        <v>56.309561508270818</v>
      </c>
      <c r="AT39" s="97">
        <v>56.365899233947111</v>
      </c>
      <c r="AU39" s="97">
        <v>56.422293325527363</v>
      </c>
      <c r="AV39" s="97">
        <v>56.478743839405603</v>
      </c>
      <c r="AW39" s="97">
        <v>56.535250832032425</v>
      </c>
      <c r="AX39" s="97">
        <v>56.591814359914771</v>
      </c>
    </row>
    <row r="40" spans="7:50" x14ac:dyDescent="0.25">
      <c r="P40" s="97">
        <v>52.084872800348286</v>
      </c>
      <c r="Q40" s="97">
        <v>52.136983724268006</v>
      </c>
      <c r="R40" s="97">
        <v>52.189146785175801</v>
      </c>
      <c r="S40" s="97">
        <v>52.241362035234737</v>
      </c>
      <c r="T40" s="97">
        <v>52.293629526660077</v>
      </c>
      <c r="U40" s="97">
        <v>52.345949311719281</v>
      </c>
      <c r="V40" s="97">
        <v>52.398321442732154</v>
      </c>
      <c r="W40" s="97">
        <v>52.450745972070841</v>
      </c>
      <c r="X40" s="97">
        <v>52.503222952159888</v>
      </c>
      <c r="Y40" s="97">
        <v>52.555752435476258</v>
      </c>
      <c r="Z40" s="97">
        <v>52.608334474549444</v>
      </c>
      <c r="AA40" s="97">
        <v>52.660969121961472</v>
      </c>
      <c r="AB40" s="97">
        <v>52.713656430347008</v>
      </c>
      <c r="AC40" s="97">
        <v>52.766396452393401</v>
      </c>
      <c r="AD40" s="97">
        <v>52.819189240840615</v>
      </c>
      <c r="AE40" s="97">
        <v>52.872034848481476</v>
      </c>
      <c r="AF40" s="97">
        <v>52.924933328161607</v>
      </c>
      <c r="AG40" s="97">
        <v>52.977884732779458</v>
      </c>
      <c r="AH40" s="97">
        <v>53.03088911528647</v>
      </c>
      <c r="AI40" s="97">
        <v>53.083946528686994</v>
      </c>
      <c r="AJ40" s="97">
        <v>53.137057026038498</v>
      </c>
      <c r="AK40" s="97">
        <v>53.19022066045143</v>
      </c>
      <c r="AL40" s="97">
        <v>53.243437485089473</v>
      </c>
      <c r="AM40" s="97">
        <v>53.296707553169426</v>
      </c>
      <c r="AN40" s="97">
        <v>53.350030917961384</v>
      </c>
      <c r="AO40" s="97">
        <v>53.403407632788699</v>
      </c>
      <c r="AP40" s="97">
        <v>53.456837751028118</v>
      </c>
      <c r="AQ40" s="97">
        <v>53.510321326109704</v>
      </c>
      <c r="AR40" s="97">
        <v>53.563858411517103</v>
      </c>
      <c r="AS40" s="97">
        <v>53.617449060787379</v>
      </c>
      <c r="AT40" s="97">
        <v>53.671093327511173</v>
      </c>
      <c r="AU40" s="97">
        <v>53.724791265332783</v>
      </c>
      <c r="AV40" s="97">
        <v>53.778542927950106</v>
      </c>
      <c r="AW40" s="97">
        <v>53.832348369114868</v>
      </c>
      <c r="AX40" s="97">
        <v>53.886207642632471</v>
      </c>
    </row>
    <row r="41" spans="7:50" x14ac:dyDescent="0.25">
      <c r="R41" s="97">
        <v>49.694027876049233</v>
      </c>
      <c r="S41" s="97">
        <v>49.743746759223633</v>
      </c>
      <c r="T41" s="97">
        <v>49.793515386148947</v>
      </c>
      <c r="U41" s="97">
        <v>49.843333806593783</v>
      </c>
      <c r="V41" s="97">
        <v>49.893202070376567</v>
      </c>
      <c r="W41" s="97">
        <v>49.94312022736559</v>
      </c>
      <c r="X41" s="97">
        <v>49.993088327479015</v>
      </c>
      <c r="Y41" s="97">
        <v>50.043106420684936</v>
      </c>
      <c r="Z41" s="97">
        <v>50.09317455700144</v>
      </c>
      <c r="AA41" s="97">
        <v>50.143292786496666</v>
      </c>
      <c r="AB41" s="97">
        <v>50.193461159288852</v>
      </c>
      <c r="AC41" s="97">
        <v>50.243679725546414</v>
      </c>
      <c r="AD41" s="97">
        <v>50.293948535487857</v>
      </c>
      <c r="AE41" s="97">
        <v>50.344267639382032</v>
      </c>
      <c r="AF41" s="97">
        <v>50.394637087548062</v>
      </c>
      <c r="AG41" s="97">
        <v>50.445056930355356</v>
      </c>
      <c r="AH41" s="97">
        <v>50.495527218223799</v>
      </c>
      <c r="AI41" s="97">
        <v>50.546048001623646</v>
      </c>
      <c r="AJ41" s="97">
        <v>50.596619331075736</v>
      </c>
      <c r="AK41" s="97">
        <v>50.647241257151343</v>
      </c>
      <c r="AL41" s="97">
        <v>50.697913830472451</v>
      </c>
      <c r="AM41" s="97">
        <v>50.748637101711601</v>
      </c>
      <c r="AN41" s="97">
        <v>50.799411121592087</v>
      </c>
      <c r="AO41" s="97">
        <v>50.850235940887927</v>
      </c>
      <c r="AP41" s="97">
        <v>50.90111161042396</v>
      </c>
      <c r="AQ41" s="97">
        <v>50.952038181075814</v>
      </c>
      <c r="AR41" s="97">
        <v>51.003015703770117</v>
      </c>
      <c r="AS41" s="97">
        <v>51.054044229484383</v>
      </c>
      <c r="AT41" s="97">
        <v>51.105123809247111</v>
      </c>
      <c r="AU41" s="97">
        <v>51.156254494137933</v>
      </c>
      <c r="AV41" s="97">
        <v>51.207436335287476</v>
      </c>
      <c r="AW41" s="97">
        <v>51.258669383877653</v>
      </c>
      <c r="AX41" s="97">
        <v>51.309953691141473</v>
      </c>
    </row>
    <row r="42" spans="7:50" x14ac:dyDescent="0.25">
      <c r="T42" s="97">
        <v>47.412929585364118</v>
      </c>
      <c r="U42" s="97">
        <v>47.460366229318403</v>
      </c>
      <c r="V42" s="97">
        <v>47.507850333642864</v>
      </c>
      <c r="W42" s="97">
        <v>47.555381945821622</v>
      </c>
      <c r="X42" s="97">
        <v>47.602961113386307</v>
      </c>
      <c r="Y42" s="97">
        <v>47.650587883916074</v>
      </c>
      <c r="Z42" s="97">
        <v>47.698262305037687</v>
      </c>
      <c r="AA42" s="97">
        <v>47.745984424425572</v>
      </c>
      <c r="AB42" s="97">
        <v>47.793754289801853</v>
      </c>
      <c r="AC42" s="97">
        <v>47.841571948936448</v>
      </c>
      <c r="AD42" s="97">
        <v>47.889437449646941</v>
      </c>
      <c r="AE42" s="97">
        <v>47.937350839798881</v>
      </c>
      <c r="AF42" s="97">
        <v>47.985312167305672</v>
      </c>
      <c r="AG42" s="97">
        <v>48.033321480128606</v>
      </c>
      <c r="AH42" s="97">
        <v>48.081378826277039</v>
      </c>
      <c r="AI42" s="97">
        <v>48.129484253808286</v>
      </c>
      <c r="AJ42" s="97">
        <v>48.177637810827825</v>
      </c>
      <c r="AK42" s="97">
        <v>48.225839545489166</v>
      </c>
      <c r="AL42" s="97">
        <v>48.274089505994084</v>
      </c>
      <c r="AM42" s="97">
        <v>48.322387740592525</v>
      </c>
      <c r="AN42" s="97">
        <v>48.370734297582729</v>
      </c>
      <c r="AO42" s="97">
        <v>48.419129225311266</v>
      </c>
      <c r="AP42" s="97">
        <v>48.467572572173083</v>
      </c>
      <c r="AQ42" s="97">
        <v>48.516064386611475</v>
      </c>
      <c r="AR42" s="97">
        <v>48.564604717118321</v>
      </c>
      <c r="AS42" s="97">
        <v>48.613193612233935</v>
      </c>
      <c r="AT42" s="97">
        <v>48.661831120547191</v>
      </c>
      <c r="AU42" s="97">
        <v>48.710517290695655</v>
      </c>
      <c r="AV42" s="97">
        <v>48.759252171365432</v>
      </c>
      <c r="AW42" s="97">
        <v>48.808035811291468</v>
      </c>
      <c r="AX42" s="97">
        <v>48.856868259257375</v>
      </c>
    </row>
    <row r="43" spans="7:50" x14ac:dyDescent="0.25">
      <c r="W43" s="97">
        <v>45.28179940935717</v>
      </c>
      <c r="X43" s="97">
        <v>45.327103857215093</v>
      </c>
      <c r="Y43" s="97">
        <v>45.372453632180658</v>
      </c>
      <c r="Z43" s="97">
        <v>45.417848779603624</v>
      </c>
      <c r="AA43" s="97">
        <v>45.463289344879151</v>
      </c>
      <c r="AB43" s="97">
        <v>45.508775373447804</v>
      </c>
      <c r="AC43" s="97">
        <v>45.55430691079566</v>
      </c>
      <c r="AD43" s="97">
        <v>45.599884002454182</v>
      </c>
      <c r="AE43" s="97">
        <v>45.645506694000524</v>
      </c>
      <c r="AF43" s="97">
        <v>45.691175031057369</v>
      </c>
      <c r="AG43" s="97">
        <v>45.736889059293034</v>
      </c>
      <c r="AH43" s="97">
        <v>45.782648824421585</v>
      </c>
      <c r="AI43" s="97">
        <v>45.828454372202764</v>
      </c>
      <c r="AJ43" s="97">
        <v>45.874305748442154</v>
      </c>
      <c r="AK43" s="97">
        <v>45.920202998991094</v>
      </c>
      <c r="AL43" s="97">
        <v>45.966146169746871</v>
      </c>
      <c r="AM43" s="97">
        <v>46.012135306652645</v>
      </c>
      <c r="AN43" s="97">
        <v>46.05817045569755</v>
      </c>
      <c r="AO43" s="97">
        <v>46.104251662916759</v>
      </c>
      <c r="AP43" s="97">
        <v>46.150378974391487</v>
      </c>
      <c r="AQ43" s="97">
        <v>46.196552436249007</v>
      </c>
      <c r="AR43" s="97">
        <v>46.242772094662833</v>
      </c>
      <c r="AS43" s="97">
        <v>46.28903799585261</v>
      </c>
      <c r="AT43" s="97">
        <v>46.33535018608422</v>
      </c>
      <c r="AU43" s="97">
        <v>46.381708711669908</v>
      </c>
      <c r="AV43" s="97">
        <v>46.42811361896814</v>
      </c>
      <c r="AW43" s="97">
        <v>46.474564954383879</v>
      </c>
      <c r="AX43" s="97">
        <v>46.521062764368445</v>
      </c>
    </row>
    <row r="44" spans="7:50" x14ac:dyDescent="0.25">
      <c r="Z44" s="97">
        <v>43.246459893552142</v>
      </c>
      <c r="AA44" s="97">
        <v>43.289727983885193</v>
      </c>
      <c r="AB44" s="97">
        <v>43.333039363949815</v>
      </c>
      <c r="AC44" s="97">
        <v>43.376394077057455</v>
      </c>
      <c r="AD44" s="97">
        <v>43.41979216656275</v>
      </c>
      <c r="AE44" s="97">
        <v>43.46323367586384</v>
      </c>
      <c r="AF44" s="97">
        <v>43.506718648402234</v>
      </c>
      <c r="AG44" s="97">
        <v>43.550247127662885</v>
      </c>
      <c r="AH44" s="97">
        <v>43.593819157174309</v>
      </c>
      <c r="AI44" s="97">
        <v>43.637434780508514</v>
      </c>
      <c r="AJ44" s="97">
        <v>43.681094041281149</v>
      </c>
      <c r="AK44" s="97">
        <v>43.72479698315145</v>
      </c>
      <c r="AL44" s="97">
        <v>43.768543649822384</v>
      </c>
      <c r="AM44" s="97">
        <v>43.812334085040618</v>
      </c>
      <c r="AN44" s="97">
        <v>43.856168332596575</v>
      </c>
      <c r="AO44" s="97">
        <v>43.90004643632453</v>
      </c>
      <c r="AP44" s="97">
        <v>43.943968440102594</v>
      </c>
      <c r="AQ44" s="97">
        <v>43.987934387852732</v>
      </c>
      <c r="AR44" s="97">
        <v>44.031944323540941</v>
      </c>
      <c r="AS44" s="97">
        <v>44.075998291177143</v>
      </c>
      <c r="AT44" s="97">
        <v>44.120096334815294</v>
      </c>
      <c r="AU44" s="97">
        <v>44.164238498553487</v>
      </c>
      <c r="AV44" s="97">
        <v>44.208424826533829</v>
      </c>
      <c r="AW44" s="97">
        <v>44.25265536294269</v>
      </c>
      <c r="AX44" s="97">
        <v>44.29693015201061</v>
      </c>
    </row>
    <row r="45" spans="7:50" x14ac:dyDescent="0.25">
      <c r="AB45" s="97">
        <v>41.261323450448266</v>
      </c>
      <c r="AC45" s="97">
        <v>41.302605411439075</v>
      </c>
      <c r="AD45" s="97">
        <v>41.343928675038697</v>
      </c>
      <c r="AE45" s="97">
        <v>41.385293282570451</v>
      </c>
      <c r="AF45" s="97">
        <v>41.426699275398946</v>
      </c>
      <c r="AG45" s="97">
        <v>41.468146694930155</v>
      </c>
      <c r="AH45" s="97">
        <v>41.509635582611523</v>
      </c>
      <c r="AI45" s="97">
        <v>41.55116597993193</v>
      </c>
      <c r="AJ45" s="97">
        <v>41.592737928421791</v>
      </c>
      <c r="AK45" s="97">
        <v>41.634351469653026</v>
      </c>
      <c r="AL45" s="97">
        <v>41.676006645239212</v>
      </c>
      <c r="AM45" s="97">
        <v>41.717703496835519</v>
      </c>
      <c r="AN45" s="97">
        <v>41.759442066138782</v>
      </c>
      <c r="AO45" s="97">
        <v>41.801222394887603</v>
      </c>
      <c r="AP45" s="97">
        <v>41.843044524862314</v>
      </c>
      <c r="AQ45" s="97">
        <v>41.884908497885014</v>
      </c>
      <c r="AR45" s="97">
        <v>41.926814355819722</v>
      </c>
      <c r="AS45" s="97">
        <v>41.968762140572274</v>
      </c>
      <c r="AT45" s="97">
        <v>42.010751894090454</v>
      </c>
      <c r="AU45" s="97">
        <v>42.052783658364056</v>
      </c>
      <c r="AV45" s="97">
        <v>42.094857475424789</v>
      </c>
      <c r="AW45" s="97">
        <v>42.136973387346515</v>
      </c>
      <c r="AX45" s="97">
        <v>42.17913143624515</v>
      </c>
    </row>
    <row r="46" spans="7:50" x14ac:dyDescent="0.25">
      <c r="AE46" s="97">
        <v>39.406697459685276</v>
      </c>
      <c r="AF46" s="97">
        <v>39.446123867063122</v>
      </c>
      <c r="AG46" s="97">
        <v>39.485589720568115</v>
      </c>
      <c r="AH46" s="97">
        <v>39.525095059666121</v>
      </c>
      <c r="AI46" s="97">
        <v>39.564639923862487</v>
      </c>
      <c r="AJ46" s="97">
        <v>39.604224352702076</v>
      </c>
      <c r="AK46" s="97">
        <v>39.643848385769303</v>
      </c>
      <c r="AL46" s="97">
        <v>39.68351206268823</v>
      </c>
      <c r="AM46" s="97">
        <v>39.723215423122525</v>
      </c>
      <c r="AN46" s="97">
        <v>39.762958506775547</v>
      </c>
      <c r="AO46" s="97">
        <v>39.802741353390388</v>
      </c>
      <c r="AP46" s="97">
        <v>39.842564002749924</v>
      </c>
      <c r="AQ46" s="97">
        <v>39.88242649467675</v>
      </c>
      <c r="AR46" s="97">
        <v>39.922328869033421</v>
      </c>
      <c r="AS46" s="97">
        <v>39.962271165722278</v>
      </c>
      <c r="AT46" s="97">
        <v>40.00225342468562</v>
      </c>
      <c r="AU46" s="97">
        <v>40.04227568590575</v>
      </c>
      <c r="AV46" s="97">
        <v>40.08233798940487</v>
      </c>
      <c r="AW46" s="97">
        <v>40.122440375245326</v>
      </c>
      <c r="AX46" s="97">
        <v>40.162582883529517</v>
      </c>
    </row>
    <row r="47" spans="7:50" x14ac:dyDescent="0.25">
      <c r="AI47" s="97">
        <v>37.673087996156823</v>
      </c>
      <c r="AJ47" s="97">
        <v>37.710779926977402</v>
      </c>
      <c r="AK47" s="97">
        <v>37.748509568581042</v>
      </c>
      <c r="AL47" s="97">
        <v>37.7862769586974</v>
      </c>
      <c r="AM47" s="97">
        <v>37.824082135093867</v>
      </c>
      <c r="AN47" s="97">
        <v>37.861925135575618</v>
      </c>
      <c r="AO47" s="97">
        <v>37.899805997985652</v>
      </c>
      <c r="AP47" s="97">
        <v>37.937724760204873</v>
      </c>
      <c r="AQ47" s="97">
        <v>37.975681460151982</v>
      </c>
      <c r="AR47" s="97">
        <v>38.01367613578374</v>
      </c>
      <c r="AS47" s="97">
        <v>38.051708825094792</v>
      </c>
      <c r="AT47" s="97">
        <v>38.089779566117826</v>
      </c>
      <c r="AU47" s="97">
        <v>38.127888396923638</v>
      </c>
      <c r="AV47" s="97">
        <v>38.166035355620984</v>
      </c>
      <c r="AW47" s="97">
        <v>38.204220480356874</v>
      </c>
      <c r="AX47" s="97">
        <v>38.242443809316448</v>
      </c>
    </row>
    <row r="48" spans="7:50" x14ac:dyDescent="0.25">
      <c r="AL48" s="97">
        <v>35.979747058271442</v>
      </c>
      <c r="AM48" s="97">
        <v>36.015744801201372</v>
      </c>
      <c r="AN48" s="97">
        <v>36.051778559879097</v>
      </c>
      <c r="AO48" s="97">
        <v>36.087848370338378</v>
      </c>
      <c r="AP48" s="97">
        <v>36.123954268649072</v>
      </c>
      <c r="AQ48" s="97">
        <v>36.160096290917004</v>
      </c>
      <c r="AR48" s="97">
        <v>36.196274473284269</v>
      </c>
      <c r="AS48" s="97">
        <v>36.232488851929013</v>
      </c>
      <c r="AT48" s="97">
        <v>36.268739463065621</v>
      </c>
      <c r="AU48" s="97">
        <v>36.305026342944743</v>
      </c>
      <c r="AV48" s="97">
        <v>36.341349527853197</v>
      </c>
      <c r="AW48" s="97">
        <v>36.377709054114213</v>
      </c>
      <c r="AX48" s="97">
        <v>36.414104958087336</v>
      </c>
    </row>
    <row r="49" spans="42:50" x14ac:dyDescent="0.25">
      <c r="AP49" s="97">
        <v>34.396898608223296</v>
      </c>
      <c r="AQ49" s="97">
        <v>34.431312711015053</v>
      </c>
      <c r="AR49" s="97">
        <v>34.46576124512243</v>
      </c>
      <c r="AS49" s="97">
        <v>34.500244244993901</v>
      </c>
      <c r="AT49" s="97">
        <v>34.53476174511249</v>
      </c>
      <c r="AU49" s="97">
        <v>34.569313779995731</v>
      </c>
      <c r="AV49" s="97">
        <v>34.603900384195597</v>
      </c>
      <c r="AW49" s="97">
        <v>34.638521592298737</v>
      </c>
      <c r="AX49" s="97">
        <v>34.67317743892638</v>
      </c>
    </row>
    <row r="50" spans="42:50" x14ac:dyDescent="0.25">
      <c r="AS50" s="97">
        <v>32.850816785688878</v>
      </c>
      <c r="AT50" s="97">
        <v>32.883684033359465</v>
      </c>
      <c r="AU50" s="97">
        <v>32.916584164716845</v>
      </c>
      <c r="AV50" s="97">
        <v>32.9495172126611</v>
      </c>
      <c r="AW50" s="97">
        <v>32.982483210125324</v>
      </c>
      <c r="AX50" s="97">
        <v>33.015482190075524</v>
      </c>
    </row>
    <row r="51" spans="42:50" x14ac:dyDescent="0.25">
      <c r="AW51" s="97">
        <v>31.40561862051473</v>
      </c>
      <c r="AX51" s="97">
        <v>31.43703994718015</v>
      </c>
    </row>
  </sheetData>
  <mergeCells count="1">
    <mergeCell ref="A1:C3"/>
  </mergeCells>
  <conditionalFormatting sqref="A4:XFD1048576 D1:XFD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/>
  <dimension ref="A1:AX52"/>
  <sheetViews>
    <sheetView topLeftCell="B1" zoomScale="55" zoomScaleNormal="55" workbookViewId="0">
      <selection activeCell="B10" sqref="B10"/>
    </sheetView>
  </sheetViews>
  <sheetFormatPr baseColWidth="10" defaultColWidth="11.42578125" defaultRowHeight="15" x14ac:dyDescent="0.25"/>
  <cols>
    <col min="1" max="16384" width="11.42578125" style="97"/>
  </cols>
  <sheetData>
    <row r="1" spans="1:50" x14ac:dyDescent="0.25">
      <c r="A1" s="96" t="s">
        <v>63</v>
      </c>
      <c r="B1" s="96"/>
      <c r="C1" s="96"/>
    </row>
    <row r="2" spans="1:50" x14ac:dyDescent="0.25">
      <c r="A2" s="96"/>
      <c r="B2" s="96"/>
      <c r="C2" s="96"/>
    </row>
    <row r="3" spans="1:50" x14ac:dyDescent="0.25">
      <c r="A3" s="96"/>
      <c r="B3" s="96"/>
      <c r="C3" s="96"/>
    </row>
    <row r="5" spans="1:50" x14ac:dyDescent="0.25">
      <c r="AV5" s="97">
        <v>1.8202621469652093E-9</v>
      </c>
      <c r="AW5" s="97">
        <v>3.8906513523532863E-9</v>
      </c>
      <c r="AX5" s="97">
        <v>6.4613515339585256E-9</v>
      </c>
    </row>
    <row r="6" spans="1:50" x14ac:dyDescent="0.25">
      <c r="AR6" s="97">
        <v>1.9618578829028156E-9</v>
      </c>
      <c r="AS6" s="97">
        <v>4.2749711415428543E-9</v>
      </c>
      <c r="AT6" s="97">
        <v>7.2481055740805796E-9</v>
      </c>
      <c r="AU6" s="97">
        <v>1.1193517694910474E-8</v>
      </c>
      <c r="AV6" s="97">
        <v>1.2731648704832756E-8</v>
      </c>
      <c r="AW6" s="97">
        <v>1.5808260375616054E-8</v>
      </c>
      <c r="AX6" s="97">
        <v>2.0346528618070391E-8</v>
      </c>
    </row>
    <row r="7" spans="1:50" x14ac:dyDescent="0.25">
      <c r="AN7" s="97">
        <v>1.9394025139172544E-9</v>
      </c>
      <c r="AO7" s="97">
        <v>4.3468461737328017E-9</v>
      </c>
      <c r="AP7" s="97">
        <v>7.5887692791522414E-9</v>
      </c>
      <c r="AQ7" s="97">
        <v>1.2064246330553197E-8</v>
      </c>
      <c r="AR7" s="97">
        <v>1.4224255684318337E-8</v>
      </c>
      <c r="AS7" s="97">
        <v>1.8282989038385712E-8</v>
      </c>
      <c r="AT7" s="97">
        <v>2.4261912198667244E-8</v>
      </c>
      <c r="AU7" s="97">
        <v>3.2407638652149081E-8</v>
      </c>
      <c r="AV7" s="97">
        <v>4.5021860654040202E-8</v>
      </c>
      <c r="AW7" s="97">
        <v>6.0317868572403474E-8</v>
      </c>
      <c r="AX7" s="97">
        <v>7.9332285931451321E-8</v>
      </c>
    </row>
    <row r="8" spans="1:50" x14ac:dyDescent="0.25">
      <c r="AJ8" s="97">
        <v>1.6518297688367261E-9</v>
      </c>
      <c r="AK8" s="97">
        <v>3.9105509173168907E-9</v>
      </c>
      <c r="AL8" s="97">
        <v>7.1739224263793509E-9</v>
      </c>
      <c r="AM8" s="97">
        <v>1.1926159313525134E-8</v>
      </c>
      <c r="AN8" s="97">
        <v>1.4804330931438309E-8</v>
      </c>
      <c r="AO8" s="97">
        <v>1.99358777561534E-8</v>
      </c>
      <c r="AP8" s="97">
        <v>2.7521492797912266E-8</v>
      </c>
      <c r="AQ8" s="97">
        <v>3.8016992773020902E-8</v>
      </c>
      <c r="AR8" s="97">
        <v>5.4121475672246694E-8</v>
      </c>
      <c r="AS8" s="97">
        <v>7.4250742606708377E-8</v>
      </c>
      <c r="AT8" s="97">
        <v>9.9833325837613047E-8</v>
      </c>
      <c r="AU8" s="97">
        <v>1.3225679332194519E-7</v>
      </c>
      <c r="AV8" s="97">
        <v>1.7299460363126145E-7</v>
      </c>
      <c r="AW8" s="97">
        <v>2.2398952141069908E-7</v>
      </c>
      <c r="AX8" s="97">
        <v>2.8685489887513304E-7</v>
      </c>
    </row>
    <row r="9" spans="1:50" x14ac:dyDescent="0.25">
      <c r="AG9" s="97">
        <v>2.236642609241602E-9</v>
      </c>
      <c r="AH9" s="97">
        <v>5.4111426781305593E-9</v>
      </c>
      <c r="AI9" s="97">
        <v>1.0157759846450536E-8</v>
      </c>
      <c r="AJ9" s="97">
        <v>1.3889776912370569E-8</v>
      </c>
      <c r="AK9" s="97">
        <v>2.0067772541808124E-8</v>
      </c>
      <c r="AL9" s="97">
        <v>2.9223399374302736E-8</v>
      </c>
      <c r="AM9" s="97">
        <v>4.2150151539826494E-8</v>
      </c>
      <c r="AN9" s="97">
        <v>6.1907909302237848E-8</v>
      </c>
      <c r="AO9" s="97">
        <v>8.7519699958621596E-8</v>
      </c>
      <c r="AP9" s="97">
        <v>1.2096584364034869E-7</v>
      </c>
      <c r="AQ9" s="97">
        <v>1.6430570342816181E-7</v>
      </c>
      <c r="AR9" s="97">
        <v>2.1980480852051805E-7</v>
      </c>
      <c r="AS9" s="97">
        <v>2.9034612081902735E-7</v>
      </c>
      <c r="AT9" s="97">
        <v>3.7858398149112207E-7</v>
      </c>
      <c r="AU9" s="97">
        <v>4.8763237550365936E-7</v>
      </c>
      <c r="AV9" s="97">
        <v>6.2098089259742388E-7</v>
      </c>
      <c r="AW9" s="97">
        <v>7.8246333885699894E-7</v>
      </c>
      <c r="AX9" s="97">
        <v>9.7629926762692769E-7</v>
      </c>
    </row>
    <row r="10" spans="1:50" x14ac:dyDescent="0.25">
      <c r="AD10" s="97">
        <v>2.8506287620335954E-9</v>
      </c>
      <c r="AE10" s="97">
        <v>7.1040499060632236E-9</v>
      </c>
      <c r="AF10" s="97">
        <v>1.3754007171701614E-8</v>
      </c>
      <c r="AG10" s="97">
        <v>1.9521266622422645E-8</v>
      </c>
      <c r="AH10" s="97">
        <v>2.9188841482608195E-8</v>
      </c>
      <c r="AI10" s="97">
        <v>4.377519801204863E-8</v>
      </c>
      <c r="AJ10" s="97">
        <v>6.646791277013949E-8</v>
      </c>
      <c r="AK10" s="97">
        <v>9.7444740396380337E-8</v>
      </c>
      <c r="AL10" s="97">
        <v>1.3940584797670509E-7</v>
      </c>
      <c r="AM10" s="97">
        <v>1.9539000938668389E-7</v>
      </c>
      <c r="AN10" s="97">
        <v>2.688736534366941E-7</v>
      </c>
      <c r="AO10" s="97">
        <v>3.641705538269822E-7</v>
      </c>
      <c r="AP10" s="97">
        <v>4.8561607884559388E-7</v>
      </c>
      <c r="AQ10" s="97">
        <v>6.382214490701163E-7</v>
      </c>
      <c r="AR10" s="97">
        <v>8.2759369544371972E-7</v>
      </c>
      <c r="AS10" s="97">
        <v>1.0599013551162302E-6</v>
      </c>
      <c r="AT10" s="97">
        <v>1.3419126585624733E-6</v>
      </c>
      <c r="AU10" s="97">
        <v>1.6808644340357258E-6</v>
      </c>
      <c r="AV10" s="97">
        <v>2.0844803551924502E-6</v>
      </c>
      <c r="AW10" s="97">
        <v>2.5609523317541868E-6</v>
      </c>
      <c r="AX10" s="97">
        <v>3.1189076615943097E-6</v>
      </c>
    </row>
    <row r="11" spans="1:50" x14ac:dyDescent="0.25">
      <c r="AA11" s="97">
        <v>3.337429100137622E-9</v>
      </c>
      <c r="AB11" s="97">
        <v>8.6745771587002029E-9</v>
      </c>
      <c r="AC11" s="97">
        <v>1.7529652826461806E-8</v>
      </c>
      <c r="AD11" s="97">
        <v>2.6155982488002072E-8</v>
      </c>
      <c r="AE11" s="97">
        <v>4.0893238618080607E-8</v>
      </c>
      <c r="AF11" s="97">
        <v>6.3663775813164822E-8</v>
      </c>
      <c r="AG11" s="97">
        <v>9.94724612359201E-8</v>
      </c>
      <c r="AH11" s="97">
        <v>1.4954056598566261E-7</v>
      </c>
      <c r="AI11" s="97">
        <v>2.1862710623138333E-7</v>
      </c>
      <c r="AJ11" s="97">
        <v>3.1217484132596952E-7</v>
      </c>
      <c r="AK11" s="97">
        <v>4.3674235816454601E-7</v>
      </c>
      <c r="AL11" s="97">
        <v>5.9938944674975627E-7</v>
      </c>
      <c r="AM11" s="97">
        <v>8.0820421006502267E-7</v>
      </c>
      <c r="AN11" s="97">
        <v>1.0722497078013269E-6</v>
      </c>
      <c r="AO11" s="97">
        <v>1.401528900228044E-6</v>
      </c>
      <c r="AP11" s="97">
        <v>1.807006535090827E-6</v>
      </c>
      <c r="AQ11" s="97">
        <v>2.3004577776375726E-6</v>
      </c>
      <c r="AR11" s="97">
        <v>2.8944518616755644E-6</v>
      </c>
      <c r="AS11" s="97">
        <v>3.6022956204872074E-6</v>
      </c>
      <c r="AT11" s="97">
        <v>4.4379593253022682E-6</v>
      </c>
      <c r="AU11" s="97">
        <v>5.4160034606023579E-6</v>
      </c>
      <c r="AV11" s="97">
        <v>6.5514777460135528E-6</v>
      </c>
      <c r="AW11" s="97">
        <v>7.8598283890192379E-6</v>
      </c>
      <c r="AX11" s="97">
        <v>9.3568054392122045E-6</v>
      </c>
    </row>
    <row r="12" spans="1:50" x14ac:dyDescent="0.25">
      <c r="X12" s="97">
        <v>3.4486612210372254E-9</v>
      </c>
      <c r="Y12" s="97">
        <v>9.5455569447800405E-9</v>
      </c>
      <c r="Z12" s="97">
        <v>2.0523182196682258E-8</v>
      </c>
      <c r="AA12" s="97">
        <v>3.2820251376149501E-8</v>
      </c>
      <c r="AB12" s="97">
        <v>5.44533908712517E-8</v>
      </c>
      <c r="AC12" s="97">
        <v>8.898620356660188E-8</v>
      </c>
      <c r="AD12" s="97">
        <v>1.442505110681612E-7</v>
      </c>
      <c r="AE12" s="97">
        <v>2.2386482375491363E-7</v>
      </c>
      <c r="AF12" s="97">
        <v>3.3628137950507502E-7</v>
      </c>
      <c r="AG12" s="97">
        <v>4.9132671466436329E-7</v>
      </c>
      <c r="AH12" s="97">
        <v>7.007757877566275E-7</v>
      </c>
      <c r="AI12" s="97">
        <v>9.7752058595142593E-7</v>
      </c>
      <c r="AJ12" s="97">
        <v>1.3362339517413451E-6</v>
      </c>
      <c r="AK12" s="97">
        <v>1.7932577812667445E-6</v>
      </c>
      <c r="AL12" s="97">
        <v>2.3665538890274407E-6</v>
      </c>
      <c r="AM12" s="97">
        <v>3.075508629598338E-6</v>
      </c>
      <c r="AN12" s="97">
        <v>3.9408320196385492E-6</v>
      </c>
      <c r="AO12" s="97">
        <v>4.9844162726202346E-6</v>
      </c>
      <c r="AP12" s="97">
        <v>6.2291719547998296E-6</v>
      </c>
      <c r="AQ12" s="97">
        <v>7.6988608354508346E-6</v>
      </c>
      <c r="AR12" s="97">
        <v>9.4178997141502413E-6</v>
      </c>
      <c r="AS12" s="97">
        <v>1.1411171876007939E-5</v>
      </c>
      <c r="AT12" s="97">
        <v>1.3703840701438841E-5</v>
      </c>
      <c r="AU12" s="97">
        <v>1.6321166551201201E-5</v>
      </c>
      <c r="AV12" s="97">
        <v>1.9288331190894959E-5</v>
      </c>
      <c r="AW12" s="97">
        <v>2.2630267807673805E-5</v>
      </c>
      <c r="AX12" s="97">
        <v>2.6371501498484032E-5</v>
      </c>
    </row>
    <row r="13" spans="1:50" x14ac:dyDescent="0.25">
      <c r="U13" s="97">
        <v>2.9260394836901575E-9</v>
      </c>
      <c r="V13" s="97">
        <v>8.9668801153394275E-9</v>
      </c>
      <c r="W13" s="97">
        <v>2.1207192857240893E-8</v>
      </c>
      <c r="X13" s="97">
        <v>3.7492242686878558E-8</v>
      </c>
      <c r="Y13" s="97">
        <v>6.7505794541789738E-8</v>
      </c>
      <c r="Z13" s="97">
        <v>1.1769640716778234E-7</v>
      </c>
      <c r="AA13" s="97">
        <v>2.0031919559644159E-7</v>
      </c>
      <c r="AB13" s="97">
        <v>3.2399690029667659E-7</v>
      </c>
      <c r="AC13" s="97">
        <v>5.0387282265800594E-7</v>
      </c>
      <c r="AD13" s="97">
        <v>7.5785467418520554E-7</v>
      </c>
      <c r="AE13" s="97">
        <v>1.1073175677539229E-6</v>
      </c>
      <c r="AF13" s="97">
        <v>1.5760225967889155E-6</v>
      </c>
      <c r="AG13" s="97">
        <v>2.1908416858855719E-6</v>
      </c>
      <c r="AH13" s="97">
        <v>2.9815024322753858E-6</v>
      </c>
      <c r="AI13" s="97">
        <v>3.9803893370427072E-6</v>
      </c>
      <c r="AJ13" s="97">
        <v>5.2221324412532254E-6</v>
      </c>
      <c r="AK13" s="97">
        <v>6.7433096905252558E-6</v>
      </c>
      <c r="AL13" s="97">
        <v>8.5820923754109011E-6</v>
      </c>
      <c r="AM13" s="97">
        <v>1.0777872109045584E-5</v>
      </c>
      <c r="AN13" s="97">
        <v>1.3370860454055432E-5</v>
      </c>
      <c r="AO13" s="97">
        <v>1.640169808945245E-5</v>
      </c>
      <c r="AP13" s="97">
        <v>1.9911075581891043E-5</v>
      </c>
      <c r="AQ13" s="97">
        <v>2.3939371190175713E-5</v>
      </c>
      <c r="AR13" s="97">
        <v>2.8526312747121906E-5</v>
      </c>
      <c r="AS13" s="97">
        <v>3.3710663656737131E-5</v>
      </c>
      <c r="AT13" s="97">
        <v>3.9529938781367897E-5</v>
      </c>
      <c r="AU13" s="97">
        <v>4.6020152281947492E-5</v>
      </c>
      <c r="AV13" s="97">
        <v>5.3215598088354786E-5</v>
      </c>
      <c r="AW13" s="97">
        <v>6.1148663195817387E-5</v>
      </c>
      <c r="AX13" s="97">
        <v>6.9849672544466747E-5</v>
      </c>
    </row>
    <row r="14" spans="1:50" x14ac:dyDescent="0.25">
      <c r="R14" s="97">
        <v>1.7360415469288939E-9</v>
      </c>
      <c r="S14" s="97">
        <v>6.4649078552666878E-9</v>
      </c>
      <c r="T14" s="97">
        <v>1.7993383420791622E-8</v>
      </c>
      <c r="U14" s="97">
        <v>3.7147537575969061E-8</v>
      </c>
      <c r="V14" s="97">
        <v>7.5270563361532736E-8</v>
      </c>
      <c r="W14" s="97">
        <v>1.4362245547119736E-7</v>
      </c>
      <c r="X14" s="97">
        <v>2.6143225412624963E-7</v>
      </c>
      <c r="Y14" s="97">
        <v>4.4704311870248179E-7</v>
      </c>
      <c r="Z14" s="97">
        <v>7.2782913253714928E-7</v>
      </c>
      <c r="AA14" s="97">
        <v>1.1367717178597372E-6</v>
      </c>
      <c r="AB14" s="97">
        <v>1.7132028550296909E-6</v>
      </c>
      <c r="AC14" s="97">
        <v>2.5014264163474453E-6</v>
      </c>
      <c r="AD14" s="97">
        <v>3.5512543434609946E-6</v>
      </c>
      <c r="AE14" s="97">
        <v>4.9173822499475944E-6</v>
      </c>
      <c r="AF14" s="97">
        <v>6.6587784779777821E-6</v>
      </c>
      <c r="AG14" s="97">
        <v>8.8377768527126501E-6</v>
      </c>
      <c r="AH14" s="97">
        <v>1.1519297366611626E-5</v>
      </c>
      <c r="AI14" s="97">
        <v>1.4770004467301235E-5</v>
      </c>
      <c r="AJ14" s="97">
        <v>1.8657465879786566E-5</v>
      </c>
      <c r="AK14" s="97">
        <v>2.3249309757070478E-5</v>
      </c>
      <c r="AL14" s="97">
        <v>2.8612435826219799E-5</v>
      </c>
      <c r="AM14" s="97">
        <v>3.4812287612005133E-5</v>
      </c>
      <c r="AN14" s="97">
        <v>4.19121961962074E-5</v>
      </c>
      <c r="AO14" s="97">
        <v>4.9972798855972314E-5</v>
      </c>
      <c r="AP14" s="97">
        <v>5.9051538380150866E-5</v>
      </c>
      <c r="AQ14" s="97">
        <v>6.9202244096191277E-5</v>
      </c>
      <c r="AR14" s="97">
        <v>8.0474792974250352E-5</v>
      </c>
      <c r="AS14" s="97">
        <v>9.291484767244943E-5</v>
      </c>
      <c r="AT14" s="97">
        <v>1.0656366628707565E-4</v>
      </c>
      <c r="AU14" s="97">
        <v>1.2145797833694583E-4</v>
      </c>
      <c r="AV14" s="97">
        <v>1.3762992093325468E-4</v>
      </c>
      <c r="AW14" s="97">
        <v>1.5510702873323476E-4</v>
      </c>
      <c r="AX14" s="97">
        <v>1.7391227123357905E-4</v>
      </c>
    </row>
    <row r="15" spans="1:50" x14ac:dyDescent="0.25">
      <c r="P15" s="97">
        <v>2.5407382925531613E-9</v>
      </c>
      <c r="Q15" s="97">
        <v>1.0675611645851451E-8</v>
      </c>
      <c r="R15" s="97">
        <v>2.9079684367163949E-8</v>
      </c>
      <c r="S15" s="97">
        <v>7.0893192748765565E-8</v>
      </c>
      <c r="T15" s="97">
        <v>1.546767388383528E-7</v>
      </c>
      <c r="U15" s="97">
        <v>3.1059392489956278E-7</v>
      </c>
      <c r="V15" s="97">
        <v>5.7464347112985863E-7</v>
      </c>
      <c r="W15" s="97">
        <v>9.9664356716089802E-7</v>
      </c>
      <c r="X15" s="97">
        <v>1.6380114222167976E-6</v>
      </c>
      <c r="Y15" s="97">
        <v>2.5723020233957657E-6</v>
      </c>
      <c r="Z15" s="97">
        <v>3.8833474040762374E-6</v>
      </c>
      <c r="AA15" s="97">
        <v>5.6649480679328541E-6</v>
      </c>
      <c r="AB15" s="97">
        <v>8.0192612807555836E-6</v>
      </c>
      <c r="AC15" s="97">
        <v>1.105508694185677E-5</v>
      </c>
      <c r="AD15" s="97">
        <v>1.4885774768575829E-5</v>
      </c>
      <c r="AE15" s="97">
        <v>1.9627288596985401E-5</v>
      </c>
      <c r="AF15" s="97">
        <v>2.5396267457828913E-5</v>
      </c>
      <c r="AG15" s="97">
        <v>3.230819097965815E-5</v>
      </c>
      <c r="AH15" s="97">
        <v>4.0475665897780203E-5</v>
      </c>
      <c r="AI15" s="97">
        <v>5.0006912402665907E-5</v>
      </c>
      <c r="AJ15" s="97">
        <v>6.1004461288120786E-5</v>
      </c>
      <c r="AK15" s="97">
        <v>7.3564070552536756E-5</v>
      </c>
      <c r="AL15" s="97">
        <v>8.7773856035234317E-5</v>
      </c>
      <c r="AM15" s="97">
        <v>1.0371363097536185E-4</v>
      </c>
      <c r="AN15" s="97">
        <v>1.2145444151772149E-4</v>
      </c>
      <c r="AO15" s="97">
        <v>1.4105828137719024E-4</v>
      </c>
      <c r="AP15" s="97">
        <v>1.6257796607293878E-4</v>
      </c>
      <c r="AQ15" s="97">
        <v>1.8605714675335648E-4</v>
      </c>
      <c r="AR15" s="97">
        <v>2.1153044362546433E-4</v>
      </c>
      <c r="AS15" s="97">
        <v>2.3902367960381316E-4</v>
      </c>
      <c r="AT15" s="97">
        <v>2.685541959362754E-4</v>
      </c>
      <c r="AU15" s="97">
        <v>3.0013123287226539E-4</v>
      </c>
      <c r="AV15" s="97">
        <v>3.3375636008642448E-4</v>
      </c>
      <c r="AW15" s="97">
        <v>3.6942394327188179E-4</v>
      </c>
      <c r="AX15" s="97">
        <v>4.0712163500678856E-4</v>
      </c>
    </row>
    <row r="16" spans="1:50" x14ac:dyDescent="0.25">
      <c r="N16" s="97">
        <v>3.0069774378091357E-9</v>
      </c>
      <c r="O16" s="97">
        <v>1.5624012773787426E-8</v>
      </c>
      <c r="P16" s="97">
        <v>5.0024579689151321E-8</v>
      </c>
      <c r="Q16" s="97">
        <v>1.3506122285182173E-7</v>
      </c>
      <c r="R16" s="97">
        <v>3.1674738344043692E-7</v>
      </c>
      <c r="S16" s="97">
        <v>6.6056433677924669E-7</v>
      </c>
      <c r="T16" s="97">
        <v>1.2570198579201339E-6</v>
      </c>
      <c r="U16" s="97">
        <v>2.2215158934720724E-6</v>
      </c>
      <c r="V16" s="97">
        <v>3.6941365547405196E-6</v>
      </c>
      <c r="W16" s="97">
        <v>5.8365212152152128E-6</v>
      </c>
      <c r="X16" s="97">
        <v>8.8290335411884861E-6</v>
      </c>
      <c r="Y16" s="97">
        <v>1.2866410168217277E-5</v>
      </c>
      <c r="Z16" s="97">
        <v>1.8153075911040587E-5</v>
      </c>
      <c r="AA16" s="97">
        <v>2.489809312069353E-5</v>
      </c>
      <c r="AB16" s="97">
        <v>3.331044698495038E-5</v>
      </c>
      <c r="AC16" s="97">
        <v>4.3594650397068935E-5</v>
      </c>
      <c r="AD16" s="97">
        <v>5.5946856316855589E-5</v>
      </c>
      <c r="AE16" s="97">
        <v>7.0551525099112882E-5</v>
      </c>
      <c r="AF16" s="97">
        <v>8.7578732460861448E-5</v>
      </c>
      <c r="AG16" s="97">
        <v>1.07182105699396E-4</v>
      </c>
      <c r="AH16" s="97">
        <v>1.2949735801361513E-4</v>
      </c>
      <c r="AI16" s="97">
        <v>1.5464136546686062E-4</v>
      </c>
      <c r="AJ16" s="97">
        <v>1.8271172878523499E-4</v>
      </c>
      <c r="AK16" s="97">
        <v>2.1378675351865108E-4</v>
      </c>
      <c r="AL16" s="97">
        <v>2.4792578087312064E-4</v>
      </c>
      <c r="AM16" s="97">
        <v>2.8516980294162898E-4</v>
      </c>
      <c r="AN16" s="97">
        <v>3.2554230130147998E-4</v>
      </c>
      <c r="AO16" s="97">
        <v>3.6905025382682241E-4</v>
      </c>
      <c r="AP16" s="97">
        <v>4.1568526106385765E-4</v>
      </c>
      <c r="AQ16" s="97">
        <v>4.6542475007973973E-4</v>
      </c>
      <c r="AR16" s="97">
        <v>5.1823322022361972E-4</v>
      </c>
      <c r="AS16" s="97">
        <v>5.7406350136927496E-4</v>
      </c>
      <c r="AT16" s="97">
        <v>6.3285800079134163E-4</v>
      </c>
      <c r="AU16" s="97">
        <v>6.9454991982015443E-4</v>
      </c>
      <c r="AV16" s="97">
        <v>7.5906442576028916E-4</v>
      </c>
      <c r="AW16" s="97">
        <v>8.2631976831825662E-4</v>
      </c>
      <c r="AX16" s="97">
        <v>8.9622833295729162E-4</v>
      </c>
    </row>
    <row r="17" spans="1:50" x14ac:dyDescent="0.25">
      <c r="L17" s="97">
        <v>2.2349638695437408E-9</v>
      </c>
      <c r="M17" s="97">
        <v>1.8491103171287115E-8</v>
      </c>
      <c r="N17" s="97">
        <v>7.7587180794837026E-8</v>
      </c>
      <c r="O17" s="97">
        <v>2.4357530324371888E-7</v>
      </c>
      <c r="P17" s="97">
        <v>6.2548509877641637E-7</v>
      </c>
      <c r="Q17" s="97">
        <v>1.382952831163964E-6</v>
      </c>
      <c r="R17" s="97">
        <v>2.7331263008279915E-6</v>
      </c>
      <c r="S17" s="97">
        <v>4.947685463757884E-6</v>
      </c>
      <c r="T17" s="97">
        <v>8.345781895579035E-6</v>
      </c>
      <c r="U17" s="97">
        <v>1.3284116144948023E-5</v>
      </c>
      <c r="V17" s="97">
        <v>2.0144635705002909E-5</v>
      </c>
      <c r="W17" s="97">
        <v>2.9321558775693168E-5</v>
      </c>
      <c r="X17" s="97">
        <v>4.1208552856964021E-5</v>
      </c>
      <c r="Y17" s="97">
        <v>5.6187197195499759E-5</v>
      </c>
      <c r="Z17" s="97">
        <v>7.4617082366424601E-5</v>
      </c>
      <c r="AA17" s="97">
        <v>9.6827845315522834E-5</v>
      </c>
      <c r="AB17" s="97">
        <v>1.2311316102122337E-4</v>
      </c>
      <c r="AC17" s="97">
        <v>1.5372665252111212E-4</v>
      </c>
      <c r="AD17" s="97">
        <v>1.8887953104765971E-4</v>
      </c>
      <c r="AE17" s="97">
        <v>2.2873973578660004E-4</v>
      </c>
      <c r="AF17" s="97">
        <v>2.7343231428677759E-4</v>
      </c>
      <c r="AG17" s="97">
        <v>3.2304079596076146E-4</v>
      </c>
      <c r="AH17" s="97">
        <v>3.7760932358129408E-4</v>
      </c>
      <c r="AI17" s="97">
        <v>4.3714533195889158E-4</v>
      </c>
      <c r="AJ17" s="97">
        <v>5.0162259048347664E-4</v>
      </c>
      <c r="AK17" s="97">
        <v>5.7098445666362171E-4</v>
      </c>
      <c r="AL17" s="97">
        <v>6.4514721629614657E-4</v>
      </c>
      <c r="AM17" s="97">
        <v>7.2400341198993877E-4</v>
      </c>
      <c r="AN17" s="97">
        <v>8.0742508470444849E-4</v>
      </c>
      <c r="AO17" s="97">
        <v>8.9526687282764157E-4</v>
      </c>
      <c r="AP17" s="97">
        <v>9.8736892997706733E-4</v>
      </c>
      <c r="AQ17" s="97">
        <v>1.0835596363599743E-3</v>
      </c>
      <c r="AR17" s="97">
        <v>1.1836580894675002E-3</v>
      </c>
      <c r="AS17" s="97">
        <v>1.2874763684628866E-3</v>
      </c>
      <c r="AT17" s="97">
        <v>1.3948215732155927E-3</v>
      </c>
      <c r="AU17" s="97">
        <v>1.5054976438256787E-3</v>
      </c>
      <c r="AV17" s="97">
        <v>1.6193069700223819E-3</v>
      </c>
      <c r="AW17" s="97">
        <v>1.7360518022009384E-3</v>
      </c>
      <c r="AX17" s="97">
        <v>1.8555354773932891E-3</v>
      </c>
    </row>
    <row r="18" spans="1:50" x14ac:dyDescent="0.25">
      <c r="K18" s="97">
        <v>1.3743683931972829E-8</v>
      </c>
      <c r="L18" s="97">
        <v>9.9965482020483027E-8</v>
      </c>
      <c r="M18" s="97">
        <v>4.0131598123997923E-7</v>
      </c>
      <c r="N18" s="97">
        <v>1.1797971312176557E-6</v>
      </c>
      <c r="O18" s="97">
        <v>2.8314875476339107E-6</v>
      </c>
      <c r="P18" s="97">
        <v>5.8878103743694295E-6</v>
      </c>
      <c r="Q18" s="97">
        <v>1.0996255609366119E-5</v>
      </c>
      <c r="R18" s="97">
        <v>1.8889037972678765E-5</v>
      </c>
      <c r="S18" s="97">
        <v>3.0346311177524341E-5</v>
      </c>
      <c r="T18" s="97">
        <v>4.6158254327734343E-5</v>
      </c>
      <c r="U18" s="97">
        <v>6.709023561601831E-5</v>
      </c>
      <c r="V18" s="97">
        <v>9.3853667257665134E-5</v>
      </c>
      <c r="W18" s="97">
        <v>1.2708363750275613E-4</v>
      </c>
      <c r="X18" s="97">
        <v>1.6732349210315151E-4</v>
      </c>
      <c r="Y18" s="97">
        <v>2.1501581710703838E-4</v>
      </c>
      <c r="Z18" s="97">
        <v>2.7049896285638478E-4</v>
      </c>
      <c r="AA18" s="97">
        <v>3.3400805042229265E-4</v>
      </c>
      <c r="AB18" s="97">
        <v>4.0567940146382506E-4</v>
      </c>
      <c r="AC18" s="97">
        <v>4.855574078654998E-4</v>
      </c>
      <c r="AD18" s="97">
        <v>5.7360299813511014E-4</v>
      </c>
      <c r="AE18" s="97">
        <v>6.6970300299028424E-4</v>
      </c>
      <c r="AF18" s="97">
        <v>7.7367986939029564E-4</v>
      </c>
      <c r="AG18" s="97">
        <v>8.8530130512273785E-4</v>
      </c>
      <c r="AH18" s="97">
        <v>1.0042895529204193E-3</v>
      </c>
      <c r="AI18" s="97">
        <v>1.1303300892419319E-3</v>
      </c>
      <c r="AJ18" s="97">
        <v>1.2630796198315024E-3</v>
      </c>
      <c r="AK18" s="97">
        <v>1.4021733037153025E-3</v>
      </c>
      <c r="AL18" s="97">
        <v>1.5472311821923955E-3</v>
      </c>
      <c r="AM18" s="97">
        <v>1.6978638219766824E-3</v>
      </c>
      <c r="AN18" s="97">
        <v>1.8536772042812631E-3</v>
      </c>
      <c r="AO18" s="97">
        <v>2.0142769064688251E-3</v>
      </c>
      <c r="AP18" s="97">
        <v>2.179271631741381E-3</v>
      </c>
      <c r="AQ18" s="97">
        <v>2.3482761467341611E-3</v>
      </c>
      <c r="AR18" s="97">
        <v>2.5209136880115935E-3</v>
      </c>
      <c r="AS18" s="97">
        <v>2.6968178973172459E-3</v>
      </c>
      <c r="AT18" s="97">
        <v>2.8756343427056709E-3</v>
      </c>
      <c r="AU18" s="97">
        <v>3.0570216790340673E-3</v>
      </c>
      <c r="AV18" s="97">
        <v>3.2406524970208885E-3</v>
      </c>
      <c r="AW18" s="97">
        <v>3.4262139056271779E-3</v>
      </c>
      <c r="AX18" s="97">
        <v>3.6134078879888512E-3</v>
      </c>
    </row>
    <row r="19" spans="1:50" x14ac:dyDescent="0.25">
      <c r="J19" s="97">
        <v>8.4515392215494015E-8</v>
      </c>
      <c r="K19" s="97">
        <v>5.5838964696591831E-7</v>
      </c>
      <c r="L19" s="97">
        <v>2.0580745647988235E-6</v>
      </c>
      <c r="M19" s="97">
        <v>5.5905533339304508E-6</v>
      </c>
      <c r="N19" s="97">
        <v>1.2494251551755328E-5</v>
      </c>
      <c r="O19" s="97">
        <v>2.4343885558619972E-5</v>
      </c>
      <c r="P19" s="97">
        <v>4.2828221599903904E-5</v>
      </c>
      <c r="Q19" s="97">
        <v>6.9628104461464074E-5</v>
      </c>
      <c r="R19" s="97">
        <v>1.0631147308665017E-4</v>
      </c>
      <c r="S19" s="97">
        <v>1.5425413535084315E-4</v>
      </c>
      <c r="T19" s="97">
        <v>2.1458837582063751E-4</v>
      </c>
      <c r="U19" s="97">
        <v>2.8817695256758922E-4</v>
      </c>
      <c r="V19" s="97">
        <v>3.7560793833871941E-4</v>
      </c>
      <c r="W19" s="97">
        <v>4.7720522423091072E-4</v>
      </c>
      <c r="X19" s="97">
        <v>5.9304973794704419E-4</v>
      </c>
      <c r="Y19" s="97">
        <v>7.2300714854824457E-4</v>
      </c>
      <c r="Z19" s="97">
        <v>8.667587017344155E-4</v>
      </c>
      <c r="AA19" s="97">
        <v>1.0238327001175218E-3</v>
      </c>
      <c r="AB19" s="97">
        <v>1.193634898548534E-3</v>
      </c>
      <c r="AC19" s="97">
        <v>1.3754767027577683E-3</v>
      </c>
      <c r="AD19" s="97">
        <v>1.5686005350695734E-3</v>
      </c>
      <c r="AE19" s="97">
        <v>1.7722020819805014E-3</v>
      </c>
      <c r="AF19" s="97">
        <v>1.9854493834037873E-3</v>
      </c>
      <c r="AG19" s="97">
        <v>2.207498885464754E-3</v>
      </c>
      <c r="AH19" s="97">
        <v>2.4375086778938133E-3</v>
      </c>
      <c r="AI19" s="97">
        <v>2.6746491907955255E-3</v>
      </c>
      <c r="AJ19" s="97">
        <v>2.9181116472547538E-3</v>
      </c>
      <c r="AK19" s="97">
        <v>3.1671145683548523E-3</v>
      </c>
      <c r="AL19" s="97">
        <v>3.4209086135655797E-3</v>
      </c>
      <c r="AM19" s="97">
        <v>3.6787800177273421E-3</v>
      </c>
      <c r="AN19" s="97">
        <v>3.9400528601075983E-3</v>
      </c>
      <c r="AO19" s="97">
        <v>4.2040903738148278E-3</v>
      </c>
      <c r="AP19" s="97">
        <v>4.4702954770597285E-3</v>
      </c>
      <c r="AQ19" s="97">
        <v>4.7381106824243725E-3</v>
      </c>
      <c r="AR19" s="97">
        <v>5.0070175170266419E-3</v>
      </c>
      <c r="AS19" s="97">
        <v>5.27653556556566E-3</v>
      </c>
      <c r="AT19" s="97">
        <v>5.5462212297863458E-3</v>
      </c>
      <c r="AU19" s="97">
        <v>5.8156662817560991E-3</v>
      </c>
      <c r="AV19" s="97">
        <v>6.0844962744824316E-3</v>
      </c>
      <c r="AW19" s="97">
        <v>6.3523688615170094E-3</v>
      </c>
      <c r="AX19" s="97">
        <v>6.6189720671140512E-3</v>
      </c>
    </row>
    <row r="20" spans="1:50" x14ac:dyDescent="0.25">
      <c r="I20" s="97">
        <v>5.1971884370272726E-7</v>
      </c>
      <c r="J20" s="97">
        <v>3.0873160012223737E-6</v>
      </c>
      <c r="K20" s="97">
        <v>1.0352542580240125E-5</v>
      </c>
      <c r="L20" s="97">
        <v>2.5837119965493035E-5</v>
      </c>
      <c r="M20" s="97">
        <v>5.3493933292047355E-5</v>
      </c>
      <c r="N20" s="97">
        <v>9.7244924630965034E-5</v>
      </c>
      <c r="O20" s="97">
        <v>1.6060396535373997E-4</v>
      </c>
      <c r="P20" s="97">
        <v>2.4642656236680086E-4</v>
      </c>
      <c r="Q20" s="97">
        <v>3.5678449656659813E-4</v>
      </c>
      <c r="R20" s="97">
        <v>4.9294190198555623E-4</v>
      </c>
      <c r="S20" s="97">
        <v>6.5540262631746688E-4</v>
      </c>
      <c r="T20" s="97">
        <v>8.4400081070119912E-4</v>
      </c>
      <c r="U20" s="97">
        <v>1.0580123434173498E-3</v>
      </c>
      <c r="V20" s="97">
        <v>1.2962712066173574E-3</v>
      </c>
      <c r="W20" s="97">
        <v>1.5572803903687003E-3</v>
      </c>
      <c r="X20" s="97">
        <v>1.8393114752706498E-3</v>
      </c>
      <c r="Y20" s="97">
        <v>2.1404901538287272E-3</v>
      </c>
      <c r="Z20" s="97">
        <v>2.458867066089832E-3</v>
      </c>
      <c r="AA20" s="97">
        <v>2.7924746120681298E-3</v>
      </c>
      <c r="AB20" s="97">
        <v>3.1393711079544862E-3</v>
      </c>
      <c r="AC20" s="97">
        <v>3.4976739638921343E-3</v>
      </c>
      <c r="AD20" s="97">
        <v>3.8655836228498317E-3</v>
      </c>
      <c r="AE20" s="97">
        <v>4.2413999151425684E-3</v>
      </c>
      <c r="AF20" s="97">
        <v>4.6235323212744026E-3</v>
      </c>
      <c r="AG20" s="97">
        <v>5.0105054416681423E-3</v>
      </c>
      <c r="AH20" s="97">
        <v>5.4009607730193055E-3</v>
      </c>
      <c r="AI20" s="97">
        <v>5.7936557031091638E-3</v>
      </c>
      <c r="AJ20" s="97">
        <v>6.1874604669377069E-3</v>
      </c>
      <c r="AK20" s="97">
        <v>6.5813536601494454E-3</v>
      </c>
      <c r="AL20" s="97">
        <v>6.9744167810019131E-3</v>
      </c>
      <c r="AM20" s="97">
        <v>7.3658281683469653E-3</v>
      </c>
      <c r="AN20" s="97">
        <v>7.7548566178890993E-3</v>
      </c>
      <c r="AO20" s="97">
        <v>8.1408548899892189E-3</v>
      </c>
      <c r="AP20" s="97">
        <v>8.5232532670530877E-3</v>
      </c>
      <c r="AQ20" s="97">
        <v>8.9015532747223434E-3</v>
      </c>
      <c r="AR20" s="97">
        <v>9.275321646747027E-3</v>
      </c>
      <c r="AS20" s="97">
        <v>9.6441845867013942E-3</v>
      </c>
      <c r="AT20" s="97">
        <v>1.0007822359228443E-2</v>
      </c>
      <c r="AU20" s="97">
        <v>1.0365964227921886E-2</v>
      </c>
      <c r="AV20" s="97">
        <v>1.0718383745371873E-2</v>
      </c>
      <c r="AW20" s="97">
        <v>1.1064894392331966E-2</v>
      </c>
      <c r="AX20" s="97">
        <v>1.1405345556873793E-2</v>
      </c>
    </row>
    <row r="21" spans="1:50" x14ac:dyDescent="0.25">
      <c r="H21" s="97">
        <v>3.195958386028933E-6</v>
      </c>
      <c r="I21" s="97">
        <v>1.6854711223203329E-5</v>
      </c>
      <c r="J21" s="97">
        <v>5.0917661066115531E-5</v>
      </c>
      <c r="K21" s="97">
        <v>1.1585929650726309E-4</v>
      </c>
      <c r="L21" s="97">
        <v>2.2088287465212012E-4</v>
      </c>
      <c r="M21" s="97">
        <v>3.7284481400089164E-4</v>
      </c>
      <c r="N21" s="97">
        <v>5.7587090107991091E-4</v>
      </c>
      <c r="O21" s="97">
        <v>8.314629809635266E-4</v>
      </c>
      <c r="P21" s="97">
        <v>1.1388824391266646E-3</v>
      </c>
      <c r="Q21" s="97">
        <v>1.4956450787532076E-3</v>
      </c>
      <c r="R21" s="97">
        <v>1.8980206712014241E-3</v>
      </c>
      <c r="S21" s="97">
        <v>2.3414790305613243E-3</v>
      </c>
      <c r="T21" s="97">
        <v>2.8210580558316965E-3</v>
      </c>
      <c r="U21" s="97">
        <v>3.3316496323725214E-3</v>
      </c>
      <c r="V21" s="97">
        <v>3.8682101772016947E-3</v>
      </c>
      <c r="W21" s="97">
        <v>4.4259073235010625E-3</v>
      </c>
      <c r="X21" s="97">
        <v>5.000215334052322E-3</v>
      </c>
      <c r="Y21" s="97">
        <v>5.5869710337330871E-3</v>
      </c>
      <c r="Z21" s="97">
        <v>6.182400419589308E-3</v>
      </c>
      <c r="AA21" s="97">
        <v>6.7831242492229476E-3</v>
      </c>
      <c r="AB21" s="97">
        <v>7.3861491380345905E-3</v>
      </c>
      <c r="AC21" s="97">
        <v>7.9888491524513477E-3</v>
      </c>
      <c r="AD21" s="97">
        <v>8.5889416111054068E-3</v>
      </c>
      <c r="AE21" s="97">
        <v>9.184459790250633E-3</v>
      </c>
      <c r="AF21" s="97">
        <v>9.7737244422710125E-3</v>
      </c>
      <c r="AG21" s="97">
        <v>1.0355315438936235E-2</v>
      </c>
      <c r="AH21" s="97">
        <v>1.092804440644482E-2</v>
      </c>
      <c r="AI21" s="97">
        <v>1.1490928894108632E-2</v>
      </c>
      <c r="AJ21" s="97">
        <v>1.2043168384937077E-2</v>
      </c>
      <c r="AK21" s="97">
        <v>1.2584122291770427E-2</v>
      </c>
      <c r="AL21" s="97">
        <v>1.3113289969565442E-2</v>
      </c>
      <c r="AM21" s="97">
        <v>1.3630292699013906E-2</v>
      </c>
      <c r="AN21" s="97">
        <v>1.4134857548643643E-2</v>
      </c>
      <c r="AO21" s="97">
        <v>1.4626802994183999E-2</v>
      </c>
      <c r="AP21" s="97">
        <v>1.5106026159256837E-2</v>
      </c>
      <c r="AQ21" s="97">
        <v>1.5572491536243346E-2</v>
      </c>
      <c r="AR21" s="97">
        <v>1.6026221047383379E-2</v>
      </c>
      <c r="AS21" s="97">
        <v>1.6467285311473304E-2</v>
      </c>
      <c r="AT21" s="97">
        <v>1.6895795989267149E-2</v>
      </c>
      <c r="AU21" s="97">
        <v>1.7311899089972285E-2</v>
      </c>
      <c r="AV21" s="97">
        <v>1.7715769130954784E-2</v>
      </c>
      <c r="AW21" s="97">
        <v>1.8107604052632013E-2</v>
      </c>
      <c r="AX21" s="97">
        <v>1.8487620800212254E-2</v>
      </c>
    </row>
    <row r="22" spans="1:50" x14ac:dyDescent="0.25">
      <c r="G22" s="97">
        <v>1.9653222370112747E-5</v>
      </c>
      <c r="H22" s="97">
        <v>9.0545501721038448E-5</v>
      </c>
      <c r="I22" s="97">
        <v>2.4347653733481573E-4</v>
      </c>
      <c r="J22" s="97">
        <v>5.0050155929206057E-4</v>
      </c>
      <c r="K22" s="97">
        <v>8.724953616047927E-4</v>
      </c>
      <c r="L22" s="97">
        <v>1.3601963586364542E-3</v>
      </c>
      <c r="M22" s="97">
        <v>1.9567185428640051E-3</v>
      </c>
      <c r="N22" s="97">
        <v>2.650266118050441E-3</v>
      </c>
      <c r="O22" s="97">
        <v>3.4264504005054124E-3</v>
      </c>
      <c r="P22" s="97">
        <v>4.2700239132672851E-3</v>
      </c>
      <c r="Q22" s="97">
        <v>5.1660553813360653E-3</v>
      </c>
      <c r="R22" s="97">
        <v>6.1006501920942598E-3</v>
      </c>
      <c r="S22" s="97">
        <v>7.061335350933365E-3</v>
      </c>
      <c r="T22" s="97">
        <v>8.0372138010821499E-3</v>
      </c>
      <c r="U22" s="97">
        <v>9.0189701366873744E-3</v>
      </c>
      <c r="V22" s="97">
        <v>9.9987873709232664E-3</v>
      </c>
      <c r="W22" s="97">
        <v>1.0970215900694393E-2</v>
      </c>
      <c r="X22" s="97">
        <v>1.1928021757564466E-2</v>
      </c>
      <c r="Y22" s="97">
        <v>1.2868031150391829E-2</v>
      </c>
      <c r="Z22" s="97">
        <v>1.37869813586302E-2</v>
      </c>
      <c r="AA22" s="97">
        <v>1.4682383412866637E-2</v>
      </c>
      <c r="AB22" s="97">
        <v>1.5552399025061043E-2</v>
      </c>
      <c r="AC22" s="97">
        <v>1.6395732389590446E-2</v>
      </c>
      <c r="AD22" s="97">
        <v>1.7211536392635313E-2</v>
      </c>
      <c r="AE22" s="97">
        <v>1.7999332178150043E-2</v>
      </c>
      <c r="AF22" s="97">
        <v>1.8758940743810428E-2</v>
      </c>
      <c r="AG22" s="97">
        <v>1.9490425158264452E-2</v>
      </c>
      <c r="AH22" s="97">
        <v>2.0194042022704296E-2</v>
      </c>
      <c r="AI22" s="97">
        <v>2.0870200893397924E-2</v>
      </c>
      <c r="AJ22" s="97">
        <v>2.151943050510207E-2</v>
      </c>
      <c r="AK22" s="97">
        <v>2.2142350768432715E-2</v>
      </c>
      <c r="AL22" s="97">
        <v>2.2739649645395977E-2</v>
      </c>
      <c r="AM22" s="97">
        <v>2.3312064130059769E-2</v>
      </c>
      <c r="AN22" s="97">
        <v>2.3860364672839973E-2</v>
      </c>
      <c r="AO22" s="97">
        <v>2.4385342485465342E-2</v>
      </c>
      <c r="AP22" s="97">
        <v>2.488779925005143E-2</v>
      </c>
      <c r="AQ22" s="97">
        <v>2.5368538830233503E-2</v>
      </c>
      <c r="AR22" s="97">
        <v>2.5828360646092521E-2</v>
      </c>
      <c r="AS22" s="97">
        <v>2.6268054428962993E-2</v>
      </c>
      <c r="AT22" s="97">
        <v>2.6688396118287938E-2</v>
      </c>
      <c r="AU22" s="97">
        <v>2.7090144701534515E-2</v>
      </c>
      <c r="AV22" s="97">
        <v>2.7474039830870753E-2</v>
      </c>
      <c r="AW22" s="97">
        <v>2.7840800077943848E-2</v>
      </c>
      <c r="AX22" s="97">
        <v>2.8191121710970636E-2</v>
      </c>
    </row>
    <row r="23" spans="1:50" x14ac:dyDescent="0.25">
      <c r="F23" s="97">
        <v>1.2085550025232936E-4</v>
      </c>
      <c r="G23" s="97">
        <v>4.7623811687875719E-4</v>
      </c>
      <c r="H23" s="97">
        <v>1.1227147464103842E-3</v>
      </c>
      <c r="I23" s="97">
        <v>2.0620263001655649E-3</v>
      </c>
      <c r="J23" s="97">
        <v>3.2601971074708957E-3</v>
      </c>
      <c r="K23" s="97">
        <v>4.6661897270281931E-3</v>
      </c>
      <c r="L23" s="97">
        <v>6.2249671037159747E-3</v>
      </c>
      <c r="M23" s="97">
        <v>7.8850185534444662E-3</v>
      </c>
      <c r="N23" s="97">
        <v>9.6018825816238662E-3</v>
      </c>
      <c r="O23" s="97">
        <v>1.1339201055942022E-2</v>
      </c>
      <c r="P23" s="97">
        <v>1.30684336042864E-2</v>
      </c>
      <c r="Q23" s="97">
        <v>1.476795176055729E-2</v>
      </c>
      <c r="R23" s="97">
        <v>1.6421928274108516E-2</v>
      </c>
      <c r="S23" s="97">
        <v>1.8019239606239711E-2</v>
      </c>
      <c r="T23" s="97">
        <v>1.9552481954543573E-2</v>
      </c>
      <c r="U23" s="97">
        <v>2.1017135751464053E-2</v>
      </c>
      <c r="V23" s="97">
        <v>2.2410879942468452E-2</v>
      </c>
      <c r="W23" s="97">
        <v>2.3733041909569142E-2</v>
      </c>
      <c r="X23" s="97">
        <v>2.4984163345925361E-2</v>
      </c>
      <c r="Y23" s="97">
        <v>2.6165661847736402E-2</v>
      </c>
      <c r="Z23" s="97">
        <v>2.7279569752376571E-2</v>
      </c>
      <c r="AA23" s="97">
        <v>2.8328334362860034E-2</v>
      </c>
      <c r="AB23" s="97">
        <v>2.9314666425402688E-2</v>
      </c>
      <c r="AC23" s="97">
        <v>3.0241426232316408E-2</v>
      </c>
      <c r="AD23" s="97">
        <v>3.1111538880566642E-2</v>
      </c>
      <c r="AE23" s="97">
        <v>3.1927932007165864E-2</v>
      </c>
      <c r="AF23" s="97">
        <v>3.2693490772782864E-2</v>
      </c>
      <c r="AG23" s="97">
        <v>3.3411026022501837E-2</v>
      </c>
      <c r="AH23" s="97">
        <v>3.4083252465888475E-2</v>
      </c>
      <c r="AI23" s="97">
        <v>3.4712774434390796E-2</v>
      </c>
      <c r="AJ23" s="97">
        <v>3.5302077332480197E-2</v>
      </c>
      <c r="AK23" s="97">
        <v>3.5853523332745135E-2</v>
      </c>
      <c r="AL23" s="97">
        <v>3.6369350201536643E-2</v>
      </c>
      <c r="AM23" s="97">
        <v>3.6851672402267874E-2</v>
      </c>
      <c r="AN23" s="97">
        <v>3.7302483824617615E-2</v>
      </c>
      <c r="AO23" s="97">
        <v>3.7723661643637954E-2</v>
      </c>
      <c r="AP23" s="97">
        <v>3.8116970932533571E-2</v>
      </c>
      <c r="AQ23" s="97">
        <v>3.848406974550532E-2</v>
      </c>
      <c r="AR23" s="97">
        <v>3.8826514458414424E-2</v>
      </c>
      <c r="AS23" s="97">
        <v>3.9145765209677497E-2</v>
      </c>
      <c r="AT23" s="97">
        <v>3.9443191326099011E-2</v>
      </c>
      <c r="AU23" s="97">
        <v>3.9720076650425803E-2</v>
      </c>
      <c r="AV23" s="97">
        <v>3.997762471226194E-2</v>
      </c>
      <c r="AW23" s="97">
        <v>4.0216963702536072E-2</v>
      </c>
      <c r="AX23" s="97">
        <v>4.0439151226076872E-2</v>
      </c>
    </row>
    <row r="24" spans="1:50" x14ac:dyDescent="0.25">
      <c r="E24" s="97">
        <v>7.4318865711563858E-4</v>
      </c>
      <c r="F24" s="97">
        <v>2.43316851439173E-3</v>
      </c>
      <c r="G24" s="97">
        <v>4.9311905218839313E-3</v>
      </c>
      <c r="H24" s="97">
        <v>7.9829100853641231E-3</v>
      </c>
      <c r="I24" s="97">
        <v>1.133991479394098E-2</v>
      </c>
      <c r="J24" s="97">
        <v>1.4804465154988559E-2</v>
      </c>
      <c r="K24" s="97">
        <v>1.8235907681187932E-2</v>
      </c>
      <c r="L24" s="97">
        <v>2.1542314443535906E-2</v>
      </c>
      <c r="M24" s="97">
        <v>2.4668657769555829E-2</v>
      </c>
      <c r="N24" s="97">
        <v>2.7586001139081405E-2</v>
      </c>
      <c r="O24" s="97">
        <v>3.0282988417702463E-2</v>
      </c>
      <c r="P24" s="97">
        <v>3.2759622972673375E-2</v>
      </c>
      <c r="Q24" s="97">
        <v>3.5022916870090647E-2</v>
      </c>
      <c r="R24" s="97">
        <v>3.7083938184410095E-2</v>
      </c>
      <c r="S24" s="97">
        <v>3.8955854730064729E-2</v>
      </c>
      <c r="T24" s="97">
        <v>4.0652667664112623E-2</v>
      </c>
      <c r="U24" s="97">
        <v>4.2188413587722379E-2</v>
      </c>
      <c r="V24" s="97">
        <v>4.3576680220947711E-2</v>
      </c>
      <c r="W24" s="97">
        <v>4.4830329274602738E-2</v>
      </c>
      <c r="X24" s="97">
        <v>4.5961354374358346E-2</v>
      </c>
      <c r="Y24" s="97">
        <v>4.6980825533795546E-2</v>
      </c>
      <c r="Z24" s="97">
        <v>4.7898887800301534E-2</v>
      </c>
      <c r="AA24" s="97">
        <v>4.8724792615106469E-2</v>
      </c>
      <c r="AB24" s="97">
        <v>4.9466947782469094E-2</v>
      </c>
      <c r="AC24" s="97">
        <v>5.0132976878572121E-2</v>
      </c>
      <c r="AD24" s="97">
        <v>5.072978223213314E-2</v>
      </c>
      <c r="AE24" s="97">
        <v>5.1263607808060704E-2</v>
      </c>
      <c r="AF24" s="97">
        <v>5.1740099784384014E-2</v>
      </c>
      <c r="AG24" s="97">
        <v>5.2164363571787581E-2</v>
      </c>
      <c r="AH24" s="97">
        <v>5.2541016649895037E-2</v>
      </c>
      <c r="AI24" s="97">
        <v>5.2874236994825699E-2</v>
      </c>
      <c r="AJ24" s="97">
        <v>5.3167807122416255E-2</v>
      </c>
      <c r="AK24" s="97">
        <v>5.3425153922051723E-2</v>
      </c>
      <c r="AL24" s="97">
        <v>5.3649384540507807E-2</v>
      </c>
      <c r="AM24" s="97">
        <v>5.3843318616910392E-2</v>
      </c>
      <c r="AN24" s="97">
        <v>5.4009517183851385E-2</v>
      </c>
      <c r="AO24" s="97">
        <v>5.4150308546516139E-2</v>
      </c>
      <c r="AP24" s="97">
        <v>5.4267811438236377E-2</v>
      </c>
      <c r="AQ24" s="97">
        <v>5.4363955731673762E-2</v>
      </c>
      <c r="AR24" s="97">
        <v>5.4440500962577063E-2</v>
      </c>
      <c r="AS24" s="97">
        <v>5.4499052900478837E-2</v>
      </c>
      <c r="AT24" s="97">
        <v>5.4541078377831891E-2</v>
      </c>
      <c r="AU24" s="97">
        <v>5.4567918567851842E-2</v>
      </c>
      <c r="AV24" s="97">
        <v>5.4580800881126108E-2</v>
      </c>
      <c r="AW24" s="97">
        <v>5.4580849632684822E-2</v>
      </c>
      <c r="AX24" s="97">
        <v>5.4569095614571281E-2</v>
      </c>
    </row>
    <row r="25" spans="1:50" x14ac:dyDescent="0.25">
      <c r="D25" s="97">
        <v>4.5701633679247561E-3</v>
      </c>
      <c r="E25" s="97">
        <v>1.1916052495074315E-2</v>
      </c>
      <c r="F25" s="97">
        <v>2.0222915222309595E-2</v>
      </c>
      <c r="G25" s="97">
        <v>2.8376064793908758E-2</v>
      </c>
      <c r="H25" s="97">
        <v>3.5831113733512186E-2</v>
      </c>
      <c r="I25" s="97">
        <v>4.2388544179636327E-2</v>
      </c>
      <c r="J25" s="97">
        <v>4.8029674903528656E-2</v>
      </c>
      <c r="K25" s="97">
        <v>5.2819369668467273E-2</v>
      </c>
      <c r="L25" s="97">
        <v>5.6853871784067068E-2</v>
      </c>
      <c r="M25" s="97">
        <v>6.0234904901097577E-2</v>
      </c>
      <c r="N25" s="97">
        <v>6.3057945778576541E-2</v>
      </c>
      <c r="O25" s="97">
        <v>6.5407749725993641E-2</v>
      </c>
      <c r="P25" s="97">
        <v>6.7357396304179487E-2</v>
      </c>
      <c r="Q25" s="97">
        <v>6.896891815471827E-2</v>
      </c>
      <c r="R25" s="97">
        <v>7.0294541219800194E-2</v>
      </c>
      <c r="S25" s="97">
        <v>7.1378068883003951E-2</v>
      </c>
      <c r="T25" s="97">
        <v>7.2256199956033829E-2</v>
      </c>
      <c r="U25" s="97">
        <v>7.2959698558162006E-2</v>
      </c>
      <c r="V25" s="97">
        <v>7.3514395437536295E-2</v>
      </c>
      <c r="W25" s="97">
        <v>7.3942027985817921E-2</v>
      </c>
      <c r="X25" s="97">
        <v>7.4260937099485141E-2</v>
      </c>
      <c r="Y25" s="97">
        <v>7.4486641867974046E-2</v>
      </c>
      <c r="Z25" s="97">
        <v>7.4632312244272275E-2</v>
      </c>
      <c r="AA25" s="97">
        <v>7.4709157580975669E-2</v>
      </c>
      <c r="AB25" s="97">
        <v>7.4726746256649115E-2</v>
      </c>
      <c r="AC25" s="97">
        <v>7.4693269055603473E-2</v>
      </c>
      <c r="AD25" s="97">
        <v>7.4615756692246862E-2</v>
      </c>
      <c r="AE25" s="97">
        <v>7.4500259941148561E-2</v>
      </c>
      <c r="AF25" s="97">
        <v>7.4351999233233032E-2</v>
      </c>
      <c r="AG25" s="97">
        <v>7.4175489271542994E-2</v>
      </c>
      <c r="AH25" s="97">
        <v>7.3974643160861289E-2</v>
      </c>
      <c r="AI25" s="97">
        <v>7.3752859691141634E-2</v>
      </c>
      <c r="AJ25" s="97">
        <v>7.3513096728161809E-2</v>
      </c>
      <c r="AK25" s="97">
        <v>7.3257933112425552E-2</v>
      </c>
      <c r="AL25" s="97">
        <v>7.2989621023266948E-2</v>
      </c>
      <c r="AM25" s="97">
        <v>7.2710130407376339E-2</v>
      </c>
      <c r="AN25" s="97">
        <v>7.2421186782647293E-2</v>
      </c>
      <c r="AO25" s="97">
        <v>7.2124303494712105E-2</v>
      </c>
      <c r="AP25" s="97">
        <v>7.182080931452392E-2</v>
      </c>
      <c r="AQ25" s="97">
        <v>7.1511872111613722E-2</v>
      </c>
      <c r="AR25" s="97">
        <v>7.1198519212343728E-2</v>
      </c>
      <c r="AS25" s="97">
        <v>7.0881654949956172E-2</v>
      </c>
      <c r="AT25" s="97">
        <v>7.0562075829524173E-2</v>
      </c>
      <c r="AU25" s="97">
        <v>7.0240483661519332E-2</v>
      </c>
      <c r="AV25" s="97">
        <v>6.9917496960967024E-2</v>
      </c>
      <c r="AW25" s="97">
        <v>6.959366086212164E-2</v>
      </c>
      <c r="AX25" s="97">
        <v>6.9269455759323209E-2</v>
      </c>
    </row>
    <row r="26" spans="1:50" x14ac:dyDescent="0.25">
      <c r="C26" s="97">
        <v>2.8103756710422909E-2</v>
      </c>
      <c r="D26" s="97">
        <v>5.4542594070131289E-2</v>
      </c>
      <c r="E26" s="97">
        <v>7.4732112650528149E-2</v>
      </c>
      <c r="F26" s="97">
        <v>8.9042846028530589E-2</v>
      </c>
      <c r="G26" s="97">
        <v>9.8842165920063507E-2</v>
      </c>
      <c r="H26" s="97">
        <v>0.10540181978428557</v>
      </c>
      <c r="I26" s="97">
        <v>0.10968567584204091</v>
      </c>
      <c r="J26" s="97">
        <v>0.11237685304430334</v>
      </c>
      <c r="K26" s="97">
        <v>0.1139490166924008</v>
      </c>
      <c r="L26" s="97">
        <v>0.1147297301462758</v>
      </c>
      <c r="M26" s="97">
        <v>0.11494692417828756</v>
      </c>
      <c r="N26" s="97">
        <v>0.11476080510385388</v>
      </c>
      <c r="O26" s="97">
        <v>0.11428526656296024</v>
      </c>
      <c r="P26" s="97">
        <v>0.11360220152802979</v>
      </c>
      <c r="Q26" s="97">
        <v>0.11277112047439525</v>
      </c>
      <c r="R26" s="97">
        <v>0.11183568006235373</v>
      </c>
      <c r="S26" s="97">
        <v>0.11082816860031769</v>
      </c>
      <c r="T26" s="97">
        <v>0.10977262740544973</v>
      </c>
      <c r="U26" s="97">
        <v>0.10868705073173818</v>
      </c>
      <c r="V26" s="97">
        <v>0.10758495539226134</v>
      </c>
      <c r="W26" s="97">
        <v>0.10647651370110395</v>
      </c>
      <c r="X26" s="97">
        <v>0.10536938010312361</v>
      </c>
      <c r="Y26" s="97">
        <v>0.10426930037340955</v>
      </c>
      <c r="Z26" s="97">
        <v>0.10318056473654823</v>
      </c>
      <c r="AA26" s="97">
        <v>0.1021063477587983</v>
      </c>
      <c r="AB26" s="97">
        <v>0.10104896528860108</v>
      </c>
      <c r="AC26" s="97">
        <v>0.10001007006563979</v>
      </c>
      <c r="AD26" s="97">
        <v>9.8990801595311692E-2</v>
      </c>
      <c r="AE26" s="97">
        <v>9.7991901647595026E-2</v>
      </c>
      <c r="AF26" s="97">
        <v>9.7013803727754588E-2</v>
      </c>
      <c r="AG26" s="97">
        <v>9.6056702704276811E-2</v>
      </c>
      <c r="AH26" s="97">
        <v>9.512060921373737E-2</v>
      </c>
      <c r="AI26" s="97">
        <v>9.420539231877964E-2</v>
      </c>
      <c r="AJ26" s="97">
        <v>9.3310813052277258E-2</v>
      </c>
      <c r="AK26" s="97">
        <v>9.2436550855736987E-2</v>
      </c>
      <c r="AL26" s="97">
        <v>9.1582224452461294E-2</v>
      </c>
      <c r="AM26" s="97">
        <v>9.0747408343811828E-2</v>
      </c>
      <c r="AN26" s="97">
        <v>8.9931645850279476E-2</v>
      </c>
      <c r="AO26" s="97">
        <v>8.9134459415840334E-2</v>
      </c>
      <c r="AP26" s="97">
        <v>8.835535873835558E-2</v>
      </c>
      <c r="AQ26" s="97">
        <v>8.7593847168228309E-2</v>
      </c>
      <c r="AR26" s="97">
        <v>8.6849426724883619E-2</v>
      </c>
      <c r="AS26" s="97">
        <v>8.6121602007989531E-2</v>
      </c>
      <c r="AT26" s="97">
        <v>8.5409883223415736E-2</v>
      </c>
      <c r="AU26" s="97">
        <v>8.4713788499876444E-2</v>
      </c>
      <c r="AV26" s="97">
        <v>8.4032845636722323E-2</v>
      </c>
      <c r="AW26" s="97">
        <v>8.3366593395551317E-2</v>
      </c>
      <c r="AX26" s="97">
        <v>8.2714582426526517E-2</v>
      </c>
    </row>
    <row r="27" spans="1:50" x14ac:dyDescent="0.25">
      <c r="B27" s="97">
        <v>0.17282120520719946</v>
      </c>
      <c r="C27" s="97">
        <v>0.22020154503817746</v>
      </c>
      <c r="D27" s="97">
        <v>0.23117752166022271</v>
      </c>
      <c r="E27" s="97">
        <v>0.2287045494883797</v>
      </c>
      <c r="F27" s="97">
        <v>0.22157812539453794</v>
      </c>
      <c r="G27" s="97">
        <v>0.21318427113106092</v>
      </c>
      <c r="H27" s="97">
        <v>0.20480878437063729</v>
      </c>
      <c r="I27" s="97">
        <v>0.19691089340762491</v>
      </c>
      <c r="J27" s="97">
        <v>0.18962274049991226</v>
      </c>
      <c r="K27" s="97">
        <v>0.18294887917226854</v>
      </c>
      <c r="L27" s="97">
        <v>0.17684712682464848</v>
      </c>
      <c r="M27" s="97">
        <v>0.1712614934760664</v>
      </c>
      <c r="N27" s="97">
        <v>0.16613536993931721</v>
      </c>
      <c r="O27" s="97">
        <v>0.16141646634596199</v>
      </c>
      <c r="P27" s="97">
        <v>0.15705829269956018</v>
      </c>
      <c r="Q27" s="97">
        <v>0.15302021924214576</v>
      </c>
      <c r="R27" s="97">
        <v>0.14926699456366235</v>
      </c>
      <c r="S27" s="97">
        <v>0.14576809969190202</v>
      </c>
      <c r="T27" s="97">
        <v>0.14249709711913913</v>
      </c>
      <c r="U27" s="97">
        <v>0.13943103649440536</v>
      </c>
      <c r="V27" s="97">
        <v>0.13654993575981478</v>
      </c>
      <c r="W27" s="97">
        <v>0.13383633809164303</v>
      </c>
      <c r="X27" s="97">
        <v>0.1312749377490379</v>
      </c>
      <c r="Y27" s="97">
        <v>0.12885226571773969</v>
      </c>
      <c r="Z27" s="97">
        <v>0.12655642601817824</v>
      </c>
      <c r="AA27" s="97">
        <v>0.12437687440843331</v>
      </c>
      <c r="AB27" s="97">
        <v>0.12230423233985051</v>
      </c>
      <c r="AC27" s="97">
        <v>0.12033013015220684</v>
      </c>
      <c r="AD27" s="97">
        <v>0.11844707451287914</v>
      </c>
      <c r="AE27" s="97">
        <v>0.11664833598148074</v>
      </c>
      <c r="AF27" s="97">
        <v>0.11492785331500641</v>
      </c>
      <c r="AG27" s="97">
        <v>0.1132801517348519</v>
      </c>
      <c r="AH27" s="97">
        <v>0.11170027287321503</v>
      </c>
      <c r="AI27" s="97">
        <v>0.11018371452083028</v>
      </c>
      <c r="AJ27" s="97">
        <v>0.10872637862816907</v>
      </c>
      <c r="AK27" s="97">
        <v>0.10732452627958702</v>
      </c>
      <c r="AL27" s="97">
        <v>0.10597473857906764</v>
      </c>
      <c r="AM27" s="97">
        <v>0.10467388256453616</v>
      </c>
      <c r="AN27" s="97">
        <v>0.10341908141390625</v>
      </c>
      <c r="AO27" s="97">
        <v>0.10220768832593852</v>
      </c>
      <c r="AP27" s="97">
        <v>0.10103726355741596</v>
      </c>
      <c r="AQ27" s="97">
        <v>9.9905554180152359E-2</v>
      </c>
      <c r="AR27" s="97">
        <v>9.8810476188237073E-2</v>
      </c>
      <c r="AS27" s="97">
        <v>9.7750098642557348E-2</v>
      </c>
      <c r="AT27" s="97">
        <v>9.6722629585943895E-2</v>
      </c>
      <c r="AU27" s="97">
        <v>9.5726403501596211E-2</v>
      </c>
      <c r="AV27" s="97">
        <v>9.4759870120111889E-2</v>
      </c>
      <c r="AW27" s="97">
        <v>9.382158440818808E-2</v>
      </c>
      <c r="AX27" s="97">
        <v>9.2910197594907332E-2</v>
      </c>
    </row>
    <row r="28" spans="1:50" x14ac:dyDescent="0.25">
      <c r="A28" s="97">
        <v>1</v>
      </c>
      <c r="B28" s="97">
        <v>0.64568030027256518</v>
      </c>
      <c r="C28" s="97">
        <v>0.48944014930505231</v>
      </c>
      <c r="D28" s="97">
        <v>0.40147393228651052</v>
      </c>
      <c r="E28" s="97">
        <v>0.34658466277814237</v>
      </c>
      <c r="F28" s="97">
        <v>0.30915079595268208</v>
      </c>
      <c r="G28" s="97">
        <v>0.28176324403345687</v>
      </c>
      <c r="H28" s="97">
        <v>0.2606396556963686</v>
      </c>
      <c r="I28" s="97">
        <v>0.24369789907323858</v>
      </c>
      <c r="J28" s="97">
        <v>0.22970688140048628</v>
      </c>
      <c r="K28" s="97">
        <v>0.21789109143083563</v>
      </c>
      <c r="L28" s="97">
        <v>0.20773512870453137</v>
      </c>
      <c r="M28" s="97">
        <v>0.19888101918473677</v>
      </c>
      <c r="N28" s="97">
        <v>0.19107101316765268</v>
      </c>
      <c r="O28" s="97">
        <v>0.1841139589889782</v>
      </c>
      <c r="P28" s="97">
        <v>0.17786457456448346</v>
      </c>
      <c r="Q28" s="97">
        <v>0.17221013550445735</v>
      </c>
      <c r="R28" s="97">
        <v>0.16706162202999514</v>
      </c>
      <c r="S28" s="97">
        <v>0.16234765291069544</v>
      </c>
      <c r="T28" s="97">
        <v>0.15801022120740196</v>
      </c>
      <c r="U28" s="97">
        <v>0.15400162936848902</v>
      </c>
      <c r="V28" s="97">
        <v>0.15028224317066202</v>
      </c>
      <c r="W28" s="97">
        <v>0.14681881727005336</v>
      </c>
      <c r="X28" s="97">
        <v>0.14358322768135787</v>
      </c>
      <c r="Y28" s="97">
        <v>0.14055149905123179</v>
      </c>
      <c r="Z28" s="97">
        <v>0.13770304886598736</v>
      </c>
      <c r="AA28" s="97">
        <v>0.13502009357223069</v>
      </c>
      <c r="AB28" s="97">
        <v>0.13248717710983068</v>
      </c>
      <c r="AC28" s="97">
        <v>0.13009079308549296</v>
      </c>
      <c r="AD28" s="97">
        <v>0.12781907935483586</v>
      </c>
      <c r="AE28" s="97">
        <v>0.12566156915256005</v>
      </c>
      <c r="AF28" s="97">
        <v>0.12360898679195124</v>
      </c>
      <c r="AG28" s="97">
        <v>0.12165307879200625</v>
      </c>
      <c r="AH28" s="97">
        <v>0.11978647338975625</v>
      </c>
      <c r="AI28" s="97">
        <v>0.11800256296335579</v>
      </c>
      <c r="AJ28" s="97">
        <v>0.11629540507511915</v>
      </c>
      <c r="AK28" s="97">
        <v>0.11465963874600726</v>
      </c>
      <c r="AL28" s="97">
        <v>0.1130904132647865</v>
      </c>
      <c r="AM28" s="97">
        <v>0.11158332737227961</v>
      </c>
      <c r="AN28" s="97">
        <v>0.11013437707906337</v>
      </c>
      <c r="AO28" s="97">
        <v>0.10873991070417044</v>
      </c>
      <c r="AP28" s="97">
        <v>0.10739658998252044</v>
      </c>
      <c r="AQ28" s="97">
        <v>0.10610135629576145</v>
      </c>
      <c r="AR28" s="97">
        <v>0.10485140124765804</v>
      </c>
      <c r="AS28" s="97">
        <v>0.10364414093780477</v>
      </c>
      <c r="AT28" s="97">
        <v>0.10247719339709367</v>
      </c>
      <c r="AU28" s="97">
        <v>0.10134835873513193</v>
      </c>
      <c r="AV28" s="97">
        <v>0.10025560162280653</v>
      </c>
      <c r="AW28" s="97">
        <v>9.9197035791991003E-2</v>
      </c>
      <c r="AX28" s="97">
        <v>9.8170910283642956E-2</v>
      </c>
    </row>
    <row r="29" spans="1:50" x14ac:dyDescent="0.25">
      <c r="B29" s="97">
        <v>0.18149849452023531</v>
      </c>
      <c r="C29" s="97">
        <v>0.23125778383239068</v>
      </c>
      <c r="D29" s="97">
        <v>0.24278486021401741</v>
      </c>
      <c r="E29" s="97">
        <v>0.24018772101665048</v>
      </c>
      <c r="F29" s="97">
        <v>0.2327034817834297</v>
      </c>
      <c r="G29" s="97">
        <v>0.22388817517671958</v>
      </c>
      <c r="H29" s="97">
        <v>0.21509215829861622</v>
      </c>
      <c r="I29" s="97">
        <v>0.20679771712774248</v>
      </c>
      <c r="J29" s="97">
        <v>0.19914362873625727</v>
      </c>
      <c r="K29" s="97">
        <v>0.19213467527968262</v>
      </c>
      <c r="L29" s="97">
        <v>0.18572655618515005</v>
      </c>
      <c r="M29" s="97">
        <v>0.17986047023525326</v>
      </c>
      <c r="N29" s="97">
        <v>0.1744769659162865</v>
      </c>
      <c r="O29" s="97">
        <v>0.16952112790466875</v>
      </c>
      <c r="P29" s="97">
        <v>0.16494413195829932</v>
      </c>
      <c r="Q29" s="97">
        <v>0.16070330831396712</v>
      </c>
      <c r="R29" s="97">
        <v>0.15676163560127235</v>
      </c>
      <c r="S29" s="97">
        <v>0.15308706250157667</v>
      </c>
      <c r="T29" s="97">
        <v>0.14965182408963207</v>
      </c>
      <c r="U29" s="97">
        <v>0.14643181768575086</v>
      </c>
      <c r="V29" s="97">
        <v>0.14340605794022751</v>
      </c>
      <c r="W29" s="97">
        <v>0.14055621152863035</v>
      </c>
      <c r="X29" s="97">
        <v>0.13786620421447751</v>
      </c>
      <c r="Y29" s="97">
        <v>0.13532189070925557</v>
      </c>
      <c r="Z29" s="97">
        <v>0.13291077774064211</v>
      </c>
      <c r="AA29" s="97">
        <v>0.13062179164415041</v>
      </c>
      <c r="AB29" s="97">
        <v>0.12844508297765148</v>
      </c>
      <c r="AC29" s="97">
        <v>0.12637186184337509</v>
      </c>
      <c r="AD29" s="97">
        <v>0.1243942586711925</v>
      </c>
      <c r="AE29" s="97">
        <v>0.12250520613802154</v>
      </c>
      <c r="AF29" s="97">
        <v>0.12069833866802543</v>
      </c>
      <c r="AG29" s="97">
        <v>0.11896790659602366</v>
      </c>
      <c r="AH29" s="97">
        <v>0.11730870259631948</v>
      </c>
      <c r="AI29" s="97">
        <v>0.11571599840540649</v>
      </c>
      <c r="AJ29" s="97">
        <v>0.11418549021221695</v>
      </c>
      <c r="AK29" s="97">
        <v>0.11271325137149628</v>
      </c>
      <c r="AL29" s="97">
        <v>0.11129569132571131</v>
      </c>
      <c r="AM29" s="97">
        <v>0.10992951980789531</v>
      </c>
      <c r="AN29" s="97">
        <v>0.10861171555183197</v>
      </c>
      <c r="AO29" s="97">
        <v>0.10733949886131955</v>
      </c>
      <c r="AP29" s="97">
        <v>0.10611030749454084</v>
      </c>
      <c r="AQ29" s="97">
        <v>0.10492177540464256</v>
      </c>
      <c r="AR29" s="97">
        <v>0.10377171394847913</v>
      </c>
      <c r="AS29" s="97">
        <v>0.10265809523525098</v>
      </c>
      <c r="AT29" s="97">
        <v>0.10157903733424409</v>
      </c>
      <c r="AU29" s="97">
        <v>0.10053279110367791</v>
      </c>
      <c r="AV29" s="97">
        <v>9.9517728435703209E-2</v>
      </c>
      <c r="AW29" s="97">
        <v>9.8532331742410689E-2</v>
      </c>
      <c r="AX29" s="97">
        <v>9.7575184531614095E-2</v>
      </c>
    </row>
    <row r="30" spans="1:50" x14ac:dyDescent="0.25">
      <c r="C30" s="97">
        <v>3.0996765113956642E-2</v>
      </c>
      <c r="D30" s="97">
        <v>6.0157223623809701E-2</v>
      </c>
      <c r="E30" s="97">
        <v>8.2425056769701896E-2</v>
      </c>
      <c r="F30" s="97">
        <v>9.8208940956330412E-2</v>
      </c>
      <c r="G30" s="97">
        <v>0.10901700551808317</v>
      </c>
      <c r="H30" s="97">
        <v>0.1162519119455029</v>
      </c>
      <c r="I30" s="97">
        <v>0.12097674931767989</v>
      </c>
      <c r="J30" s="97">
        <v>0.12394495703730109</v>
      </c>
      <c r="K30" s="97">
        <v>0.12567895964140957</v>
      </c>
      <c r="L30" s="97">
        <v>0.12654003995178448</v>
      </c>
      <c r="M30" s="97">
        <v>0.12677959199686398</v>
      </c>
      <c r="N30" s="97">
        <v>0.12657431377399705</v>
      </c>
      <c r="O30" s="97">
        <v>0.12604982316561125</v>
      </c>
      <c r="P30" s="97">
        <v>0.12529644322914824</v>
      </c>
      <c r="Q30" s="97">
        <v>0.12437981046451878</v>
      </c>
      <c r="R30" s="97">
        <v>0.12334807556056933</v>
      </c>
      <c r="S30" s="97">
        <v>0.12223685059304164</v>
      </c>
      <c r="T30" s="97">
        <v>0.12107265169881937</v>
      </c>
      <c r="U30" s="97">
        <v>0.1198753254653372</v>
      </c>
      <c r="V30" s="97">
        <v>0.11865978013013934</v>
      </c>
      <c r="W30" s="97">
        <v>0.11743723514808981</v>
      </c>
      <c r="X30" s="97">
        <v>0.11621613291468001</v>
      </c>
      <c r="Y30" s="97">
        <v>0.11500281067666614</v>
      </c>
      <c r="Z30" s="97">
        <v>0.11380200029550908</v>
      </c>
      <c r="AA30" s="97">
        <v>0.11261720312821885</v>
      </c>
      <c r="AB30" s="97">
        <v>0.11145097341729922</v>
      </c>
      <c r="AC30" s="97">
        <v>0.11030513403589896</v>
      </c>
      <c r="AD30" s="97">
        <v>0.10918094179042602</v>
      </c>
      <c r="AE30" s="97">
        <v>0.10807921480883374</v>
      </c>
      <c r="AF30" s="97">
        <v>0.10700043122157506</v>
      </c>
      <c r="AG30" s="97">
        <v>0.10594480595690668</v>
      </c>
      <c r="AH30" s="97">
        <v>0.10491235074638655</v>
      </c>
      <c r="AI30" s="97">
        <v>0.10390292117391511</v>
      </c>
      <c r="AJ30" s="97">
        <v>0.10291625367300949</v>
      </c>
      <c r="AK30" s="97">
        <v>0.10195199468680008</v>
      </c>
      <c r="AL30" s="97">
        <v>0.1010097236898814</v>
      </c>
      <c r="AM30" s="97">
        <v>0.1000889713826667</v>
      </c>
      <c r="AN30" s="97">
        <v>9.9189234074885599E-2</v>
      </c>
      <c r="AO30" s="97">
        <v>9.8309985050833854E-2</v>
      </c>
      <c r="AP30" s="97">
        <v>9.7450683536501326E-2</v>
      </c>
      <c r="AQ30" s="97">
        <v>9.6610781757023506E-2</v>
      </c>
      <c r="AR30" s="97">
        <v>9.5789730469639386E-2</v>
      </c>
      <c r="AS30" s="97">
        <v>9.4986983277300915E-2</v>
      </c>
      <c r="AT30" s="97">
        <v>9.4201999966379374E-2</v>
      </c>
      <c r="AU30" s="97">
        <v>9.3434249061612934E-2</v>
      </c>
      <c r="AV30" s="97">
        <v>9.2683209753885984E-2</v>
      </c>
      <c r="AW30" s="97">
        <v>9.194837332479569E-2</v>
      </c>
      <c r="AX30" s="97">
        <v>9.1229244168283583E-2</v>
      </c>
    </row>
    <row r="31" spans="1:50" x14ac:dyDescent="0.25">
      <c r="D31" s="97">
        <v>5.293704777383606E-3</v>
      </c>
      <c r="E31" s="97">
        <v>1.3802584052785305E-2</v>
      </c>
      <c r="F31" s="97">
        <v>2.3424576827235075E-2</v>
      </c>
      <c r="G31" s="97">
        <v>3.286852080982048E-2</v>
      </c>
      <c r="H31" s="97">
        <v>4.150384191544048E-2</v>
      </c>
      <c r="I31" s="97">
        <v>4.909943491408085E-2</v>
      </c>
      <c r="J31" s="97">
        <v>5.5633660992847826E-2</v>
      </c>
      <c r="K31" s="97">
        <v>6.1181653048737558E-2</v>
      </c>
      <c r="L31" s="97">
        <v>6.5854891487789308E-2</v>
      </c>
      <c r="M31" s="97">
        <v>6.9771204696583031E-2</v>
      </c>
      <c r="N31" s="97">
        <v>7.3041185171403664E-2</v>
      </c>
      <c r="O31" s="97">
        <v>7.5763006555222889E-2</v>
      </c>
      <c r="P31" s="97">
        <v>7.8021318255304756E-2</v>
      </c>
      <c r="Q31" s="97">
        <v>7.9887973828047201E-2</v>
      </c>
      <c r="R31" s="97">
        <v>8.1423467548444553E-2</v>
      </c>
      <c r="S31" s="97">
        <v>8.2678537686063577E-2</v>
      </c>
      <c r="T31" s="97">
        <v>8.3695693153446521E-2</v>
      </c>
      <c r="U31" s="97">
        <v>8.4510568599064986E-2</v>
      </c>
      <c r="V31" s="97">
        <v>8.5153084256363018E-2</v>
      </c>
      <c r="W31" s="97">
        <v>8.5648418948260904E-2</v>
      </c>
      <c r="X31" s="97">
        <v>8.6017817274462213E-2</v>
      </c>
      <c r="Y31" s="97">
        <v>8.6279255283358586E-2</v>
      </c>
      <c r="Z31" s="97">
        <v>8.6447987975141832E-2</v>
      </c>
      <c r="AA31" s="97">
        <v>8.6536999350282071E-2</v>
      </c>
      <c r="AB31" s="97">
        <v>8.6557372638714117E-2</v>
      </c>
      <c r="AC31" s="97">
        <v>8.6518595377405097E-2</v>
      </c>
      <c r="AD31" s="97">
        <v>8.6428811372943434E-2</v>
      </c>
      <c r="AE31" s="97">
        <v>8.629502934945639E-2</v>
      </c>
      <c r="AF31" s="97">
        <v>8.6123296228635016E-2</v>
      </c>
      <c r="AG31" s="97">
        <v>8.5918841474569727E-2</v>
      </c>
      <c r="AH31" s="97">
        <v>8.5686197708914585E-2</v>
      </c>
      <c r="AI31" s="97">
        <v>8.5429301812935371E-2</v>
      </c>
      <c r="AJ31" s="97">
        <v>8.5151579937282673E-2</v>
      </c>
      <c r="AK31" s="97">
        <v>8.485601920064631E-2</v>
      </c>
      <c r="AL31" s="97">
        <v>8.4545228343985188E-2</v>
      </c>
      <c r="AM31" s="97">
        <v>8.4221489193019639E-2</v>
      </c>
      <c r="AN31" s="97">
        <v>8.3886800447060331E-2</v>
      </c>
      <c r="AO31" s="97">
        <v>8.354291504231208E-2</v>
      </c>
      <c r="AP31" s="97">
        <v>8.3191372118787937E-2</v>
      </c>
      <c r="AQ31" s="97">
        <v>8.2833524441358927E-2</v>
      </c>
      <c r="AR31" s="97">
        <v>8.2470561981130799E-2</v>
      </c>
      <c r="AS31" s="97">
        <v>8.2103532244059058E-2</v>
      </c>
      <c r="AT31" s="97">
        <v>8.1733357836690598E-2</v>
      </c>
      <c r="AU31" s="97">
        <v>8.1360851679083912E-2</v>
      </c>
      <c r="AV31" s="97">
        <v>8.0986730208641361E-2</v>
      </c>
      <c r="AW31" s="97">
        <v>8.0611624864443177E-2</v>
      </c>
      <c r="AX31" s="97">
        <v>8.0236092096158035E-2</v>
      </c>
    </row>
    <row r="32" spans="1:50" x14ac:dyDescent="0.25">
      <c r="E32" s="97">
        <v>9.0407209162213112E-4</v>
      </c>
      <c r="F32" s="97">
        <v>2.9598941359165621E-3</v>
      </c>
      <c r="G32" s="97">
        <v>5.9986810705778756E-3</v>
      </c>
      <c r="H32" s="97">
        <v>9.7110284838318253E-3</v>
      </c>
      <c r="I32" s="97">
        <v>1.3794748329940818E-2</v>
      </c>
      <c r="J32" s="97">
        <v>1.8009295015301754E-2</v>
      </c>
      <c r="K32" s="97">
        <v>2.2183566772868635E-2</v>
      </c>
      <c r="L32" s="97">
        <v>2.6205735368650025E-2</v>
      </c>
      <c r="M32" s="97">
        <v>3.0008860891115027E-2</v>
      </c>
      <c r="N32" s="97">
        <v>3.3557742721874957E-2</v>
      </c>
      <c r="O32" s="97">
        <v>3.6838566381817942E-2</v>
      </c>
      <c r="P32" s="97">
        <v>3.9851335967125798E-2</v>
      </c>
      <c r="Q32" s="97">
        <v>4.2604581496639218E-2</v>
      </c>
      <c r="R32" s="97">
        <v>4.5111767031126758E-2</v>
      </c>
      <c r="S32" s="97">
        <v>4.7388910917225809E-2</v>
      </c>
      <c r="T32" s="97">
        <v>4.9453045243936511E-2</v>
      </c>
      <c r="U32" s="97">
        <v>5.1321245217210494E-2</v>
      </c>
      <c r="V32" s="97">
        <v>5.301003998932572E-2</v>
      </c>
      <c r="W32" s="97">
        <v>5.4535075538841592E-2</v>
      </c>
      <c r="X32" s="97">
        <v>5.5910941838501954E-2</v>
      </c>
      <c r="Y32" s="97">
        <v>5.7151105307941041E-2</v>
      </c>
      <c r="Z32" s="97">
        <v>5.826790716648915E-2</v>
      </c>
      <c r="AA32" s="97">
        <v>5.92726015819161E-2</v>
      </c>
      <c r="AB32" s="97">
        <v>6.0175416456760777E-2</v>
      </c>
      <c r="AC32" s="97">
        <v>6.0985625698033334E-2</v>
      </c>
      <c r="AD32" s="97">
        <v>6.1711625831530691E-2</v>
      </c>
      <c r="AE32" s="97">
        <v>6.2361012498515812E-2</v>
      </c>
      <c r="AF32" s="97">
        <v>6.2940654146117103E-2</v>
      </c>
      <c r="AG32" s="97">
        <v>6.3456761390238065E-2</v>
      </c>
      <c r="AH32" s="97">
        <v>6.3914951289783833E-2</v>
      </c>
      <c r="AI32" s="97">
        <v>6.4320306257661067E-2</v>
      </c>
      <c r="AJ32" s="97">
        <v>6.4677427638319962E-2</v>
      </c>
      <c r="AK32" s="97">
        <v>6.4990484164711412E-2</v>
      </c>
      <c r="AL32" s="97">
        <v>6.5263255610211984E-2</v>
      </c>
      <c r="AM32" s="97">
        <v>6.549917200165721E-2</v>
      </c>
      <c r="AN32" s="97">
        <v>6.5701348776910598E-2</v>
      </c>
      <c r="AO32" s="97">
        <v>6.5872618266265087E-2</v>
      </c>
      <c r="AP32" s="97">
        <v>6.6015557860601079E-2</v>
      </c>
      <c r="AQ32" s="97">
        <v>6.6132515206116599E-2</v>
      </c>
      <c r="AR32" s="97">
        <v>6.6225630738016128E-2</v>
      </c>
      <c r="AS32" s="97">
        <v>6.6296857838394063E-2</v>
      </c>
      <c r="AT32" s="97">
        <v>6.6347980875551049E-2</v>
      </c>
      <c r="AU32" s="97">
        <v>6.6380631356182454E-2</v>
      </c>
      <c r="AV32" s="97">
        <v>6.6396302397330909E-2</v>
      </c>
      <c r="AW32" s="97">
        <v>6.6396361702678236E-2</v>
      </c>
      <c r="AX32" s="97">
        <v>6.6382063207263239E-2</v>
      </c>
    </row>
    <row r="33" spans="6:50" x14ac:dyDescent="0.25">
      <c r="F33" s="97">
        <v>1.5439968438401164E-4</v>
      </c>
      <c r="G33" s="97">
        <v>6.0842092237626058E-4</v>
      </c>
      <c r="H33" s="97">
        <v>1.4343310990165786E-3</v>
      </c>
      <c r="I33" s="97">
        <v>2.6343543262216211E-3</v>
      </c>
      <c r="J33" s="97">
        <v>4.165084777874653E-3</v>
      </c>
      <c r="K33" s="97">
        <v>5.9613192583311547E-3</v>
      </c>
      <c r="L33" s="97">
        <v>7.9527448408090052E-3</v>
      </c>
      <c r="M33" s="97">
        <v>1.0073553735432587E-2</v>
      </c>
      <c r="N33" s="97">
        <v>1.2266943887538975E-2</v>
      </c>
      <c r="O33" s="97">
        <v>1.4486465742556333E-2</v>
      </c>
      <c r="P33" s="97">
        <v>1.6695657373333853E-2</v>
      </c>
      <c r="Q33" s="97">
        <v>1.8866887200571447E-2</v>
      </c>
      <c r="R33" s="97">
        <v>2.0979935023282863E-2</v>
      </c>
      <c r="S33" s="97">
        <v>2.302058989649463E-2</v>
      </c>
      <c r="T33" s="97">
        <v>2.4979393047097214E-2</v>
      </c>
      <c r="U33" s="97">
        <v>2.685057047389617E-2</v>
      </c>
      <c r="V33" s="97">
        <v>2.863115689945462E-2</v>
      </c>
      <c r="W33" s="97">
        <v>3.0320293016543882E-2</v>
      </c>
      <c r="X33" s="97">
        <v>3.1918670868572363E-2</v>
      </c>
      <c r="Y33" s="97">
        <v>3.3428101514258804E-2</v>
      </c>
      <c r="Z33" s="97">
        <v>3.4851181378645346E-2</v>
      </c>
      <c r="AA33" s="97">
        <v>3.6191037028678708E-2</v>
      </c>
      <c r="AB33" s="97">
        <v>3.7451131594810491E-2</v>
      </c>
      <c r="AC33" s="97">
        <v>3.8635119260975889E-2</v>
      </c>
      <c r="AD33" s="97">
        <v>3.9746737002748611E-2</v>
      </c>
      <c r="AE33" s="97">
        <v>4.078972504070133E-2</v>
      </c>
      <c r="AF33" s="97">
        <v>4.1767769329513843E-2</v>
      </c>
      <c r="AG33" s="97">
        <v>4.2684460881553324E-2</v>
      </c>
      <c r="AH33" s="97">
        <v>4.3543267890645172E-2</v>
      </c>
      <c r="AI33" s="97">
        <v>4.4347517536376162E-2</v>
      </c>
      <c r="AJ33" s="97">
        <v>4.5100385062453174E-2</v>
      </c>
      <c r="AK33" s="97">
        <v>4.5804888276931799E-2</v>
      </c>
      <c r="AL33" s="97">
        <v>4.6463886051913955E-2</v>
      </c>
      <c r="AM33" s="97">
        <v>4.7080079733070983E-2</v>
      </c>
      <c r="AN33" s="97">
        <v>4.7656016626382136E-2</v>
      </c>
      <c r="AO33" s="97">
        <v>4.8194094928323952E-2</v>
      </c>
      <c r="AP33" s="97">
        <v>4.8696569618974408E-2</v>
      </c>
      <c r="AQ33" s="97">
        <v>4.9165558955625771E-2</v>
      </c>
      <c r="AR33" s="97">
        <v>4.9603051295786155E-2</v>
      </c>
      <c r="AS33" s="97">
        <v>5.0010912048230029E-2</v>
      </c>
      <c r="AT33" s="97">
        <v>5.0390890604796616E-2</v>
      </c>
      <c r="AU33" s="97">
        <v>5.074462714665913E-2</v>
      </c>
      <c r="AV33" s="97">
        <v>5.1073659250429261E-2</v>
      </c>
      <c r="AW33" s="97">
        <v>5.1379428243313721E-2</v>
      </c>
      <c r="AX33" s="97">
        <v>5.1663285274855753E-2</v>
      </c>
    </row>
    <row r="34" spans="6:50" x14ac:dyDescent="0.25">
      <c r="G34" s="97">
        <v>2.6368762799776224E-5</v>
      </c>
      <c r="H34" s="97">
        <v>1.2148505789568478E-4</v>
      </c>
      <c r="I34" s="97">
        <v>3.2667289563962536E-4</v>
      </c>
      <c r="J34" s="97">
        <v>6.7152381677477719E-4</v>
      </c>
      <c r="K34" s="97">
        <v>1.1706285514310965E-3</v>
      </c>
      <c r="L34" s="97">
        <v>1.8249778314504538E-3</v>
      </c>
      <c r="M34" s="97">
        <v>2.6253326885056975E-3</v>
      </c>
      <c r="N34" s="97">
        <v>3.5558666821715623E-3</v>
      </c>
      <c r="O34" s="97">
        <v>4.5972744903949583E-3</v>
      </c>
      <c r="P34" s="97">
        <v>5.7290985466892539E-3</v>
      </c>
      <c r="Q34" s="97">
        <v>6.9313055332933639E-3</v>
      </c>
      <c r="R34" s="97">
        <v>8.1852530241789574E-3</v>
      </c>
      <c r="S34" s="97">
        <v>9.4742059806788397E-3</v>
      </c>
      <c r="T34" s="97">
        <v>1.0783543802683466E-2</v>
      </c>
      <c r="U34" s="97">
        <v>1.2100767993871938E-2</v>
      </c>
      <c r="V34" s="97">
        <v>1.3415390489367478E-2</v>
      </c>
      <c r="W34" s="97">
        <v>1.4718757845422165E-2</v>
      </c>
      <c r="X34" s="97">
        <v>1.6003847637440439E-2</v>
      </c>
      <c r="Y34" s="97">
        <v>1.7265059882545977E-2</v>
      </c>
      <c r="Z34" s="97">
        <v>1.8498016982887767E-2</v>
      </c>
      <c r="AA34" s="97">
        <v>1.9699379483862797E-2</v>
      </c>
      <c r="AB34" s="97">
        <v>2.0866680951198851E-2</v>
      </c>
      <c r="AC34" s="97">
        <v>2.1998182800251325E-2</v>
      </c>
      <c r="AD34" s="97">
        <v>2.3092748456925667E-2</v>
      </c>
      <c r="AE34" s="97">
        <v>2.4149735439248109E-2</v>
      </c>
      <c r="AF34" s="97">
        <v>2.5168903579483547E-2</v>
      </c>
      <c r="AG34" s="97">
        <v>2.615033749694835E-2</v>
      </c>
      <c r="AH34" s="97">
        <v>2.7094381473910696E-2</v>
      </c>
      <c r="AI34" s="97">
        <v>2.8001585012722791E-2</v>
      </c>
      <c r="AJ34" s="97">
        <v>2.8872657517730368E-2</v>
      </c>
      <c r="AK34" s="97">
        <v>2.9708430724082462E-2</v>
      </c>
      <c r="AL34" s="97">
        <v>3.0509827671590314E-2</v>
      </c>
      <c r="AM34" s="97">
        <v>3.1277837186482894E-2</v>
      </c>
      <c r="AN34" s="97">
        <v>3.2013492983427434E-2</v>
      </c>
      <c r="AO34" s="97">
        <v>3.2717856632572553E-2</v>
      </c>
      <c r="AP34" s="97">
        <v>3.3392003752211956E-2</v>
      </c>
      <c r="AQ34" s="97">
        <v>3.4037012887584372E-2</v>
      </c>
      <c r="AR34" s="97">
        <v>3.4653956622001464E-2</v>
      </c>
      <c r="AS34" s="97">
        <v>3.5243894539378776E-2</v>
      </c>
      <c r="AT34" s="97">
        <v>3.580786771902475E-2</v>
      </c>
      <c r="AU34" s="97">
        <v>3.6346894495735659E-2</v>
      </c>
      <c r="AV34" s="97">
        <v>3.6861967262123964E-2</v>
      </c>
      <c r="AW34" s="97">
        <v>3.7354050127022725E-2</v>
      </c>
      <c r="AX34" s="97">
        <v>3.782407727471513E-2</v>
      </c>
    </row>
    <row r="35" spans="6:50" x14ac:dyDescent="0.25">
      <c r="H35" s="97">
        <v>4.5033230110842293E-6</v>
      </c>
      <c r="I35" s="97">
        <v>2.3749435921480176E-5</v>
      </c>
      <c r="J35" s="97">
        <v>7.1746451941361112E-5</v>
      </c>
      <c r="K35" s="97">
        <v>1.6325363881162236E-4</v>
      </c>
      <c r="L35" s="97">
        <v>3.1123901253683024E-4</v>
      </c>
      <c r="M35" s="97">
        <v>5.2536373370675263E-4</v>
      </c>
      <c r="N35" s="97">
        <v>8.114413165034853E-4</v>
      </c>
      <c r="O35" s="97">
        <v>1.1715879629126608E-3</v>
      </c>
      <c r="P35" s="97">
        <v>1.6047629147690661E-3</v>
      </c>
      <c r="Q35" s="97">
        <v>2.1074657695844576E-3</v>
      </c>
      <c r="R35" s="97">
        <v>2.6744403811726448E-3</v>
      </c>
      <c r="S35" s="97">
        <v>3.2993034090819696E-3</v>
      </c>
      <c r="T35" s="97">
        <v>3.9750629150803688E-3</v>
      </c>
      <c r="U35" s="97">
        <v>4.6945212177783103E-3</v>
      </c>
      <c r="V35" s="97">
        <v>5.4505715652840483E-3</v>
      </c>
      <c r="W35" s="97">
        <v>6.2364048236671701E-3</v>
      </c>
      <c r="X35" s="97">
        <v>7.0456439209818757E-3</v>
      </c>
      <c r="Y35" s="97">
        <v>7.8724226599710817E-3</v>
      </c>
      <c r="Z35" s="97">
        <v>8.7114232134986366E-3</v>
      </c>
      <c r="AA35" s="97">
        <v>9.5578839989501237E-3</v>
      </c>
      <c r="AB35" s="97">
        <v>1.0407587133611089E-2</v>
      </c>
      <c r="AC35" s="97">
        <v>1.125683249825409E-2</v>
      </c>
      <c r="AD35" s="97">
        <v>1.2102403639375581E-2</v>
      </c>
      <c r="AE35" s="97">
        <v>1.2941529309263483E-2</v>
      </c>
      <c r="AF35" s="97">
        <v>1.3771843333657071E-2</v>
      </c>
      <c r="AG35" s="97">
        <v>1.4591344655148471E-2</v>
      </c>
      <c r="AH35" s="97">
        <v>1.53983587741022E-2</v>
      </c>
      <c r="AI35" s="97">
        <v>1.6191501350580135E-2</v>
      </c>
      <c r="AJ35" s="97">
        <v>1.696964440160436E-2</v>
      </c>
      <c r="AK35" s="97">
        <v>1.773188529623252E-2</v>
      </c>
      <c r="AL35" s="97">
        <v>1.8477518591500351E-2</v>
      </c>
      <c r="AM35" s="97">
        <v>1.9206010646093914E-2</v>
      </c>
      <c r="AN35" s="97">
        <v>1.9916976880973488E-2</v>
      </c>
      <c r="AO35" s="97">
        <v>2.0610161516082536E-2</v>
      </c>
      <c r="AP35" s="97">
        <v>2.1285419591591088E-2</v>
      </c>
      <c r="AQ35" s="97">
        <v>2.1942701074845247E-2</v>
      </c>
      <c r="AR35" s="97">
        <v>2.2582036855778982E-2</v>
      </c>
      <c r="AS35" s="97">
        <v>2.3203526441075199E-2</v>
      </c>
      <c r="AT35" s="97">
        <v>2.3807327168342274E-2</v>
      </c>
      <c r="AU35" s="97">
        <v>2.4393644774501812E-2</v>
      </c>
      <c r="AV35" s="97">
        <v>2.4962725166401228E-2</v>
      </c>
      <c r="AW35" s="97">
        <v>2.5514847255576671E-2</v>
      </c>
      <c r="AX35" s="97">
        <v>2.605031673259435E-2</v>
      </c>
    </row>
    <row r="36" spans="6:50" x14ac:dyDescent="0.25">
      <c r="I36" s="97">
        <v>7.6908872426651695E-7</v>
      </c>
      <c r="J36" s="97">
        <v>4.5686623711270812E-6</v>
      </c>
      <c r="K36" s="97">
        <v>1.5319867390671469E-5</v>
      </c>
      <c r="L36" s="97">
        <v>3.8234206578757539E-5</v>
      </c>
      <c r="M36" s="97">
        <v>7.9161226132405698E-5</v>
      </c>
      <c r="N36" s="97">
        <v>1.4390468217984661E-4</v>
      </c>
      <c r="O36" s="97">
        <v>2.3766446093467956E-4</v>
      </c>
      <c r="P36" s="97">
        <v>3.646661897537002E-4</v>
      </c>
      <c r="Q36" s="97">
        <v>5.2797572500511982E-4</v>
      </c>
      <c r="R36" s="97">
        <v>7.294637535847073E-4</v>
      </c>
      <c r="S36" s="97">
        <v>9.6987587782046772E-4</v>
      </c>
      <c r="T36" s="97">
        <v>1.2489666569682571E-3</v>
      </c>
      <c r="U36" s="97">
        <v>1.565664538273701E-3</v>
      </c>
      <c r="V36" s="97">
        <v>1.9182440288272463E-3</v>
      </c>
      <c r="W36" s="97">
        <v>2.304489828042607E-3</v>
      </c>
      <c r="X36" s="97">
        <v>2.7218441916940363E-3</v>
      </c>
      <c r="Y36" s="97">
        <v>3.167533488125525E-3</v>
      </c>
      <c r="Z36" s="97">
        <v>3.6386730217078038E-3</v>
      </c>
      <c r="AA36" s="97">
        <v>4.1323511047368939E-3</v>
      </c>
      <c r="AB36" s="97">
        <v>4.6456944005940611E-3</v>
      </c>
      <c r="AC36" s="97">
        <v>5.1759170209101412E-3</v>
      </c>
      <c r="AD36" s="97">
        <v>5.7203559507295393E-3</v>
      </c>
      <c r="AE36" s="97">
        <v>6.2764952501845354E-3</v>
      </c>
      <c r="AF36" s="97">
        <v>6.8419812416068192E-3</v>
      </c>
      <c r="AG36" s="97">
        <v>7.4146306037349338E-3</v>
      </c>
      <c r="AH36" s="97">
        <v>7.9924330004009763E-3</v>
      </c>
      <c r="AI36" s="97">
        <v>8.5735495930306192E-3</v>
      </c>
      <c r="AJ36" s="97">
        <v>9.1563085362838421E-3</v>
      </c>
      <c r="AK36" s="97">
        <v>9.7391983387320556E-3</v>
      </c>
      <c r="AL36" s="97">
        <v>1.0320859785978282E-2</v>
      </c>
      <c r="AM36" s="97">
        <v>1.090007696998384E-2</v>
      </c>
      <c r="AN36" s="97">
        <v>1.1475767842283794E-2</v>
      </c>
      <c r="AO36" s="97">
        <v>1.2046974606730137E-2</v>
      </c>
      <c r="AP36" s="97">
        <v>1.2612854185608405E-2</v>
      </c>
      <c r="AQ36" s="97">
        <v>1.3172668928148798E-2</v>
      </c>
      <c r="AR36" s="97">
        <v>1.3725777679639773E-2</v>
      </c>
      <c r="AS36" s="97">
        <v>1.4271627289822914E-2</v>
      </c>
      <c r="AT36" s="97">
        <v>1.4809744608917503E-2</v>
      </c>
      <c r="AU36" s="97">
        <v>1.5339728996620124E-2</v>
      </c>
      <c r="AV36" s="97">
        <v>1.5861245352231525E-2</v>
      </c>
      <c r="AW36" s="97">
        <v>1.6374017661418449E-2</v>
      </c>
      <c r="AX36" s="97">
        <v>1.6877823046114054E-2</v>
      </c>
    </row>
    <row r="37" spans="6:50" x14ac:dyDescent="0.25">
      <c r="J37" s="97">
        <v>1.3134688858383724E-7</v>
      </c>
      <c r="K37" s="97">
        <v>8.6780337668511216E-7</v>
      </c>
      <c r="L37" s="97">
        <v>3.1984906355369714E-6</v>
      </c>
      <c r="M37" s="97">
        <v>8.6883793191430484E-6</v>
      </c>
      <c r="N37" s="97">
        <v>1.9417540680921381E-5</v>
      </c>
      <c r="O37" s="97">
        <v>3.7833269660700218E-5</v>
      </c>
      <c r="P37" s="97">
        <v>6.6560108203593139E-5</v>
      </c>
      <c r="Q37" s="97">
        <v>1.0821028737219297E-4</v>
      </c>
      <c r="R37" s="97">
        <v>1.6522056923197007E-4</v>
      </c>
      <c r="S37" s="97">
        <v>2.3972912150584645E-4</v>
      </c>
      <c r="T37" s="97">
        <v>3.3349564796982651E-4</v>
      </c>
      <c r="U37" s="97">
        <v>4.4786097643433433E-4</v>
      </c>
      <c r="V37" s="97">
        <v>5.837390413148979E-4</v>
      </c>
      <c r="W37" s="97">
        <v>7.416332075809623E-4</v>
      </c>
      <c r="X37" s="97">
        <v>9.2166924788837678E-4</v>
      </c>
      <c r="Y37" s="97">
        <v>1.1236383961124835E-3</v>
      </c>
      <c r="Z37" s="97">
        <v>1.3470452697413818E-3</v>
      </c>
      <c r="AA37" s="97">
        <v>1.5911567946382168E-3</v>
      </c>
      <c r="AB37" s="97">
        <v>1.8550494436012086E-3</v>
      </c>
      <c r="AC37" s="97">
        <v>2.1376530599262751E-3</v>
      </c>
      <c r="AD37" s="97">
        <v>2.4377902785080621E-3</v>
      </c>
      <c r="AE37" s="97">
        <v>2.754211101192082E-3</v>
      </c>
      <c r="AF37" s="97">
        <v>3.0856225638259522E-3</v>
      </c>
      <c r="AG37" s="97">
        <v>3.4307136841972333E-3</v>
      </c>
      <c r="AH37" s="97">
        <v>3.7881760344645344E-3</v>
      </c>
      <c r="AI37" s="97">
        <v>4.1567203651837123E-3</v>
      </c>
      <c r="AJ37" s="97">
        <v>4.535089741654722E-3</v>
      </c>
      <c r="AK37" s="97">
        <v>4.9220696534969868E-3</v>
      </c>
      <c r="AL37" s="97">
        <v>5.3164955371680271E-3</v>
      </c>
      <c r="AM37" s="97">
        <v>5.7172581174442221E-3</v>
      </c>
      <c r="AN37" s="97">
        <v>6.1233069338002665E-3</v>
      </c>
      <c r="AO37" s="97">
        <v>6.533652375392743E-3</v>
      </c>
      <c r="AP37" s="97">
        <v>6.9473665067066323E-3</v>
      </c>
      <c r="AQ37" s="97">
        <v>7.3635829265457338E-3</v>
      </c>
      <c r="AR37" s="97">
        <v>7.7814958668998178E-3</v>
      </c>
      <c r="AS37" s="97">
        <v>8.2003587057327444E-3</v>
      </c>
      <c r="AT37" s="97">
        <v>8.6194820390335831E-3</v>
      </c>
      <c r="AU37" s="97">
        <v>9.0382314324459322E-3</v>
      </c>
      <c r="AV37" s="97">
        <v>9.4560249511809521E-3</v>
      </c>
      <c r="AW37" s="97">
        <v>9.872330548478879E-3</v>
      </c>
      <c r="AX37" s="97">
        <v>1.0286663377231412E-2</v>
      </c>
    </row>
    <row r="38" spans="6:50" x14ac:dyDescent="0.25">
      <c r="K38" s="97">
        <v>2.2431748894907363E-8</v>
      </c>
      <c r="L38" s="97">
        <v>1.6315862631478715E-7</v>
      </c>
      <c r="M38" s="97">
        <v>6.5500773760910953E-7</v>
      </c>
      <c r="N38" s="97">
        <v>1.9256054726976614E-6</v>
      </c>
      <c r="O38" s="97">
        <v>4.6214114048355351E-6</v>
      </c>
      <c r="P38" s="97">
        <v>9.6097876313643661E-6</v>
      </c>
      <c r="Q38" s="97">
        <v>1.7947534724658784E-5</v>
      </c>
      <c r="R38" s="97">
        <v>3.0829736682483901E-5</v>
      </c>
      <c r="S38" s="97">
        <v>4.9529721113419723E-5</v>
      </c>
      <c r="T38" s="97">
        <v>7.5337178563832856E-5</v>
      </c>
      <c r="U38" s="97">
        <v>1.0950130446024709E-4</v>
      </c>
      <c r="V38" s="97">
        <v>1.5318322999960149E-4</v>
      </c>
      <c r="W38" s="97">
        <v>2.0741952322205544E-4</v>
      </c>
      <c r="X38" s="97">
        <v>2.7309699971814297E-4</v>
      </c>
      <c r="Y38" s="97">
        <v>3.5093802141315003E-4</v>
      </c>
      <c r="Z38" s="97">
        <v>4.4149482487146048E-4</v>
      </c>
      <c r="AA38" s="97">
        <v>5.4515116508414938E-4</v>
      </c>
      <c r="AB38" s="97">
        <v>6.6212954020731293E-4</v>
      </c>
      <c r="AC38" s="97">
        <v>7.9250240425901379E-4</v>
      </c>
      <c r="AD38" s="97">
        <v>9.3620598633284945E-4</v>
      </c>
      <c r="AE38" s="97">
        <v>1.0930555774126226E-3</v>
      </c>
      <c r="AF38" s="97">
        <v>1.2627613846544258E-3</v>
      </c>
      <c r="AG38" s="97">
        <v>1.4449442725725976E-3</v>
      </c>
      <c r="AH38" s="97">
        <v>1.6391508998174925E-3</v>
      </c>
      <c r="AI38" s="97">
        <v>1.8448679169937691E-3</v>
      </c>
      <c r="AJ38" s="97">
        <v>2.0615350166021721E-3</v>
      </c>
      <c r="AK38" s="97">
        <v>2.288556723644758E-3</v>
      </c>
      <c r="AL38" s="97">
        <v>2.5253128886989188E-3</v>
      </c>
      <c r="AM38" s="97">
        <v>2.7711678983811153E-3</v>
      </c>
      <c r="AN38" s="97">
        <v>3.0254786550778191E-3</v>
      </c>
      <c r="AO38" s="97">
        <v>3.2876014020277568E-3</v>
      </c>
      <c r="AP38" s="97">
        <v>3.5568974843024049E-3</v>
      </c>
      <c r="AQ38" s="97">
        <v>3.8327381434011187E-3</v>
      </c>
      <c r="AR38" s="97">
        <v>4.1145084450155377E-3</v>
      </c>
      <c r="AS38" s="97">
        <v>4.4016104376437054E-3</v>
      </c>
      <c r="AT38" s="97">
        <v>4.6934656353124736E-3</v>
      </c>
      <c r="AU38" s="97">
        <v>4.9895169116676973E-3</v>
      </c>
      <c r="AV38" s="97">
        <v>5.2892298857677685E-3</v>
      </c>
      <c r="AW38" s="97">
        <v>5.5920938726179061E-3</v>
      </c>
      <c r="AX38" s="97">
        <v>5.8976224641059671E-3</v>
      </c>
    </row>
    <row r="39" spans="6:50" x14ac:dyDescent="0.25">
      <c r="L39" s="97">
        <v>3.8309499669883123E-9</v>
      </c>
      <c r="M39" s="97">
        <v>3.1695586693402454E-8</v>
      </c>
      <c r="N39" s="97">
        <v>1.3299213099390504E-7</v>
      </c>
      <c r="O39" s="97">
        <v>4.175122527202886E-7</v>
      </c>
      <c r="P39" s="97">
        <v>1.0721435595292662E-6</v>
      </c>
      <c r="Q39" s="97">
        <v>2.3705184567396068E-6</v>
      </c>
      <c r="R39" s="97">
        <v>4.6848498334264509E-6</v>
      </c>
      <c r="S39" s="97">
        <v>8.4808241074380631E-6</v>
      </c>
      <c r="T39" s="97">
        <v>1.4305498765814836E-5</v>
      </c>
      <c r="U39" s="97">
        <v>2.2770293963367493E-5</v>
      </c>
      <c r="V39" s="97">
        <v>3.4529960822976826E-5</v>
      </c>
      <c r="W39" s="97">
        <v>5.0260154865753979E-5</v>
      </c>
      <c r="X39" s="97">
        <v>7.0635655146613247E-5</v>
      </c>
      <c r="Y39" s="97">
        <v>9.6310534563733656E-5</v>
      </c>
      <c r="Z39" s="97">
        <v>1.279011889589586E-4</v>
      </c>
      <c r="AA39" s="97">
        <v>1.6597264545887378E-4</v>
      </c>
      <c r="AB39" s="97">
        <v>2.1102828786164439E-4</v>
      </c>
      <c r="AC39" s="97">
        <v>2.6350284959694893E-4</v>
      </c>
      <c r="AD39" s="97">
        <v>3.2375837046054001E-4</v>
      </c>
      <c r="AE39" s="97">
        <v>3.920827159933213E-4</v>
      </c>
      <c r="AF39" s="97">
        <v>4.6869023000085583E-4</v>
      </c>
      <c r="AG39" s="97">
        <v>5.5372408996024391E-4</v>
      </c>
      <c r="AH39" s="97">
        <v>6.4725996119582754E-4</v>
      </c>
      <c r="AI39" s="97">
        <v>7.4931058790927518E-4</v>
      </c>
      <c r="AJ39" s="97">
        <v>8.5983100823490573E-4</v>
      </c>
      <c r="AK39" s="97">
        <v>9.7872413121677577E-4</v>
      </c>
      <c r="AL39" s="97">
        <v>1.105846462325416E-3</v>
      </c>
      <c r="AM39" s="97">
        <v>1.2410138088890044E-3</v>
      </c>
      <c r="AN39" s="97">
        <v>1.3840068363852392E-3</v>
      </c>
      <c r="AO39" s="97">
        <v>1.5345763805517858E-3</v>
      </c>
      <c r="AP39" s="97">
        <v>1.692448448793636E-3</v>
      </c>
      <c r="AQ39" s="97">
        <v>1.8573288677291395E-3</v>
      </c>
      <c r="AR39" s="97">
        <v>2.0289075524883462E-3</v>
      </c>
      <c r="AS39" s="97">
        <v>2.2068623880972201E-3</v>
      </c>
      <c r="AT39" s="97">
        <v>2.3908627245819145E-3</v>
      </c>
      <c r="AU39" s="97">
        <v>2.5805724958173882E-3</v>
      </c>
      <c r="AV39" s="97">
        <v>2.7756529781932772E-3</v>
      </c>
      <c r="AW39" s="97">
        <v>2.975765209270914E-3</v>
      </c>
      <c r="AX39" s="97">
        <v>3.1805720892135181E-3</v>
      </c>
    </row>
    <row r="40" spans="6:50" x14ac:dyDescent="0.25">
      <c r="N40" s="97">
        <v>5.4130512678981925E-9</v>
      </c>
      <c r="O40" s="97">
        <v>2.8125778760875276E-8</v>
      </c>
      <c r="P40" s="97">
        <v>9.0052426435753639E-8</v>
      </c>
      <c r="Q40" s="97">
        <v>2.4313229437934952E-7</v>
      </c>
      <c r="R40" s="97">
        <v>5.7019710356826989E-7</v>
      </c>
      <c r="S40" s="97">
        <v>1.1891238609802053E-6</v>
      </c>
      <c r="T40" s="97">
        <v>2.2628413669245988E-6</v>
      </c>
      <c r="U40" s="97">
        <v>3.9994314411116239E-6</v>
      </c>
      <c r="V40" s="97">
        <v>6.6503894540280588E-6</v>
      </c>
      <c r="W40" s="97">
        <v>1.0506947382551703E-5</v>
      </c>
      <c r="X40" s="97">
        <v>1.5893871055893242E-5</v>
      </c>
      <c r="Y40" s="97">
        <v>2.3161824336424849E-5</v>
      </c>
      <c r="Z40" s="97">
        <v>3.2678697046048751E-5</v>
      </c>
      <c r="AA40" s="97">
        <v>4.4820820650062623E-5</v>
      </c>
      <c r="AB40" s="97">
        <v>5.9964409266728482E-5</v>
      </c>
      <c r="AC40" s="97">
        <v>7.8477643514895045E-5</v>
      </c>
      <c r="AD40" s="97">
        <v>1.0071362662450005E-4</v>
      </c>
      <c r="AE40" s="97">
        <v>1.2700441202510588E-4</v>
      </c>
      <c r="AF40" s="97">
        <v>1.576561625592829E-4</v>
      </c>
      <c r="AG40" s="97">
        <v>1.9294543466292756E-4</v>
      </c>
      <c r="AH40" s="97">
        <v>2.3311653449640152E-4</v>
      </c>
      <c r="AI40" s="97">
        <v>2.7837985720982953E-4</v>
      </c>
      <c r="AJ40" s="97">
        <v>3.2891109932327989E-4</v>
      </c>
      <c r="AK40" s="97">
        <v>3.8485122352951241E-4</v>
      </c>
      <c r="AL40" s="97">
        <v>4.4630705375481923E-4</v>
      </c>
      <c r="AM40" s="97">
        <v>5.1335238245765183E-4</v>
      </c>
      <c r="AN40" s="97">
        <v>5.8602948023341115E-4</v>
      </c>
      <c r="AO40" s="97">
        <v>6.6435090834256151E-4</v>
      </c>
      <c r="AP40" s="97">
        <v>7.4830154638512371E-4</v>
      </c>
      <c r="AQ40" s="97">
        <v>8.3784075940614025E-4</v>
      </c>
      <c r="AR40" s="97">
        <v>9.3290464045028441E-4</v>
      </c>
      <c r="AS40" s="97">
        <v>1.0334082756016153E-3</v>
      </c>
      <c r="AT40" s="97">
        <v>1.1392479885725287E-3</v>
      </c>
      <c r="AU40" s="97">
        <v>1.250303530876721E-3</v>
      </c>
      <c r="AV40" s="97">
        <v>1.3664401914670603E-3</v>
      </c>
      <c r="AW40" s="97">
        <v>1.4875108064770055E-3</v>
      </c>
      <c r="AX40" s="97">
        <v>1.6133576554302478E-3</v>
      </c>
    </row>
    <row r="41" spans="6:50" x14ac:dyDescent="0.25">
      <c r="P41" s="97">
        <v>4.8033905746848244E-9</v>
      </c>
      <c r="Q41" s="97">
        <v>2.0182768335087539E-8</v>
      </c>
      <c r="R41" s="97">
        <v>5.4976572051303885E-8</v>
      </c>
      <c r="S41" s="97">
        <v>1.340270640454361E-7</v>
      </c>
      <c r="T41" s="97">
        <v>2.9451131661415518E-7</v>
      </c>
      <c r="U41" s="97">
        <v>5.8788857760270151E-7</v>
      </c>
      <c r="V41" s="97">
        <v>1.0865073777178313E-6</v>
      </c>
      <c r="W41" s="97">
        <v>1.8840874126749243E-6</v>
      </c>
      <c r="X41" s="97">
        <v>3.0970645819880979E-6</v>
      </c>
      <c r="Y41" s="97">
        <v>4.8633889491272518E-6</v>
      </c>
      <c r="Z41" s="97">
        <v>7.3418779509142948E-6</v>
      </c>
      <c r="AA41" s="97">
        <v>1.0709971437772387E-5</v>
      </c>
      <c r="AB41" s="97">
        <v>1.5160927514166073E-5</v>
      </c>
      <c r="AC41" s="97">
        <v>2.09003155200184E-5</v>
      </c>
      <c r="AD41" s="97">
        <v>2.8142409802507981E-5</v>
      </c>
      <c r="AE41" s="97">
        <v>3.7106458795425872E-5</v>
      </c>
      <c r="AF41" s="97">
        <v>4.8012992979060983E-5</v>
      </c>
      <c r="AG41" s="97">
        <v>6.1080324854814657E-5</v>
      </c>
      <c r="AH41" s="97">
        <v>7.6521336490508872E-5</v>
      </c>
      <c r="AI41" s="97">
        <v>9.4540622255432713E-5</v>
      </c>
      <c r="AJ41" s="97">
        <v>1.1533202407971111E-4</v>
      </c>
      <c r="AK41" s="97">
        <v>1.3907657800437493E-4</v>
      </c>
      <c r="AL41" s="97">
        <v>1.6594087114363954E-4</v>
      </c>
      <c r="AM41" s="97">
        <v>1.960757939214778E-4</v>
      </c>
      <c r="AN41" s="97">
        <v>2.2961566260106903E-4</v>
      </c>
      <c r="AO41" s="97">
        <v>2.6667767954192587E-4</v>
      </c>
      <c r="AP41" s="97">
        <v>3.07361695245076E-4</v>
      </c>
      <c r="AQ41" s="97">
        <v>3.5175023444731672E-4</v>
      </c>
      <c r="AR41" s="97">
        <v>3.9990874843092719E-4</v>
      </c>
      <c r="AS41" s="97">
        <v>4.5188605681231313E-4</v>
      </c>
      <c r="AT41" s="97">
        <v>5.0771494419986384E-4</v>
      </c>
      <c r="AU41" s="97">
        <v>5.6741287981763703E-4</v>
      </c>
      <c r="AV41" s="97">
        <v>6.3098283122645863E-4</v>
      </c>
      <c r="AW41" s="97">
        <v>6.9841414646110655E-4</v>
      </c>
      <c r="AX41" s="97">
        <v>7.6968348206994349E-4</v>
      </c>
    </row>
    <row r="42" spans="6:50" x14ac:dyDescent="0.25">
      <c r="R42" s="97">
        <v>3.4468634634463011E-9</v>
      </c>
      <c r="S42" s="97">
        <v>1.2835899417431734E-8</v>
      </c>
      <c r="T42" s="97">
        <v>3.1445886272988646E-8</v>
      </c>
      <c r="U42" s="97">
        <v>7.1259203711172262E-8</v>
      </c>
      <c r="V42" s="97">
        <v>1.4790246005035828E-7</v>
      </c>
      <c r="W42" s="97">
        <v>2.8735704495554012E-7</v>
      </c>
      <c r="X42" s="97">
        <v>5.1956793093965007E-7</v>
      </c>
      <c r="Y42" s="97">
        <v>8.8741289948509107E-7</v>
      </c>
      <c r="Z42" s="97">
        <v>1.4446562007269794E-6</v>
      </c>
      <c r="AA42" s="97">
        <v>2.2571325461639759E-6</v>
      </c>
      <c r="AB42" s="97">
        <v>3.4016645675541504E-6</v>
      </c>
      <c r="AC42" s="97">
        <v>4.966576233617236E-6</v>
      </c>
      <c r="AD42" s="97">
        <v>7.050930103229198E-6</v>
      </c>
      <c r="AE42" s="97">
        <v>9.7633895320662754E-6</v>
      </c>
      <c r="AF42" s="97">
        <v>1.3220913832217217E-5</v>
      </c>
      <c r="AG42" s="97">
        <v>1.754725326269881E-5</v>
      </c>
      <c r="AH42" s="97">
        <v>2.2871323643833509E-5</v>
      </c>
      <c r="AI42" s="97">
        <v>2.9325506273843647E-5</v>
      </c>
      <c r="AJ42" s="97">
        <v>3.704395104909678E-5</v>
      </c>
      <c r="AK42" s="97">
        <v>4.6160927215132187E-5</v>
      </c>
      <c r="AL42" s="97">
        <v>5.6809260555521743E-5</v>
      </c>
      <c r="AM42" s="97">
        <v>6.9118889396873882E-5</v>
      </c>
      <c r="AN42" s="97">
        <v>8.3215557032678943E-5</v>
      </c>
      <c r="AO42" s="97">
        <v>9.9219657416140596E-5</v>
      </c>
      <c r="AP42" s="97">
        <v>1.1724524156466141E-4</v>
      </c>
      <c r="AQ42" s="97">
        <v>1.3739918622914893E-4</v>
      </c>
      <c r="AR42" s="97">
        <v>1.5978052121518678E-4</v>
      </c>
      <c r="AS42" s="97">
        <v>1.8447990872679033E-4</v>
      </c>
      <c r="AT42" s="97">
        <v>2.1157926551365768E-4</v>
      </c>
      <c r="AU42" s="97">
        <v>2.4115151675672451E-4</v>
      </c>
      <c r="AV42" s="97">
        <v>2.7326046952230596E-4</v>
      </c>
      <c r="AW42" s="97">
        <v>3.0796079294900369E-4</v>
      </c>
      <c r="AX42" s="97">
        <v>3.4529809225702874E-4</v>
      </c>
    </row>
    <row r="43" spans="6:50" x14ac:dyDescent="0.25">
      <c r="T43" s="97">
        <v>2.1921468843050014E-9</v>
      </c>
      <c r="U43" s="97">
        <v>7.5625536922545897E-9</v>
      </c>
      <c r="V43" s="97">
        <v>1.9732378050752347E-8</v>
      </c>
      <c r="W43" s="97">
        <v>3.8412753514986455E-8</v>
      </c>
      <c r="X43" s="97">
        <v>7.4681492957635059E-8</v>
      </c>
      <c r="Y43" s="97">
        <v>1.3851578774010194E-7</v>
      </c>
      <c r="Z43" s="97">
        <v>2.4757809886542254E-7</v>
      </c>
      <c r="AA43" s="97">
        <v>4.1806344846937768E-7</v>
      </c>
      <c r="AB43" s="97">
        <v>6.7523911988524582E-7</v>
      </c>
      <c r="AC43" s="97">
        <v>1.0503327359908282E-6</v>
      </c>
      <c r="AD43" s="97">
        <v>1.5804494531841582E-6</v>
      </c>
      <c r="AE43" s="97">
        <v>2.3091302564482754E-6</v>
      </c>
      <c r="AF43" s="97">
        <v>3.2863232595874161E-6</v>
      </c>
      <c r="AG43" s="97">
        <v>4.5682336397585632E-6</v>
      </c>
      <c r="AH43" s="97">
        <v>6.2169056606409087E-6</v>
      </c>
      <c r="AI43" s="97">
        <v>8.2997575726418625E-6</v>
      </c>
      <c r="AJ43" s="97">
        <v>1.0888984048989872E-5</v>
      </c>
      <c r="AK43" s="97">
        <v>1.4060862972925247E-5</v>
      </c>
      <c r="AL43" s="97">
        <v>1.7895007529242408E-5</v>
      </c>
      <c r="AM43" s="97">
        <v>2.2473555018736597E-5</v>
      </c>
      <c r="AN43" s="97">
        <v>2.788035009337132E-5</v>
      </c>
      <c r="AO43" s="97">
        <v>3.4200133307623503E-5</v>
      </c>
      <c r="AP43" s="97">
        <v>4.1517751772556725E-5</v>
      </c>
      <c r="AQ43" s="97">
        <v>4.9917402963885706E-5</v>
      </c>
      <c r="AR43" s="97">
        <v>5.9481925457571107E-5</v>
      </c>
      <c r="AS43" s="97">
        <v>7.0292145660318317E-5</v>
      </c>
      <c r="AT43" s="97">
        <v>8.2426286628621459E-5</v>
      </c>
      <c r="AU43" s="97">
        <v>9.5959443001824806E-5</v>
      </c>
      <c r="AV43" s="97">
        <v>1.1096312331936964E-4</v>
      </c>
      <c r="AW43" s="97">
        <v>1.2750485992499503E-4</v>
      </c>
      <c r="AX43" s="97">
        <v>1.4564788524950903E-4</v>
      </c>
    </row>
    <row r="44" spans="6:50" x14ac:dyDescent="0.25">
      <c r="W44" s="97">
        <v>3.3699446884984493E-9</v>
      </c>
      <c r="X44" s="97">
        <v>9.9301704426129686E-9</v>
      </c>
      <c r="Y44" s="97">
        <v>2.2684461885563455E-8</v>
      </c>
      <c r="Z44" s="97">
        <v>3.8777533264528163E-8</v>
      </c>
      <c r="AA44" s="97">
        <v>6.8131107606423757E-8</v>
      </c>
      <c r="AB44" s="97">
        <v>1.1852104898060919E-7</v>
      </c>
      <c r="AC44" s="97">
        <v>1.9735514488408357E-7</v>
      </c>
      <c r="AD44" s="97">
        <v>3.1624676677000627E-7</v>
      </c>
      <c r="AE44" s="97">
        <v>4.8974474828166361E-7</v>
      </c>
      <c r="AF44" s="97">
        <v>7.3589857456134761E-7</v>
      </c>
      <c r="AG44" s="97">
        <v>1.0758837982322421E-6</v>
      </c>
      <c r="AH44" s="97">
        <v>1.5345623170496422E-6</v>
      </c>
      <c r="AI44" s="97">
        <v>2.1404996911449387E-6</v>
      </c>
      <c r="AJ44" s="97">
        <v>2.9259339079309668E-6</v>
      </c>
      <c r="AK44" s="97">
        <v>3.9267498624122186E-6</v>
      </c>
      <c r="AL44" s="97">
        <v>5.1821981511929303E-6</v>
      </c>
      <c r="AM44" s="97">
        <v>6.7347141603797873E-6</v>
      </c>
      <c r="AN44" s="97">
        <v>8.6296494467102383E-6</v>
      </c>
      <c r="AO44" s="97">
        <v>1.0914956280859956E-5</v>
      </c>
      <c r="AP44" s="97">
        <v>1.3640816683321672E-5</v>
      </c>
      <c r="AQ44" s="97">
        <v>1.6859253720159424E-5</v>
      </c>
      <c r="AR44" s="97">
        <v>2.0623728150851537E-5</v>
      </c>
      <c r="AS44" s="97">
        <v>2.4988727694794666E-5</v>
      </c>
      <c r="AT44" s="97">
        <v>3.0009358371814724E-5</v>
      </c>
      <c r="AU44" s="97">
        <v>3.5740940849334083E-5</v>
      </c>
      <c r="AV44" s="97">
        <v>4.2238620615270795E-5</v>
      </c>
      <c r="AW44" s="97">
        <v>4.9556997196288141E-5</v>
      </c>
      <c r="AX44" s="97">
        <v>5.7749776411881936E-5</v>
      </c>
    </row>
    <row r="45" spans="6:50" x14ac:dyDescent="0.25">
      <c r="Z45" s="97">
        <v>3.8741089211901799E-9</v>
      </c>
      <c r="AA45" s="97">
        <v>1.0496632669810697E-8</v>
      </c>
      <c r="AB45" s="97">
        <v>1.8632655472190684E-8</v>
      </c>
      <c r="AC45" s="97">
        <v>3.2661847873775557E-8</v>
      </c>
      <c r="AD45" s="97">
        <v>5.5477190612321476E-8</v>
      </c>
      <c r="AE45" s="97">
        <v>9.2706582514593655E-8</v>
      </c>
      <c r="AF45" s="97">
        <v>1.4812269694460118E-7</v>
      </c>
      <c r="AG45" s="97">
        <v>2.2878144338884231E-7</v>
      </c>
      <c r="AH45" s="97">
        <v>3.4327073735857615E-7</v>
      </c>
      <c r="AI45" s="97">
        <v>5.0193588895946373E-7</v>
      </c>
      <c r="AJ45" s="97">
        <v>7.1747827809009317E-7</v>
      </c>
      <c r="AK45" s="97">
        <v>1.0040587354591174E-6</v>
      </c>
      <c r="AL45" s="97">
        <v>1.3781232191989037E-6</v>
      </c>
      <c r="AM45" s="97">
        <v>1.8583444780534559E-6</v>
      </c>
      <c r="AN45" s="97">
        <v>2.4656410762889188E-6</v>
      </c>
      <c r="AO45" s="97">
        <v>3.2230414951697523E-6</v>
      </c>
      <c r="AP45" s="97">
        <v>4.1556434664142834E-6</v>
      </c>
      <c r="AQ45" s="97">
        <v>5.2905211311478912E-6</v>
      </c>
      <c r="AR45" s="97">
        <v>6.656597568990752E-6</v>
      </c>
      <c r="AS45" s="97">
        <v>8.2845015320116036E-6</v>
      </c>
      <c r="AT45" s="97">
        <v>1.0206381259186055E-5</v>
      </c>
      <c r="AU45" s="97">
        <v>1.2455713353409416E-5</v>
      </c>
      <c r="AV45" s="97">
        <v>1.5067101334896251E-5</v>
      </c>
      <c r="AW45" s="97">
        <v>1.8076066799525249E-5</v>
      </c>
      <c r="AX45" s="97">
        <v>2.1518833930521805E-5</v>
      </c>
    </row>
    <row r="46" spans="6:50" x14ac:dyDescent="0.25">
      <c r="AB46" s="97">
        <v>1.7926410806529596E-9</v>
      </c>
      <c r="AC46" s="97">
        <v>4.9747724071284524E-9</v>
      </c>
      <c r="AD46" s="97">
        <v>1.0552844166936587E-8</v>
      </c>
      <c r="AE46" s="97">
        <v>1.6509058582600267E-8</v>
      </c>
      <c r="AF46" s="97">
        <v>2.6837599320920025E-8</v>
      </c>
      <c r="AG46" s="97">
        <v>4.3186706499199602E-8</v>
      </c>
      <c r="AH46" s="97">
        <v>6.786012275434178E-8</v>
      </c>
      <c r="AI46" s="97">
        <v>1.0655648863792011E-7</v>
      </c>
      <c r="AJ46" s="97">
        <v>1.6043439556438559E-7</v>
      </c>
      <c r="AK46" s="97">
        <v>2.3489201227499123E-7</v>
      </c>
      <c r="AL46" s="97">
        <v>3.3611906920701578E-7</v>
      </c>
      <c r="AM46" s="97">
        <v>4.7164297950834784E-7</v>
      </c>
      <c r="AN46" s="97">
        <v>6.496972642535225E-7</v>
      </c>
      <c r="AO46" s="97">
        <v>8.7985984703479121E-7</v>
      </c>
      <c r="AP46" s="97">
        <v>1.1730384273189153E-6</v>
      </c>
      <c r="AQ46" s="97">
        <v>1.5414754049015828E-6</v>
      </c>
      <c r="AR46" s="97">
        <v>1.9988130116126565E-6</v>
      </c>
      <c r="AS46" s="97">
        <v>2.5599670130073016E-6</v>
      </c>
      <c r="AT46" s="97">
        <v>3.2411438048139015E-6</v>
      </c>
      <c r="AU46" s="97">
        <v>4.059809006875242E-6</v>
      </c>
      <c r="AV46" s="97">
        <v>5.0346383803178118E-6</v>
      </c>
      <c r="AW46" s="97">
        <v>6.185438184053068E-6</v>
      </c>
      <c r="AX46" s="97">
        <v>7.533060573567274E-6</v>
      </c>
    </row>
    <row r="47" spans="6:50" x14ac:dyDescent="0.25">
      <c r="AE47" s="97">
        <v>1.8022410201885059E-9</v>
      </c>
      <c r="AF47" s="97">
        <v>4.6216991787260032E-9</v>
      </c>
      <c r="AG47" s="97">
        <v>9.2050912590415859E-9</v>
      </c>
      <c r="AH47" s="97">
        <v>1.6580624598532612E-8</v>
      </c>
      <c r="AI47" s="97">
        <v>2.2641964920889906E-8</v>
      </c>
      <c r="AJ47" s="97">
        <v>3.3291116058457801E-8</v>
      </c>
      <c r="AK47" s="97">
        <v>4.9591243213422437E-8</v>
      </c>
      <c r="AL47" s="97">
        <v>7.5186832029352825E-8</v>
      </c>
      <c r="AM47" s="97">
        <v>1.1024249602044592E-7</v>
      </c>
      <c r="AN47" s="97">
        <v>1.5793706880908275E-7</v>
      </c>
      <c r="AO47" s="97">
        <v>2.2189989079114388E-7</v>
      </c>
      <c r="AP47" s="97">
        <v>3.063437573491995E-7</v>
      </c>
      <c r="AQ47" s="97">
        <v>4.165427559630324E-7</v>
      </c>
      <c r="AR47" s="97">
        <v>5.5792249155098598E-7</v>
      </c>
      <c r="AS47" s="97">
        <v>7.3683339938926109E-7</v>
      </c>
      <c r="AT47" s="97">
        <v>9.6048306899882839E-7</v>
      </c>
      <c r="AU47" s="97">
        <v>1.2369638728296755E-6</v>
      </c>
      <c r="AV47" s="97">
        <v>1.5751759676013609E-6</v>
      </c>
      <c r="AW47" s="97">
        <v>1.9848528489919576E-6</v>
      </c>
      <c r="AX47" s="97">
        <v>2.4765605758227497E-6</v>
      </c>
    </row>
    <row r="48" spans="6:50" x14ac:dyDescent="0.25">
      <c r="AI48" s="97">
        <v>2.8316803810524541E-9</v>
      </c>
      <c r="AJ48" s="97">
        <v>6.6985315647302484E-9</v>
      </c>
      <c r="AK48" s="97">
        <v>1.2384071312999373E-8</v>
      </c>
      <c r="AL48" s="97">
        <v>1.6724537805083466E-8</v>
      </c>
      <c r="AM48" s="97">
        <v>2.3989171127082159E-8</v>
      </c>
      <c r="AN48" s="97">
        <v>3.4818669217546337E-8</v>
      </c>
      <c r="AO48" s="97">
        <v>5.0183010437878106E-8</v>
      </c>
      <c r="AP48" s="97">
        <v>7.3790245659571814E-8</v>
      </c>
      <c r="AQ48" s="97">
        <v>1.0452801478202294E-7</v>
      </c>
      <c r="AR48" s="97">
        <v>1.4487989259725417E-7</v>
      </c>
      <c r="AS48" s="97">
        <v>1.9747190521653226E-7</v>
      </c>
      <c r="AT48" s="97">
        <v>2.655018921967095E-7</v>
      </c>
      <c r="AU48" s="97">
        <v>3.521857388243956E-7</v>
      </c>
      <c r="AV48" s="97">
        <v>4.6128170141783261E-7</v>
      </c>
      <c r="AW48" s="97">
        <v>5.9706452539172746E-7</v>
      </c>
      <c r="AX48" s="97">
        <v>7.6432668024378364E-7</v>
      </c>
    </row>
    <row r="49" spans="38:50" x14ac:dyDescent="0.25">
      <c r="AL49" s="97">
        <v>2.1149825548594384E-9</v>
      </c>
      <c r="AM49" s="97">
        <v>4.971240791899628E-9</v>
      </c>
      <c r="AN49" s="97">
        <v>9.0681712081564745E-9</v>
      </c>
      <c r="AO49" s="97">
        <v>1.5014590290969483E-8</v>
      </c>
      <c r="AP49" s="97">
        <v>1.8579105192403111E-8</v>
      </c>
      <c r="AQ49" s="97">
        <v>2.4986913216193863E-8</v>
      </c>
      <c r="AR49" s="97">
        <v>3.4507830733262909E-8</v>
      </c>
      <c r="AS49" s="97">
        <v>4.9372782335572991E-8</v>
      </c>
      <c r="AT49" s="97">
        <v>6.8679499928445002E-8</v>
      </c>
      <c r="AU49" s="97">
        <v>9.3857790725167721E-8</v>
      </c>
      <c r="AV49" s="97">
        <v>1.2644193509204815E-7</v>
      </c>
      <c r="AW49" s="97">
        <v>1.6815753813865541E-7</v>
      </c>
      <c r="AX49" s="97">
        <v>2.2124960491423211E-7</v>
      </c>
    </row>
    <row r="50" spans="38:50" x14ac:dyDescent="0.25">
      <c r="AP50" s="97">
        <v>2.5642291400911891E-9</v>
      </c>
      <c r="AQ50" s="97">
        <v>5.737215016358468E-9</v>
      </c>
      <c r="AR50" s="97">
        <v>1.0004542312558296E-8</v>
      </c>
      <c r="AS50" s="97">
        <v>1.2562361048546209E-8</v>
      </c>
      <c r="AT50" s="97">
        <v>1.6806076446756016E-8</v>
      </c>
      <c r="AU50" s="97">
        <v>2.2932186394450634E-8</v>
      </c>
      <c r="AV50" s="97">
        <v>3.1315862418341959E-8</v>
      </c>
      <c r="AW50" s="97">
        <v>4.4199575241460578E-8</v>
      </c>
      <c r="AX50" s="97">
        <v>6.0204964056537931E-8</v>
      </c>
    </row>
    <row r="51" spans="38:50" x14ac:dyDescent="0.25">
      <c r="AS51" s="97">
        <v>1.7086006633540883E-9</v>
      </c>
      <c r="AT51" s="97">
        <v>3.8540319834752437E-9</v>
      </c>
      <c r="AU51" s="97">
        <v>6.7242155929003911E-9</v>
      </c>
      <c r="AV51" s="97">
        <v>1.0640631522945917E-8</v>
      </c>
      <c r="AW51" s="97">
        <v>1.2441245803549588E-8</v>
      </c>
      <c r="AX51" s="97">
        <v>1.5841847829442916E-8</v>
      </c>
    </row>
    <row r="52" spans="38:50" x14ac:dyDescent="0.25">
      <c r="AW52" s="97">
        <v>1.8172335635772851E-9</v>
      </c>
      <c r="AX52" s="97">
        <v>3.9419805203886507E-9</v>
      </c>
    </row>
  </sheetData>
  <mergeCells count="1">
    <mergeCell ref="A1:C3"/>
  </mergeCells>
  <conditionalFormatting sqref="A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80"/>
  <sheetViews>
    <sheetView zoomScale="85" zoomScaleNormal="85" workbookViewId="0">
      <selection activeCell="K52" sqref="K52"/>
    </sheetView>
  </sheetViews>
  <sheetFormatPr baseColWidth="10" defaultColWidth="10.85546875" defaultRowHeight="15" x14ac:dyDescent="0.25"/>
  <cols>
    <col min="5" max="5" width="14.85546875" customWidth="1"/>
  </cols>
  <sheetData>
    <row r="2" spans="2:18" ht="38.25" customHeight="1" x14ac:dyDescent="0.25">
      <c r="B2" s="86" t="s">
        <v>10</v>
      </c>
      <c r="C2" s="86"/>
      <c r="D2" s="86"/>
      <c r="E2" s="86"/>
      <c r="F2" s="86"/>
      <c r="G2" s="86"/>
      <c r="H2" s="86"/>
      <c r="L2" s="86" t="s">
        <v>11</v>
      </c>
      <c r="M2" s="86"/>
      <c r="N2" s="86"/>
      <c r="O2" s="86"/>
      <c r="P2" s="86"/>
      <c r="Q2" s="86"/>
      <c r="R2" s="86"/>
    </row>
    <row r="3" spans="2:18" x14ac:dyDescent="0.25">
      <c r="B3" s="87"/>
      <c r="C3" s="87"/>
      <c r="D3" s="87"/>
      <c r="E3" s="87"/>
      <c r="F3" s="87"/>
      <c r="G3" s="87"/>
      <c r="H3" s="87"/>
      <c r="L3" s="87"/>
      <c r="M3" s="87"/>
      <c r="N3" s="87"/>
      <c r="O3" s="87"/>
      <c r="P3" s="87"/>
      <c r="Q3" s="87"/>
      <c r="R3" s="87"/>
    </row>
    <row r="4" spans="2:18" x14ac:dyDescent="0.25">
      <c r="B4" s="87"/>
      <c r="C4" s="87"/>
      <c r="D4" s="87"/>
      <c r="E4" s="87"/>
      <c r="F4" s="87"/>
      <c r="G4" s="87"/>
      <c r="H4" s="87"/>
      <c r="L4" s="87"/>
      <c r="M4" s="87"/>
      <c r="N4" s="87"/>
      <c r="O4" s="87"/>
      <c r="P4" s="87"/>
      <c r="Q4" s="87"/>
      <c r="R4" s="87"/>
    </row>
    <row r="5" spans="2:18" x14ac:dyDescent="0.25">
      <c r="B5" s="87"/>
      <c r="C5" s="87"/>
      <c r="D5" s="87"/>
      <c r="E5" s="87"/>
      <c r="F5" s="87"/>
      <c r="G5" s="87"/>
      <c r="H5" s="87"/>
      <c r="L5" s="87"/>
      <c r="M5" s="87"/>
      <c r="N5" s="87"/>
      <c r="O5" s="87"/>
      <c r="P5" s="87"/>
      <c r="Q5" s="87"/>
      <c r="R5" s="87"/>
    </row>
    <row r="6" spans="2:18" x14ac:dyDescent="0.25">
      <c r="B6" s="87"/>
      <c r="C6" s="87"/>
      <c r="D6" s="87"/>
      <c r="E6" s="87"/>
      <c r="F6" s="87"/>
      <c r="G6" s="87"/>
      <c r="H6" s="87"/>
      <c r="L6" s="87"/>
      <c r="M6" s="87"/>
      <c r="N6" s="87"/>
      <c r="O6" s="87"/>
      <c r="P6" s="87"/>
      <c r="Q6" s="87"/>
      <c r="R6" s="87"/>
    </row>
    <row r="7" spans="2:18" x14ac:dyDescent="0.25">
      <c r="B7" s="87"/>
      <c r="C7" s="87"/>
      <c r="D7" s="87"/>
      <c r="E7" s="87"/>
      <c r="F7" s="87"/>
      <c r="G7" s="87"/>
      <c r="H7" s="87"/>
      <c r="L7" s="87"/>
      <c r="M7" s="87"/>
      <c r="N7" s="87"/>
      <c r="O7" s="87"/>
      <c r="P7" s="87"/>
      <c r="Q7" s="87"/>
      <c r="R7" s="87"/>
    </row>
    <row r="8" spans="2:18" x14ac:dyDescent="0.25">
      <c r="B8" s="87"/>
      <c r="C8" s="87"/>
      <c r="D8" s="87"/>
      <c r="E8" s="87"/>
      <c r="F8" s="87"/>
      <c r="G8" s="87"/>
      <c r="H8" s="87"/>
      <c r="L8" s="87"/>
      <c r="M8" s="87"/>
      <c r="N8" s="87"/>
      <c r="O8" s="87"/>
      <c r="P8" s="87"/>
      <c r="Q8" s="87"/>
      <c r="R8" s="87"/>
    </row>
    <row r="9" spans="2:18" x14ac:dyDescent="0.25">
      <c r="B9" s="87"/>
      <c r="C9" s="87"/>
      <c r="D9" s="87"/>
      <c r="E9" s="87"/>
      <c r="F9" s="87"/>
      <c r="G9" s="87"/>
      <c r="H9" s="87"/>
      <c r="L9" s="87"/>
      <c r="M9" s="87"/>
      <c r="N9" s="87"/>
      <c r="O9" s="87"/>
      <c r="P9" s="87"/>
      <c r="Q9" s="87"/>
      <c r="R9" s="87"/>
    </row>
    <row r="10" spans="2:18" x14ac:dyDescent="0.25">
      <c r="B10" s="87"/>
      <c r="C10" s="87"/>
      <c r="D10" s="87"/>
      <c r="E10" s="87"/>
      <c r="F10" s="87"/>
      <c r="G10" s="87"/>
      <c r="H10" s="87"/>
      <c r="L10" s="87"/>
      <c r="M10" s="87"/>
      <c r="N10" s="87"/>
      <c r="O10" s="87"/>
      <c r="P10" s="87"/>
      <c r="Q10" s="87"/>
      <c r="R10" s="87"/>
    </row>
    <row r="11" spans="2:18" x14ac:dyDescent="0.25">
      <c r="B11" s="87"/>
      <c r="C11" s="87"/>
      <c r="D11" s="87"/>
      <c r="E11" s="87"/>
      <c r="F11" s="87"/>
      <c r="G11" s="87"/>
      <c r="H11" s="87"/>
      <c r="L11" s="87"/>
      <c r="M11" s="87"/>
      <c r="N11" s="87"/>
      <c r="O11" s="87"/>
      <c r="P11" s="87"/>
      <c r="Q11" s="87"/>
      <c r="R11" s="87"/>
    </row>
    <row r="12" spans="2:18" x14ac:dyDescent="0.25">
      <c r="B12" s="87"/>
      <c r="C12" s="87"/>
      <c r="D12" s="87"/>
      <c r="E12" s="87"/>
      <c r="F12" s="87"/>
      <c r="G12" s="87"/>
      <c r="H12" s="87"/>
      <c r="L12" s="87"/>
      <c r="M12" s="87"/>
      <c r="N12" s="87"/>
      <c r="O12" s="87"/>
      <c r="P12" s="87"/>
      <c r="Q12" s="87"/>
      <c r="R12" s="87"/>
    </row>
    <row r="13" spans="2:18" x14ac:dyDescent="0.25">
      <c r="B13" s="87"/>
      <c r="C13" s="87"/>
      <c r="D13" s="87"/>
      <c r="E13" s="87"/>
      <c r="F13" s="87"/>
      <c r="G13" s="87"/>
      <c r="H13" s="87"/>
      <c r="L13" s="87"/>
      <c r="M13" s="87"/>
      <c r="N13" s="87"/>
      <c r="O13" s="87"/>
      <c r="P13" s="87"/>
      <c r="Q13" s="87"/>
      <c r="R13" s="87"/>
    </row>
    <row r="14" spans="2:18" x14ac:dyDescent="0.25">
      <c r="B14" s="87"/>
      <c r="C14" s="87"/>
      <c r="D14" s="87"/>
      <c r="E14" s="87"/>
      <c r="F14" s="87"/>
      <c r="G14" s="87"/>
      <c r="H14" s="87"/>
      <c r="L14" s="87"/>
      <c r="M14" s="87"/>
      <c r="N14" s="87"/>
      <c r="O14" s="87"/>
      <c r="P14" s="87"/>
      <c r="Q14" s="87"/>
      <c r="R14" s="87"/>
    </row>
    <row r="15" spans="2:18" x14ac:dyDescent="0.25">
      <c r="B15" s="87"/>
      <c r="C15" s="87"/>
      <c r="D15" s="87"/>
      <c r="E15" s="87"/>
      <c r="F15" s="87"/>
      <c r="G15" s="87"/>
      <c r="H15" s="87"/>
      <c r="L15" s="87"/>
      <c r="M15" s="87"/>
      <c r="N15" s="87"/>
      <c r="O15" s="87"/>
      <c r="P15" s="87"/>
      <c r="Q15" s="87"/>
      <c r="R15" s="87"/>
    </row>
    <row r="16" spans="2:18" x14ac:dyDescent="0.25">
      <c r="B16" s="87"/>
      <c r="C16" s="87"/>
      <c r="D16" s="87"/>
      <c r="E16" s="87"/>
      <c r="F16" s="87"/>
      <c r="G16" s="87"/>
      <c r="H16" s="87"/>
      <c r="L16" s="87"/>
      <c r="M16" s="87"/>
      <c r="N16" s="87"/>
      <c r="O16" s="87"/>
      <c r="P16" s="87"/>
      <c r="Q16" s="87"/>
      <c r="R16" s="87"/>
    </row>
    <row r="17" spans="2:18" x14ac:dyDescent="0.25">
      <c r="B17" s="87"/>
      <c r="C17" s="87"/>
      <c r="D17" s="87"/>
      <c r="E17" s="87"/>
      <c r="F17" s="87"/>
      <c r="G17" s="87"/>
      <c r="H17" s="87"/>
      <c r="L17" s="87"/>
      <c r="M17" s="87"/>
      <c r="N17" s="87"/>
      <c r="O17" s="87"/>
      <c r="P17" s="87"/>
      <c r="Q17" s="87"/>
      <c r="R17" s="87"/>
    </row>
    <row r="18" spans="2:18" x14ac:dyDescent="0.25">
      <c r="B18" s="87"/>
      <c r="C18" s="87"/>
      <c r="D18" s="87"/>
      <c r="E18" s="87"/>
      <c r="F18" s="87"/>
      <c r="G18" s="87"/>
      <c r="H18" s="87"/>
      <c r="L18" s="87"/>
      <c r="M18" s="87"/>
      <c r="N18" s="87"/>
      <c r="O18" s="87"/>
      <c r="P18" s="87"/>
      <c r="Q18" s="87"/>
      <c r="R18" s="87"/>
    </row>
    <row r="19" spans="2:18" x14ac:dyDescent="0.25">
      <c r="B19" s="87"/>
      <c r="C19" s="87"/>
      <c r="D19" s="87"/>
      <c r="E19" s="87"/>
      <c r="F19" s="87"/>
      <c r="G19" s="87"/>
      <c r="H19" s="87"/>
      <c r="L19" s="87"/>
      <c r="M19" s="87"/>
      <c r="N19" s="87"/>
      <c r="O19" s="87"/>
      <c r="P19" s="87"/>
      <c r="Q19" s="87"/>
      <c r="R19" s="87"/>
    </row>
    <row r="20" spans="2:18" x14ac:dyDescent="0.25">
      <c r="B20" s="87"/>
      <c r="C20" s="87"/>
      <c r="D20" s="87"/>
      <c r="E20" s="87"/>
      <c r="F20" s="87"/>
      <c r="G20" s="87"/>
      <c r="H20" s="87"/>
      <c r="L20" s="87"/>
      <c r="M20" s="87"/>
      <c r="N20" s="87"/>
      <c r="O20" s="87"/>
      <c r="P20" s="87"/>
      <c r="Q20" s="87"/>
      <c r="R20" s="87"/>
    </row>
    <row r="21" spans="2:18" x14ac:dyDescent="0.25">
      <c r="B21" s="87"/>
      <c r="C21" s="87"/>
      <c r="D21" s="87"/>
      <c r="E21" s="87"/>
      <c r="F21" s="87"/>
      <c r="G21" s="87"/>
      <c r="H21" s="87"/>
      <c r="L21" s="87"/>
      <c r="M21" s="87"/>
      <c r="N21" s="87"/>
      <c r="O21" s="87"/>
      <c r="P21" s="87"/>
      <c r="Q21" s="87"/>
      <c r="R21" s="87"/>
    </row>
    <row r="22" spans="2:18" x14ac:dyDescent="0.25">
      <c r="B22" s="87"/>
      <c r="C22" s="87"/>
      <c r="D22" s="87"/>
      <c r="E22" s="87"/>
      <c r="F22" s="87"/>
      <c r="G22" s="87"/>
      <c r="H22" s="87"/>
      <c r="L22" s="87"/>
      <c r="M22" s="87"/>
      <c r="N22" s="87"/>
      <c r="O22" s="87"/>
      <c r="P22" s="87"/>
      <c r="Q22" s="87"/>
      <c r="R22" s="87"/>
    </row>
    <row r="23" spans="2:18" x14ac:dyDescent="0.25">
      <c r="B23" s="87"/>
      <c r="C23" s="87"/>
      <c r="D23" s="87"/>
      <c r="E23" s="87"/>
      <c r="F23" s="87"/>
      <c r="G23" s="87"/>
      <c r="H23" s="87"/>
      <c r="L23" s="87"/>
      <c r="M23" s="87"/>
      <c r="N23" s="87"/>
      <c r="O23" s="87"/>
      <c r="P23" s="87"/>
      <c r="Q23" s="87"/>
      <c r="R23" s="87"/>
    </row>
    <row r="24" spans="2:18" x14ac:dyDescent="0.25">
      <c r="B24" s="87"/>
      <c r="C24" s="87"/>
      <c r="D24" s="87"/>
      <c r="E24" s="87"/>
      <c r="F24" s="87"/>
      <c r="G24" s="87"/>
      <c r="H24" s="87"/>
      <c r="J24" t="s">
        <v>19</v>
      </c>
      <c r="L24" s="87"/>
      <c r="M24" s="87"/>
      <c r="N24" s="87"/>
      <c r="O24" s="87"/>
      <c r="P24" s="87"/>
      <c r="Q24" s="87"/>
      <c r="R24" s="87"/>
    </row>
    <row r="25" spans="2:18" x14ac:dyDescent="0.25">
      <c r="B25" s="87"/>
      <c r="C25" s="87"/>
      <c r="D25" s="87"/>
      <c r="E25" s="87"/>
      <c r="F25" s="87"/>
      <c r="G25" s="87"/>
      <c r="H25" s="87"/>
      <c r="L25" s="87"/>
      <c r="M25" s="87"/>
      <c r="N25" s="87"/>
      <c r="O25" s="87"/>
      <c r="P25" s="87"/>
      <c r="Q25" s="87"/>
      <c r="R25" s="87"/>
    </row>
    <row r="26" spans="2:18" x14ac:dyDescent="0.25">
      <c r="B26" s="87"/>
      <c r="C26" s="87"/>
      <c r="D26" s="87"/>
      <c r="E26" s="87"/>
      <c r="F26" s="87"/>
      <c r="G26" s="87"/>
      <c r="H26" s="87"/>
      <c r="L26" s="87"/>
      <c r="M26" s="87"/>
      <c r="N26" s="87"/>
      <c r="O26" s="87"/>
      <c r="P26" s="87"/>
      <c r="Q26" s="87"/>
      <c r="R26" s="87"/>
    </row>
    <row r="27" spans="2:18" x14ac:dyDescent="0.25">
      <c r="B27" s="87"/>
      <c r="C27" s="87"/>
      <c r="D27" s="87"/>
      <c r="E27" s="87"/>
      <c r="F27" s="87"/>
      <c r="G27" s="87"/>
      <c r="H27" s="87"/>
      <c r="L27" s="87"/>
      <c r="M27" s="87"/>
      <c r="N27" s="87"/>
      <c r="O27" s="87"/>
      <c r="P27" s="87"/>
      <c r="Q27" s="87"/>
      <c r="R27" s="87"/>
    </row>
    <row r="28" spans="2:18" x14ac:dyDescent="0.25">
      <c r="B28" s="87"/>
      <c r="C28" s="87"/>
      <c r="D28" s="87"/>
      <c r="E28" s="87"/>
      <c r="F28" s="87"/>
      <c r="G28" s="87"/>
      <c r="H28" s="87"/>
      <c r="L28" s="87"/>
      <c r="M28" s="87"/>
      <c r="N28" s="87"/>
      <c r="O28" s="87"/>
      <c r="P28" s="87"/>
      <c r="Q28" s="87"/>
      <c r="R28" s="87"/>
    </row>
    <row r="29" spans="2:18" x14ac:dyDescent="0.25">
      <c r="B29" s="87"/>
      <c r="C29" s="87"/>
      <c r="D29" s="87"/>
      <c r="E29" s="87"/>
      <c r="F29" s="87"/>
      <c r="G29" s="87"/>
      <c r="H29" s="87"/>
      <c r="L29" s="87"/>
      <c r="M29" s="87"/>
      <c r="N29" s="87"/>
      <c r="O29" s="87"/>
      <c r="P29" s="87"/>
      <c r="Q29" s="87"/>
      <c r="R29" s="87"/>
    </row>
    <row r="30" spans="2:18" x14ac:dyDescent="0.25">
      <c r="B30" s="87"/>
      <c r="C30" s="87"/>
      <c r="D30" s="87"/>
      <c r="E30" s="87"/>
      <c r="F30" s="87"/>
      <c r="G30" s="87"/>
      <c r="H30" s="87"/>
      <c r="L30" s="87"/>
      <c r="M30" s="87"/>
      <c r="N30" s="87"/>
      <c r="O30" s="87"/>
      <c r="P30" s="87"/>
      <c r="Q30" s="87"/>
      <c r="R30" s="87"/>
    </row>
    <row r="31" spans="2:18" x14ac:dyDescent="0.25">
      <c r="B31" s="87"/>
      <c r="C31" s="87"/>
      <c r="D31" s="87"/>
      <c r="E31" s="87"/>
      <c r="F31" s="87"/>
      <c r="G31" s="87"/>
      <c r="H31" s="87"/>
      <c r="L31" s="87"/>
      <c r="M31" s="87"/>
      <c r="N31" s="87"/>
      <c r="O31" s="87"/>
      <c r="P31" s="87"/>
      <c r="Q31" s="87"/>
      <c r="R31" s="87"/>
    </row>
    <row r="32" spans="2:18" x14ac:dyDescent="0.25">
      <c r="B32" s="87"/>
      <c r="C32" s="87"/>
      <c r="D32" s="87"/>
      <c r="E32" s="87"/>
      <c r="F32" s="87"/>
      <c r="G32" s="87"/>
      <c r="H32" s="87"/>
      <c r="L32" s="87"/>
      <c r="M32" s="87"/>
      <c r="N32" s="87"/>
      <c r="O32" s="87"/>
      <c r="P32" s="87"/>
      <c r="Q32" s="87"/>
      <c r="R32" s="87"/>
    </row>
    <row r="33" spans="2:18" x14ac:dyDescent="0.25">
      <c r="B33" s="87"/>
      <c r="C33" s="87"/>
      <c r="D33" s="87"/>
      <c r="E33" s="87"/>
      <c r="F33" s="87"/>
      <c r="G33" s="87"/>
      <c r="H33" s="87"/>
      <c r="L33" s="87"/>
      <c r="M33" s="87"/>
      <c r="N33" s="87"/>
      <c r="O33" s="87"/>
      <c r="P33" s="87"/>
      <c r="Q33" s="87"/>
      <c r="R33" s="87"/>
    </row>
    <row r="34" spans="2:18" x14ac:dyDescent="0.25">
      <c r="B34" s="87"/>
      <c r="C34" s="87"/>
      <c r="D34" s="87"/>
      <c r="E34" s="87"/>
      <c r="F34" s="87"/>
      <c r="G34" s="87"/>
      <c r="H34" s="87"/>
      <c r="L34" s="87"/>
      <c r="M34" s="87"/>
      <c r="N34" s="87"/>
      <c r="O34" s="87"/>
      <c r="P34" s="87"/>
      <c r="Q34" s="87"/>
      <c r="R34" s="87"/>
    </row>
    <row r="35" spans="2:18" x14ac:dyDescent="0.25">
      <c r="B35" s="87"/>
      <c r="C35" s="87"/>
      <c r="D35" s="87"/>
      <c r="E35" s="87"/>
      <c r="F35" s="87"/>
      <c r="G35" s="87"/>
      <c r="H35" s="87"/>
      <c r="L35" s="87"/>
      <c r="M35" s="87"/>
      <c r="N35" s="87"/>
      <c r="O35" s="87"/>
      <c r="P35" s="87"/>
      <c r="Q35" s="87"/>
      <c r="R35" s="87"/>
    </row>
    <row r="36" spans="2:18" x14ac:dyDescent="0.25">
      <c r="B36" s="87"/>
      <c r="C36" s="87"/>
      <c r="D36" s="87"/>
      <c r="E36" s="87"/>
      <c r="F36" s="87"/>
      <c r="G36" s="87"/>
      <c r="H36" s="87"/>
      <c r="L36" s="87"/>
      <c r="M36" s="87"/>
      <c r="N36" s="87"/>
      <c r="O36" s="87"/>
      <c r="P36" s="87"/>
      <c r="Q36" s="87"/>
      <c r="R36" s="87"/>
    </row>
    <row r="37" spans="2:18" x14ac:dyDescent="0.25">
      <c r="B37" s="87"/>
      <c r="C37" s="87"/>
      <c r="D37" s="87"/>
      <c r="E37" s="87"/>
      <c r="F37" s="87"/>
      <c r="G37" s="87"/>
      <c r="H37" s="87"/>
      <c r="L37" s="87"/>
      <c r="M37" s="87"/>
      <c r="N37" s="87"/>
      <c r="O37" s="87"/>
      <c r="P37" s="87"/>
      <c r="Q37" s="87"/>
      <c r="R37" s="87"/>
    </row>
    <row r="38" spans="2:18" x14ac:dyDescent="0.25">
      <c r="B38" s="87"/>
      <c r="C38" s="87"/>
      <c r="D38" s="87"/>
      <c r="E38" s="87"/>
      <c r="F38" s="87"/>
      <c r="G38" s="87"/>
      <c r="H38" s="87"/>
      <c r="L38" s="87"/>
      <c r="M38" s="87"/>
      <c r="N38" s="87"/>
      <c r="O38" s="87"/>
      <c r="P38" s="87"/>
      <c r="Q38" s="87"/>
      <c r="R38" s="87"/>
    </row>
    <row r="39" spans="2:18" x14ac:dyDescent="0.25">
      <c r="B39" s="87"/>
      <c r="C39" s="87"/>
      <c r="D39" s="87"/>
      <c r="E39" s="87"/>
      <c r="F39" s="87"/>
      <c r="G39" s="87"/>
      <c r="H39" s="87"/>
      <c r="L39" s="87"/>
      <c r="M39" s="87"/>
      <c r="N39" s="87"/>
      <c r="O39" s="87"/>
      <c r="P39" s="87"/>
      <c r="Q39" s="87"/>
      <c r="R39" s="87"/>
    </row>
    <row r="40" spans="2:18" x14ac:dyDescent="0.25">
      <c r="B40" s="87"/>
      <c r="C40" s="87"/>
      <c r="D40" s="87"/>
      <c r="E40" s="87"/>
      <c r="F40" s="87"/>
      <c r="G40" s="87"/>
      <c r="H40" s="87"/>
      <c r="L40" s="87"/>
      <c r="M40" s="87"/>
      <c r="N40" s="87"/>
      <c r="O40" s="87"/>
      <c r="P40" s="87"/>
      <c r="Q40" s="87"/>
      <c r="R40" s="87"/>
    </row>
    <row r="41" spans="2:18" x14ac:dyDescent="0.25">
      <c r="B41" s="87"/>
      <c r="C41" s="87"/>
      <c r="D41" s="87"/>
      <c r="E41" s="87"/>
      <c r="F41" s="87"/>
      <c r="G41" s="87"/>
      <c r="H41" s="87"/>
      <c r="L41" s="87"/>
      <c r="M41" s="87"/>
      <c r="N41" s="87"/>
      <c r="O41" s="87"/>
      <c r="P41" s="87"/>
      <c r="Q41" s="87"/>
      <c r="R41" s="87"/>
    </row>
    <row r="42" spans="2:18" x14ac:dyDescent="0.25">
      <c r="B42" s="87"/>
      <c r="C42" s="87"/>
      <c r="D42" s="87"/>
      <c r="E42" s="87"/>
      <c r="F42" s="87"/>
      <c r="G42" s="87"/>
      <c r="H42" s="87"/>
      <c r="L42" s="87"/>
      <c r="M42" s="87"/>
      <c r="N42" s="87"/>
      <c r="O42" s="87"/>
      <c r="P42" s="87"/>
      <c r="Q42" s="87"/>
      <c r="R42" s="87"/>
    </row>
    <row r="43" spans="2:18" x14ac:dyDescent="0.25">
      <c r="B43" s="87"/>
      <c r="C43" s="87"/>
      <c r="D43" s="87"/>
      <c r="E43" s="87"/>
      <c r="F43" s="87"/>
      <c r="G43" s="87"/>
      <c r="H43" s="87"/>
      <c r="L43" s="87"/>
      <c r="M43" s="87"/>
      <c r="N43" s="87"/>
      <c r="O43" s="87"/>
      <c r="P43" s="87"/>
      <c r="Q43" s="87"/>
      <c r="R43" s="87"/>
    </row>
    <row r="44" spans="2:18" x14ac:dyDescent="0.25">
      <c r="B44" s="87"/>
      <c r="C44" s="87"/>
      <c r="D44" s="87"/>
      <c r="E44" s="87"/>
      <c r="F44" s="87"/>
      <c r="G44" s="87"/>
      <c r="H44" s="87"/>
      <c r="L44" s="87"/>
      <c r="M44" s="87"/>
      <c r="N44" s="87"/>
      <c r="O44" s="87"/>
      <c r="P44" s="87"/>
      <c r="Q44" s="87"/>
      <c r="R44" s="87"/>
    </row>
    <row r="45" spans="2:18" x14ac:dyDescent="0.25">
      <c r="B45" s="87"/>
      <c r="C45" s="87"/>
      <c r="D45" s="87"/>
      <c r="E45" s="87"/>
      <c r="F45" s="87"/>
      <c r="G45" s="87"/>
      <c r="H45" s="87"/>
      <c r="L45" s="87"/>
      <c r="M45" s="87"/>
      <c r="N45" s="87"/>
      <c r="O45" s="87"/>
      <c r="P45" s="87"/>
      <c r="Q45" s="87"/>
      <c r="R45" s="87"/>
    </row>
    <row r="46" spans="2:18" x14ac:dyDescent="0.25">
      <c r="B46" s="87"/>
      <c r="C46" s="87"/>
      <c r="D46" s="87"/>
      <c r="E46" s="87"/>
      <c r="F46" s="87"/>
      <c r="G46" s="87"/>
      <c r="H46" s="87"/>
      <c r="L46" s="87"/>
      <c r="M46" s="87"/>
      <c r="N46" s="87"/>
      <c r="O46" s="87"/>
      <c r="P46" s="87"/>
      <c r="Q46" s="87"/>
      <c r="R46" s="87"/>
    </row>
    <row r="47" spans="2:18" x14ac:dyDescent="0.25">
      <c r="B47" s="87"/>
      <c r="C47" s="87"/>
      <c r="D47" s="87"/>
      <c r="E47" s="87"/>
      <c r="F47" s="87"/>
      <c r="G47" s="87"/>
      <c r="H47" s="87"/>
      <c r="L47" s="87"/>
      <c r="M47" s="87"/>
      <c r="N47" s="87"/>
      <c r="O47" s="87"/>
      <c r="P47" s="87"/>
      <c r="Q47" s="87"/>
      <c r="R47" s="87"/>
    </row>
    <row r="48" spans="2:18" x14ac:dyDescent="0.25">
      <c r="B48" s="87"/>
      <c r="C48" s="87"/>
      <c r="D48" s="87"/>
      <c r="E48" s="87"/>
      <c r="F48" s="87"/>
      <c r="G48" s="87"/>
      <c r="H48" s="87"/>
      <c r="L48" s="87"/>
      <c r="M48" s="87"/>
      <c r="N48" s="87"/>
      <c r="O48" s="87"/>
      <c r="P48" s="87"/>
      <c r="Q48" s="87"/>
      <c r="R48" s="87"/>
    </row>
    <row r="49" spans="2:18" x14ac:dyDescent="0.25">
      <c r="B49" s="87"/>
      <c r="C49" s="87"/>
      <c r="D49" s="87"/>
      <c r="E49" s="87"/>
      <c r="F49" s="87"/>
      <c r="G49" s="87"/>
      <c r="H49" s="87"/>
      <c r="L49" s="87"/>
      <c r="M49" s="87"/>
      <c r="N49" s="87"/>
      <c r="O49" s="87"/>
      <c r="P49" s="87"/>
      <c r="Q49" s="87"/>
      <c r="R49" s="87"/>
    </row>
    <row r="50" spans="2:18" x14ac:dyDescent="0.25">
      <c r="B50" s="87"/>
      <c r="C50" s="87"/>
      <c r="D50" s="87"/>
      <c r="E50" s="87"/>
      <c r="F50" s="87"/>
      <c r="G50" s="87"/>
      <c r="H50" s="87"/>
      <c r="L50" s="87"/>
      <c r="M50" s="87"/>
      <c r="N50" s="87"/>
      <c r="O50" s="87"/>
      <c r="P50" s="87"/>
      <c r="Q50" s="87"/>
      <c r="R50" s="87"/>
    </row>
    <row r="51" spans="2:18" x14ac:dyDescent="0.25">
      <c r="B51" s="87"/>
      <c r="C51" s="87"/>
      <c r="D51" s="87"/>
      <c r="E51" s="87"/>
      <c r="F51" s="87"/>
      <c r="G51" s="87"/>
      <c r="H51" s="87"/>
      <c r="L51" s="87"/>
      <c r="M51" s="87"/>
      <c r="N51" s="87"/>
      <c r="O51" s="87"/>
      <c r="P51" s="87"/>
      <c r="Q51" s="87"/>
      <c r="R51" s="87"/>
    </row>
    <row r="52" spans="2:18" x14ac:dyDescent="0.25">
      <c r="B52" s="87"/>
      <c r="C52" s="87"/>
      <c r="D52" s="87"/>
      <c r="E52" s="87"/>
      <c r="F52" s="87"/>
      <c r="G52" s="87"/>
      <c r="H52" s="87"/>
      <c r="L52" s="87"/>
      <c r="M52" s="87"/>
      <c r="N52" s="87"/>
      <c r="O52" s="87"/>
      <c r="P52" s="87"/>
      <c r="Q52" s="87"/>
      <c r="R52" s="87"/>
    </row>
    <row r="53" spans="2:18" x14ac:dyDescent="0.25">
      <c r="B53" s="87"/>
      <c r="C53" s="87"/>
      <c r="D53" s="87"/>
      <c r="E53" s="87"/>
      <c r="F53" s="87"/>
      <c r="G53" s="87"/>
      <c r="H53" s="87"/>
      <c r="L53" s="87"/>
      <c r="M53" s="87"/>
      <c r="N53" s="87"/>
      <c r="O53" s="87"/>
      <c r="P53" s="87"/>
      <c r="Q53" s="87"/>
      <c r="R53" s="87"/>
    </row>
    <row r="54" spans="2:18" x14ac:dyDescent="0.25">
      <c r="B54" s="87"/>
      <c r="C54" s="87"/>
      <c r="D54" s="87"/>
      <c r="E54" s="87"/>
      <c r="F54" s="87"/>
      <c r="G54" s="87"/>
      <c r="H54" s="87"/>
      <c r="L54" s="87"/>
      <c r="M54" s="87"/>
      <c r="N54" s="87"/>
      <c r="O54" s="87"/>
      <c r="P54" s="87"/>
      <c r="Q54" s="87"/>
      <c r="R54" s="87"/>
    </row>
    <row r="55" spans="2:18" x14ac:dyDescent="0.25">
      <c r="B55" s="87"/>
      <c r="C55" s="87"/>
      <c r="D55" s="87"/>
      <c r="E55" s="87"/>
      <c r="F55" s="87"/>
      <c r="G55" s="87"/>
      <c r="H55" s="87"/>
      <c r="L55" s="87"/>
      <c r="M55" s="87"/>
      <c r="N55" s="87"/>
      <c r="O55" s="87"/>
      <c r="P55" s="87"/>
      <c r="Q55" s="87"/>
      <c r="R55" s="87"/>
    </row>
    <row r="56" spans="2:18" x14ac:dyDescent="0.25">
      <c r="B56" s="87"/>
      <c r="C56" s="87"/>
      <c r="D56" s="87"/>
      <c r="E56" s="87"/>
      <c r="F56" s="87"/>
      <c r="G56" s="87"/>
      <c r="H56" s="87"/>
      <c r="L56" s="87"/>
      <c r="M56" s="87"/>
      <c r="N56" s="87"/>
      <c r="O56" s="87"/>
      <c r="P56" s="87"/>
      <c r="Q56" s="87"/>
      <c r="R56" s="87"/>
    </row>
    <row r="57" spans="2:18" x14ac:dyDescent="0.25">
      <c r="B57" s="87"/>
      <c r="C57" s="87"/>
      <c r="D57" s="87"/>
      <c r="E57" s="87"/>
      <c r="F57" s="87"/>
      <c r="G57" s="87"/>
      <c r="H57" s="87"/>
      <c r="L57" s="87"/>
      <c r="M57" s="87"/>
      <c r="N57" s="87"/>
      <c r="O57" s="87"/>
      <c r="P57" s="87"/>
      <c r="Q57" s="87"/>
      <c r="R57" s="87"/>
    </row>
    <row r="58" spans="2:18" x14ac:dyDescent="0.25">
      <c r="B58" s="87"/>
      <c r="C58" s="87"/>
      <c r="D58" s="87"/>
      <c r="E58" s="87"/>
      <c r="F58" s="87"/>
      <c r="G58" s="87"/>
      <c r="H58" s="87"/>
      <c r="L58" s="87"/>
      <c r="M58" s="87"/>
      <c r="N58" s="87"/>
      <c r="O58" s="87"/>
      <c r="P58" s="87"/>
      <c r="Q58" s="87"/>
      <c r="R58" s="87"/>
    </row>
    <row r="59" spans="2:18" x14ac:dyDescent="0.25">
      <c r="B59" s="87"/>
      <c r="C59" s="87"/>
      <c r="D59" s="87"/>
      <c r="E59" s="87"/>
      <c r="F59" s="87"/>
      <c r="G59" s="87"/>
      <c r="H59" s="87"/>
      <c r="L59" s="87"/>
      <c r="M59" s="87"/>
      <c r="N59" s="87"/>
      <c r="O59" s="87"/>
      <c r="P59" s="87"/>
      <c r="Q59" s="87"/>
      <c r="R59" s="87"/>
    </row>
    <row r="60" spans="2:18" x14ac:dyDescent="0.25">
      <c r="B60" s="87"/>
      <c r="C60" s="87"/>
      <c r="D60" s="87"/>
      <c r="E60" s="87"/>
      <c r="F60" s="87"/>
      <c r="G60" s="87"/>
      <c r="H60" s="87"/>
      <c r="L60" s="87"/>
      <c r="M60" s="87"/>
      <c r="N60" s="87"/>
      <c r="O60" s="87"/>
      <c r="P60" s="87"/>
      <c r="Q60" s="87"/>
      <c r="R60" s="87"/>
    </row>
    <row r="61" spans="2:18" x14ac:dyDescent="0.25">
      <c r="B61" s="87"/>
      <c r="C61" s="87"/>
      <c r="D61" s="87"/>
      <c r="E61" s="87"/>
      <c r="F61" s="87"/>
      <c r="G61" s="87"/>
      <c r="H61" s="87"/>
      <c r="L61" s="87"/>
      <c r="M61" s="87"/>
      <c r="N61" s="87"/>
      <c r="O61" s="87"/>
      <c r="P61" s="87"/>
      <c r="Q61" s="87"/>
      <c r="R61" s="87"/>
    </row>
    <row r="62" spans="2:18" x14ac:dyDescent="0.25">
      <c r="B62" s="87"/>
      <c r="C62" s="87"/>
      <c r="D62" s="87"/>
      <c r="E62" s="87"/>
      <c r="F62" s="87"/>
      <c r="G62" s="87"/>
      <c r="H62" s="87"/>
      <c r="L62" s="87"/>
      <c r="M62" s="87"/>
      <c r="N62" s="87"/>
      <c r="O62" s="87"/>
      <c r="P62" s="87"/>
      <c r="Q62" s="87"/>
      <c r="R62" s="87"/>
    </row>
    <row r="63" spans="2:18" x14ac:dyDescent="0.25">
      <c r="B63" s="87"/>
      <c r="C63" s="87"/>
      <c r="D63" s="87"/>
      <c r="E63" s="87"/>
      <c r="F63" s="87"/>
      <c r="G63" s="87"/>
      <c r="H63" s="87"/>
      <c r="L63" s="87"/>
      <c r="M63" s="87"/>
      <c r="N63" s="87"/>
      <c r="O63" s="87"/>
      <c r="P63" s="87"/>
      <c r="Q63" s="87"/>
      <c r="R63" s="87"/>
    </row>
    <row r="64" spans="2:18" x14ac:dyDescent="0.25">
      <c r="B64" s="87"/>
      <c r="C64" s="87"/>
      <c r="D64" s="87"/>
      <c r="E64" s="87"/>
      <c r="F64" s="87"/>
      <c r="G64" s="87"/>
      <c r="H64" s="87"/>
      <c r="L64" s="87"/>
      <c r="M64" s="87"/>
      <c r="N64" s="87"/>
      <c r="O64" s="87"/>
      <c r="P64" s="87"/>
      <c r="Q64" s="87"/>
      <c r="R64" s="87"/>
    </row>
    <row r="65" spans="2:18" x14ac:dyDescent="0.25">
      <c r="B65" s="87"/>
      <c r="C65" s="87"/>
      <c r="D65" s="87"/>
      <c r="E65" s="87"/>
      <c r="F65" s="87"/>
      <c r="G65" s="87"/>
      <c r="H65" s="87"/>
      <c r="L65" s="87"/>
      <c r="M65" s="87"/>
      <c r="N65" s="87"/>
      <c r="O65" s="87"/>
      <c r="P65" s="87"/>
      <c r="Q65" s="87"/>
      <c r="R65" s="87"/>
    </row>
    <row r="66" spans="2:18" x14ac:dyDescent="0.25">
      <c r="B66" s="87"/>
      <c r="C66" s="87"/>
      <c r="D66" s="87"/>
      <c r="E66" s="87"/>
      <c r="F66" s="87"/>
      <c r="G66" s="87"/>
      <c r="H66" s="87"/>
      <c r="L66" s="87"/>
      <c r="M66" s="87"/>
      <c r="N66" s="87"/>
      <c r="O66" s="87"/>
      <c r="P66" s="87"/>
      <c r="Q66" s="87"/>
      <c r="R66" s="87"/>
    </row>
    <row r="67" spans="2:18" x14ac:dyDescent="0.25">
      <c r="B67" s="87"/>
      <c r="C67" s="87"/>
      <c r="D67" s="87"/>
      <c r="E67" s="87"/>
      <c r="F67" s="87"/>
      <c r="G67" s="87"/>
      <c r="H67" s="87"/>
      <c r="L67" s="87"/>
      <c r="M67" s="87"/>
      <c r="N67" s="87"/>
      <c r="O67" s="87"/>
      <c r="P67" s="87"/>
      <c r="Q67" s="87"/>
      <c r="R67" s="87"/>
    </row>
    <row r="68" spans="2:18" x14ac:dyDescent="0.25">
      <c r="B68" s="87"/>
      <c r="C68" s="87"/>
      <c r="D68" s="87"/>
      <c r="E68" s="87"/>
      <c r="F68" s="87"/>
      <c r="G68" s="87"/>
      <c r="H68" s="87"/>
      <c r="L68" s="87"/>
      <c r="M68" s="87"/>
      <c r="N68" s="87"/>
      <c r="O68" s="87"/>
      <c r="P68" s="87"/>
      <c r="Q68" s="87"/>
      <c r="R68" s="87"/>
    </row>
    <row r="69" spans="2:18" x14ac:dyDescent="0.25">
      <c r="B69" s="87"/>
      <c r="C69" s="87"/>
      <c r="D69" s="87"/>
      <c r="E69" s="87"/>
      <c r="F69" s="87"/>
      <c r="G69" s="87"/>
      <c r="H69" s="87"/>
      <c r="L69" s="87"/>
      <c r="M69" s="87"/>
      <c r="N69" s="87"/>
      <c r="O69" s="87"/>
      <c r="P69" s="87"/>
      <c r="Q69" s="87"/>
      <c r="R69" s="87"/>
    </row>
    <row r="70" spans="2:18" x14ac:dyDescent="0.25">
      <c r="B70" s="87"/>
      <c r="C70" s="87"/>
      <c r="D70" s="87"/>
      <c r="E70" s="87"/>
      <c r="F70" s="87"/>
      <c r="G70" s="87"/>
      <c r="H70" s="87"/>
      <c r="L70" s="87"/>
      <c r="M70" s="87"/>
      <c r="N70" s="87"/>
      <c r="O70" s="87"/>
      <c r="P70" s="87"/>
      <c r="Q70" s="87"/>
      <c r="R70" s="87"/>
    </row>
    <row r="71" spans="2:18" x14ac:dyDescent="0.25">
      <c r="B71" s="87"/>
      <c r="C71" s="87"/>
      <c r="D71" s="87"/>
      <c r="E71" s="87"/>
      <c r="F71" s="87"/>
      <c r="G71" s="87"/>
      <c r="H71" s="87"/>
      <c r="L71" s="87"/>
      <c r="M71" s="87"/>
      <c r="N71" s="87"/>
      <c r="O71" s="87"/>
      <c r="P71" s="87"/>
      <c r="Q71" s="87"/>
      <c r="R71" s="87"/>
    </row>
    <row r="72" spans="2:18" x14ac:dyDescent="0.25">
      <c r="B72" s="87"/>
      <c r="C72" s="87"/>
      <c r="D72" s="87"/>
      <c r="E72" s="87"/>
      <c r="F72" s="87"/>
      <c r="G72" s="87"/>
      <c r="H72" s="87"/>
      <c r="L72" s="87"/>
      <c r="M72" s="87"/>
      <c r="N72" s="87"/>
      <c r="O72" s="87"/>
      <c r="P72" s="87"/>
      <c r="Q72" s="87"/>
      <c r="R72" s="87"/>
    </row>
    <row r="73" spans="2:18" x14ac:dyDescent="0.25">
      <c r="B73" s="87"/>
      <c r="C73" s="87"/>
      <c r="D73" s="87"/>
      <c r="E73" s="87"/>
      <c r="F73" s="87"/>
      <c r="G73" s="87"/>
      <c r="H73" s="87"/>
      <c r="L73" s="87"/>
      <c r="M73" s="87"/>
      <c r="N73" s="87"/>
      <c r="O73" s="87"/>
      <c r="P73" s="87"/>
      <c r="Q73" s="87"/>
      <c r="R73" s="87"/>
    </row>
    <row r="74" spans="2:18" x14ac:dyDescent="0.25">
      <c r="B74" s="87"/>
      <c r="C74" s="87"/>
      <c r="D74" s="87"/>
      <c r="E74" s="87"/>
      <c r="F74" s="87"/>
      <c r="G74" s="87"/>
      <c r="H74" s="87"/>
      <c r="L74" s="87"/>
      <c r="M74" s="87"/>
      <c r="N74" s="87"/>
      <c r="O74" s="87"/>
      <c r="P74" s="87"/>
      <c r="Q74" s="87"/>
      <c r="R74" s="87"/>
    </row>
    <row r="75" spans="2:18" x14ac:dyDescent="0.25">
      <c r="B75" s="87"/>
      <c r="C75" s="87"/>
      <c r="D75" s="87"/>
      <c r="E75" s="87"/>
      <c r="F75" s="87"/>
      <c r="G75" s="87"/>
      <c r="H75" s="87"/>
      <c r="L75" s="87"/>
      <c r="M75" s="87"/>
      <c r="N75" s="87"/>
      <c r="O75" s="87"/>
      <c r="P75" s="87"/>
      <c r="Q75" s="87"/>
      <c r="R75" s="87"/>
    </row>
    <row r="76" spans="2:18" x14ac:dyDescent="0.25">
      <c r="B76" s="87"/>
      <c r="C76" s="87"/>
      <c r="D76" s="87"/>
      <c r="E76" s="87"/>
      <c r="F76" s="87"/>
      <c r="G76" s="87"/>
      <c r="H76" s="87"/>
      <c r="L76" s="87"/>
      <c r="M76" s="87"/>
      <c r="N76" s="87"/>
      <c r="O76" s="87"/>
      <c r="P76" s="87"/>
      <c r="Q76" s="87"/>
      <c r="R76" s="87"/>
    </row>
    <row r="77" spans="2:18" x14ac:dyDescent="0.25">
      <c r="B77" s="87"/>
      <c r="C77" s="87"/>
      <c r="D77" s="87"/>
      <c r="E77" s="87"/>
      <c r="F77" s="87"/>
      <c r="G77" s="87"/>
      <c r="H77" s="87"/>
      <c r="L77" s="87"/>
      <c r="M77" s="87"/>
      <c r="N77" s="87"/>
      <c r="O77" s="87"/>
      <c r="P77" s="87"/>
      <c r="Q77" s="87"/>
      <c r="R77" s="87"/>
    </row>
    <row r="78" spans="2:18" x14ac:dyDescent="0.25">
      <c r="L78" s="87"/>
      <c r="M78" s="87"/>
      <c r="N78" s="87"/>
      <c r="O78" s="87"/>
      <c r="P78" s="87"/>
      <c r="Q78" s="87"/>
      <c r="R78" s="87"/>
    </row>
    <row r="79" spans="2:18" x14ac:dyDescent="0.25">
      <c r="L79" s="87"/>
      <c r="M79" s="87"/>
      <c r="N79" s="87"/>
      <c r="O79" s="87"/>
      <c r="P79" s="87"/>
      <c r="Q79" s="87"/>
      <c r="R79" s="87"/>
    </row>
    <row r="80" spans="2:18" x14ac:dyDescent="0.25">
      <c r="L80" s="87"/>
      <c r="M80" s="87"/>
      <c r="N80" s="87"/>
      <c r="O80" s="87"/>
      <c r="P80" s="87"/>
      <c r="Q80" s="87"/>
      <c r="R80" s="87"/>
    </row>
  </sheetData>
  <mergeCells count="5">
    <mergeCell ref="B2:H2"/>
    <mergeCell ref="L2:R2"/>
    <mergeCell ref="L3:R41"/>
    <mergeCell ref="B3:H77"/>
    <mergeCell ref="L42:R8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/>
  <dimension ref="A1:I51"/>
  <sheetViews>
    <sheetView zoomScale="85" zoomScaleNormal="85" workbookViewId="0">
      <selection activeCell="A30" sqref="A30"/>
    </sheetView>
  </sheetViews>
  <sheetFormatPr baseColWidth="10" defaultColWidth="9.140625" defaultRowHeight="15" x14ac:dyDescent="0.25"/>
  <cols>
    <col min="1" max="1" width="14.28515625" bestFit="1" customWidth="1"/>
    <col min="2" max="2" width="13.140625" bestFit="1" customWidth="1"/>
    <col min="6" max="7" width="13.28515625" customWidth="1"/>
    <col min="8" max="8" width="15.7109375" customWidth="1"/>
    <col min="9" max="9" width="17.140625" customWidth="1"/>
  </cols>
  <sheetData>
    <row r="1" spans="1:9" ht="14.45" customHeight="1" x14ac:dyDescent="0.25">
      <c r="A1" s="90" t="s">
        <v>22</v>
      </c>
      <c r="B1" s="91"/>
      <c r="D1" s="88" t="s">
        <v>20</v>
      </c>
      <c r="E1" s="88" t="s">
        <v>21</v>
      </c>
      <c r="F1" s="88" t="s">
        <v>7</v>
      </c>
      <c r="G1" s="88" t="s">
        <v>62</v>
      </c>
      <c r="H1" s="88" t="s">
        <v>23</v>
      </c>
      <c r="I1" s="88" t="s">
        <v>24</v>
      </c>
    </row>
    <row r="2" spans="1:9" ht="14.45" customHeight="1" thickBot="1" x14ac:dyDescent="0.3">
      <c r="A2" s="92"/>
      <c r="B2" s="93"/>
      <c r="D2" s="89"/>
      <c r="E2" s="89"/>
      <c r="F2" s="89"/>
      <c r="G2" s="89"/>
      <c r="H2" s="89"/>
      <c r="I2" s="89"/>
    </row>
    <row r="3" spans="1:9" x14ac:dyDescent="0.25">
      <c r="A3" s="1" t="s">
        <v>1</v>
      </c>
      <c r="B3" s="1" t="s">
        <v>17</v>
      </c>
      <c r="D3" s="6">
        <f>1</f>
        <v>1</v>
      </c>
      <c r="E3" s="6">
        <v>5</v>
      </c>
      <c r="F3" s="6">
        <v>0</v>
      </c>
      <c r="G3" s="6">
        <f t="shared" ref="G3:G34" si="0">GBSPrice</f>
        <v>13.346464945879582</v>
      </c>
      <c r="H3" s="7">
        <f t="shared" ref="H3:H34" si="1">IF(GBSPrice&lt;&gt;"" &amp; E3&lt;&gt;"",ABS(E3-GBSPrice),"")</f>
        <v>8.3464649458795819</v>
      </c>
      <c r="I3" s="7">
        <f>IF($H3&lt;&gt;"", $H3*$D3, "")</f>
        <v>8.3464649458795819</v>
      </c>
    </row>
    <row r="4" spans="1:9" x14ac:dyDescent="0.25">
      <c r="A4" s="1" t="s">
        <v>2</v>
      </c>
      <c r="B4" s="1" t="s">
        <v>18</v>
      </c>
      <c r="D4" s="4">
        <v>5</v>
      </c>
      <c r="E4" s="6">
        <v>12.233802874789152</v>
      </c>
      <c r="F4" s="4">
        <v>0</v>
      </c>
      <c r="G4" s="6">
        <f t="shared" si="0"/>
        <v>13.346464945879582</v>
      </c>
      <c r="H4" s="7">
        <f t="shared" si="1"/>
        <v>1.1126620710904298</v>
      </c>
      <c r="I4" s="5">
        <f t="shared" ref="I4:I51" si="2">IF($H4&lt;&gt;"", $H4*$D4, "")</f>
        <v>5.563310355452149</v>
      </c>
    </row>
    <row r="5" spans="1:9" x14ac:dyDescent="0.25">
      <c r="A5" s="1" t="s">
        <v>15</v>
      </c>
      <c r="B5" s="1">
        <v>100</v>
      </c>
      <c r="D5" s="4">
        <v>10</v>
      </c>
      <c r="E5" s="6">
        <v>12.649620027924502</v>
      </c>
      <c r="F5" s="4">
        <v>0</v>
      </c>
      <c r="G5" s="6">
        <f t="shared" si="0"/>
        <v>13.346464945879582</v>
      </c>
      <c r="H5" s="7">
        <f t="shared" si="1"/>
        <v>0.69684491795507952</v>
      </c>
      <c r="I5" s="5">
        <f t="shared" si="2"/>
        <v>6.9684491795507952</v>
      </c>
    </row>
    <row r="6" spans="1:9" x14ac:dyDescent="0.25">
      <c r="A6" s="1" t="s">
        <v>16</v>
      </c>
      <c r="B6" s="1">
        <v>95</v>
      </c>
      <c r="D6" s="4">
        <v>20</v>
      </c>
      <c r="E6" s="6">
        <v>13.042881644990647</v>
      </c>
      <c r="F6" s="4">
        <v>7.8125E-3</v>
      </c>
      <c r="G6" s="6">
        <f t="shared" si="0"/>
        <v>13.346464945879582</v>
      </c>
      <c r="H6" s="7">
        <f t="shared" si="1"/>
        <v>0.30358330088893482</v>
      </c>
      <c r="I6" s="5">
        <f t="shared" si="2"/>
        <v>6.0716660177786963</v>
      </c>
    </row>
    <row r="7" spans="1:9" x14ac:dyDescent="0.25">
      <c r="A7" s="1" t="s">
        <v>3</v>
      </c>
      <c r="B7" s="3">
        <v>0.2</v>
      </c>
      <c r="D7" s="4">
        <v>30</v>
      </c>
      <c r="E7" s="6">
        <v>13.162633736050946</v>
      </c>
      <c r="F7" s="4">
        <v>1.5625E-2</v>
      </c>
      <c r="G7" s="6">
        <f t="shared" si="0"/>
        <v>13.346464945879582</v>
      </c>
      <c r="H7" s="7">
        <f t="shared" si="1"/>
        <v>0.18383120982863588</v>
      </c>
      <c r="I7" s="5">
        <f t="shared" si="2"/>
        <v>5.5149362948590763</v>
      </c>
    </row>
    <row r="8" spans="1:9" x14ac:dyDescent="0.25">
      <c r="A8" s="1" t="s">
        <v>5</v>
      </c>
      <c r="B8" s="1">
        <v>1</v>
      </c>
      <c r="D8" s="4">
        <v>50</v>
      </c>
      <c r="E8" s="6">
        <v>13.195291663783172</v>
      </c>
      <c r="F8" s="4">
        <v>1.5625E-2</v>
      </c>
      <c r="G8" s="6">
        <f t="shared" si="0"/>
        <v>13.346464945879582</v>
      </c>
      <c r="H8" s="7">
        <f t="shared" si="1"/>
        <v>0.15117328209641023</v>
      </c>
      <c r="I8" s="5">
        <f t="shared" si="2"/>
        <v>7.5586641048205117</v>
      </c>
    </row>
    <row r="9" spans="1:9" x14ac:dyDescent="0.25">
      <c r="A9" s="1" t="s">
        <v>4</v>
      </c>
      <c r="B9" s="3">
        <v>0.05</v>
      </c>
      <c r="D9" s="4">
        <v>75</v>
      </c>
      <c r="E9" s="6">
        <v>13.273560995150662</v>
      </c>
      <c r="F9" s="4">
        <v>2.34375E-2</v>
      </c>
      <c r="G9" s="6">
        <f t="shared" si="0"/>
        <v>13.346464945879582</v>
      </c>
      <c r="H9" s="7">
        <f t="shared" si="1"/>
        <v>7.2903950728919753E-2</v>
      </c>
      <c r="I9" s="5">
        <f t="shared" si="2"/>
        <v>5.4677963046689815</v>
      </c>
    </row>
    <row r="10" spans="1:9" x14ac:dyDescent="0.25">
      <c r="A10" s="1" t="s">
        <v>14</v>
      </c>
      <c r="B10" s="1">
        <v>0</v>
      </c>
      <c r="D10" s="4">
        <v>100</v>
      </c>
      <c r="E10" s="6">
        <v>13.275168625709995</v>
      </c>
      <c r="F10" s="4">
        <v>3.90625E-2</v>
      </c>
      <c r="G10" s="6">
        <f t="shared" si="0"/>
        <v>13.346464945879582</v>
      </c>
      <c r="H10" s="7">
        <f t="shared" si="1"/>
        <v>7.1296320169587091E-2</v>
      </c>
      <c r="I10" s="5">
        <f t="shared" si="2"/>
        <v>7.1296320169587091</v>
      </c>
    </row>
    <row r="11" spans="1:9" x14ac:dyDescent="0.25">
      <c r="A11" s="1" t="s">
        <v>13</v>
      </c>
      <c r="B11" s="2">
        <v>45292</v>
      </c>
      <c r="D11" s="4">
        <v>125</v>
      </c>
      <c r="E11" s="6">
        <v>13.297785474379225</v>
      </c>
      <c r="F11" s="4">
        <v>5.46875E-2</v>
      </c>
      <c r="G11" s="6">
        <f t="shared" si="0"/>
        <v>13.346464945879582</v>
      </c>
      <c r="H11" s="7">
        <f t="shared" si="1"/>
        <v>4.8679471500356897E-2</v>
      </c>
      <c r="I11" s="5">
        <f t="shared" si="2"/>
        <v>6.0849339375446121</v>
      </c>
    </row>
    <row r="12" spans="1:9" x14ac:dyDescent="0.25">
      <c r="A12" s="1" t="s">
        <v>12</v>
      </c>
      <c r="B12" s="2"/>
      <c r="D12" s="4">
        <f>D11+25</f>
        <v>150</v>
      </c>
      <c r="E12" s="6">
        <v>13.309765247556847</v>
      </c>
      <c r="F12" s="4">
        <v>7.8125E-2</v>
      </c>
      <c r="G12" s="6">
        <f t="shared" si="0"/>
        <v>13.346464945879582</v>
      </c>
      <c r="H12" s="7">
        <f t="shared" si="1"/>
        <v>3.669969832273523E-2</v>
      </c>
      <c r="I12" s="5">
        <f t="shared" si="2"/>
        <v>5.5049547484102845</v>
      </c>
    </row>
    <row r="13" spans="1:9" x14ac:dyDescent="0.25">
      <c r="D13" s="4">
        <f t="shared" ref="D13:D26" si="3">D12+25</f>
        <v>175</v>
      </c>
      <c r="E13" s="6">
        <v>13.30805630686049</v>
      </c>
      <c r="F13" s="4">
        <v>9.375E-2</v>
      </c>
      <c r="G13" s="6">
        <f t="shared" si="0"/>
        <v>13.346464945879582</v>
      </c>
      <c r="H13" s="7">
        <f t="shared" si="1"/>
        <v>3.8408639019092305E-2</v>
      </c>
      <c r="I13" s="5">
        <f t="shared" si="2"/>
        <v>6.7215118283411535</v>
      </c>
    </row>
    <row r="14" spans="1:9" ht="14.45" customHeight="1" x14ac:dyDescent="0.25">
      <c r="A14" s="94" t="s">
        <v>8</v>
      </c>
      <c r="B14" s="95"/>
      <c r="D14" s="4">
        <f t="shared" si="3"/>
        <v>200</v>
      </c>
      <c r="E14" s="6">
        <v>13.312035407263924</v>
      </c>
      <c r="F14" s="4">
        <v>0.1171875</v>
      </c>
      <c r="G14" s="6">
        <f t="shared" si="0"/>
        <v>13.346464945879582</v>
      </c>
      <c r="H14" s="7">
        <f t="shared" si="1"/>
        <v>3.4429538615658117E-2</v>
      </c>
      <c r="I14" s="5">
        <f t="shared" si="2"/>
        <v>6.8859077231316235</v>
      </c>
    </row>
    <row r="15" spans="1:9" ht="14.45" customHeight="1" x14ac:dyDescent="0.25">
      <c r="A15" s="94"/>
      <c r="B15" s="95"/>
      <c r="D15" s="4">
        <f t="shared" si="3"/>
        <v>225</v>
      </c>
      <c r="E15" s="6">
        <v>13.321453893289123</v>
      </c>
      <c r="F15" s="4">
        <v>0.1328125</v>
      </c>
      <c r="G15" s="6">
        <f t="shared" si="0"/>
        <v>13.346464945879582</v>
      </c>
      <c r="H15" s="7">
        <f t="shared" si="1"/>
        <v>2.5011052590459215E-2</v>
      </c>
      <c r="I15" s="5">
        <f t="shared" si="2"/>
        <v>5.6274868328533234</v>
      </c>
    </row>
    <row r="16" spans="1:9" ht="15" customHeight="1" x14ac:dyDescent="0.25">
      <c r="A16" s="9" t="s">
        <v>9</v>
      </c>
      <c r="B16" s="10"/>
      <c r="D16" s="4">
        <f>D15+25</f>
        <v>250</v>
      </c>
      <c r="E16" s="6">
        <v>13.324129272967527</v>
      </c>
      <c r="F16" s="4">
        <v>0.1640625</v>
      </c>
      <c r="G16" s="6">
        <f t="shared" si="0"/>
        <v>13.346464945879582</v>
      </c>
      <c r="H16" s="7">
        <f t="shared" si="1"/>
        <v>2.233567291205496E-2</v>
      </c>
      <c r="I16" s="5">
        <f>IF($H16&lt;&gt;"", $H16*$D16, "")</f>
        <v>5.58391822801374</v>
      </c>
    </row>
    <row r="17" spans="1:9" x14ac:dyDescent="0.25">
      <c r="A17">
        <v>13.346464945879582</v>
      </c>
      <c r="D17" s="4">
        <f>D16+25</f>
        <v>275</v>
      </c>
      <c r="E17" s="6">
        <v>13.322451060626781</v>
      </c>
      <c r="F17" s="4">
        <v>0.1875</v>
      </c>
      <c r="G17" s="6">
        <f t="shared" si="0"/>
        <v>13.346464945879582</v>
      </c>
      <c r="H17" s="7">
        <f t="shared" si="1"/>
        <v>2.4013885252800904E-2</v>
      </c>
      <c r="I17" s="5">
        <f t="shared" si="2"/>
        <v>6.6038184445202486</v>
      </c>
    </row>
    <row r="18" spans="1:9" x14ac:dyDescent="0.25">
      <c r="D18" s="4">
        <f t="shared" si="3"/>
        <v>300</v>
      </c>
      <c r="E18" s="6">
        <v>13.321678719298442</v>
      </c>
      <c r="F18" s="4">
        <v>0.2109375</v>
      </c>
      <c r="G18" s="6">
        <f t="shared" si="0"/>
        <v>13.346464945879582</v>
      </c>
      <c r="H18" s="7">
        <f t="shared" si="1"/>
        <v>2.4786226581140269E-2</v>
      </c>
      <c r="I18" s="5">
        <f t="shared" si="2"/>
        <v>7.4358679743420808</v>
      </c>
    </row>
    <row r="19" spans="1:9" x14ac:dyDescent="0.25">
      <c r="D19" s="4">
        <f t="shared" si="3"/>
        <v>325</v>
      </c>
      <c r="E19" s="6">
        <v>13.327891226129612</v>
      </c>
      <c r="F19" s="4">
        <v>0.234375</v>
      </c>
      <c r="G19" s="6">
        <f t="shared" si="0"/>
        <v>13.346464945879582</v>
      </c>
      <c r="H19" s="7">
        <f t="shared" si="1"/>
        <v>1.8573719749969797E-2</v>
      </c>
      <c r="I19" s="5">
        <f t="shared" si="2"/>
        <v>6.036458918740184</v>
      </c>
    </row>
    <row r="20" spans="1:9" x14ac:dyDescent="0.25">
      <c r="D20" s="4">
        <f t="shared" si="3"/>
        <v>350</v>
      </c>
      <c r="E20" s="6">
        <v>13.330808547412669</v>
      </c>
      <c r="F20" s="4">
        <v>0.265625</v>
      </c>
      <c r="G20" s="6">
        <f t="shared" si="0"/>
        <v>13.346464945879582</v>
      </c>
      <c r="H20" s="7">
        <f t="shared" si="1"/>
        <v>1.5656398466912691E-2</v>
      </c>
      <c r="I20" s="5">
        <f t="shared" si="2"/>
        <v>5.4797394634194418</v>
      </c>
    </row>
    <row r="21" spans="1:9" x14ac:dyDescent="0.25">
      <c r="D21" s="4">
        <f t="shared" si="3"/>
        <v>375</v>
      </c>
      <c r="E21" s="6">
        <v>13.331285975268786</v>
      </c>
      <c r="F21" s="4">
        <v>0.296875</v>
      </c>
      <c r="G21" s="6">
        <f t="shared" si="0"/>
        <v>13.346464945879582</v>
      </c>
      <c r="H21" s="7">
        <f t="shared" si="1"/>
        <v>1.5178970610795872E-2</v>
      </c>
      <c r="I21" s="5">
        <f t="shared" si="2"/>
        <v>5.6921139790484521</v>
      </c>
    </row>
    <row r="22" spans="1:9" x14ac:dyDescent="0.25">
      <c r="D22" s="4">
        <f t="shared" si="3"/>
        <v>400</v>
      </c>
      <c r="E22" s="6">
        <v>13.329941832740159</v>
      </c>
      <c r="F22" s="4">
        <v>0.3203125</v>
      </c>
      <c r="G22" s="6">
        <f t="shared" si="0"/>
        <v>13.346464945879582</v>
      </c>
      <c r="H22" s="7">
        <f t="shared" si="1"/>
        <v>1.6523113139422563E-2</v>
      </c>
      <c r="I22" s="5">
        <f t="shared" si="2"/>
        <v>6.6092452557690251</v>
      </c>
    </row>
    <row r="23" spans="1:9" x14ac:dyDescent="0.25">
      <c r="D23" s="4">
        <f t="shared" si="3"/>
        <v>425</v>
      </c>
      <c r="E23" s="6">
        <v>13.328223839195781</v>
      </c>
      <c r="F23" s="4">
        <v>0.3515625</v>
      </c>
      <c r="G23" s="6">
        <f t="shared" si="0"/>
        <v>13.346464945879582</v>
      </c>
      <c r="H23" s="7">
        <f t="shared" si="1"/>
        <v>1.8241106683801078E-2</v>
      </c>
      <c r="I23" s="5">
        <f t="shared" si="2"/>
        <v>7.7524703406154583</v>
      </c>
    </row>
    <row r="24" spans="1:9" x14ac:dyDescent="0.25">
      <c r="D24" s="4">
        <f t="shared" si="3"/>
        <v>450</v>
      </c>
      <c r="E24" s="6">
        <v>13.332249427111936</v>
      </c>
      <c r="F24" s="4">
        <v>0.375</v>
      </c>
      <c r="G24" s="6">
        <f t="shared" si="0"/>
        <v>13.346464945879582</v>
      </c>
      <c r="H24" s="7">
        <f t="shared" si="1"/>
        <v>1.4215518767645818E-2</v>
      </c>
      <c r="I24" s="5">
        <f t="shared" si="2"/>
        <v>6.3969834454406183</v>
      </c>
    </row>
    <row r="25" spans="1:9" x14ac:dyDescent="0.25">
      <c r="D25" s="4">
        <f t="shared" si="3"/>
        <v>475</v>
      </c>
      <c r="E25" s="6">
        <v>13.334571611379317</v>
      </c>
      <c r="F25" s="4">
        <v>0.4140625</v>
      </c>
      <c r="G25" s="6">
        <f t="shared" si="0"/>
        <v>13.346464945879582</v>
      </c>
      <c r="H25" s="7">
        <f t="shared" si="1"/>
        <v>1.189333450026453E-2</v>
      </c>
      <c r="I25" s="5">
        <f t="shared" si="2"/>
        <v>5.6493338876256516</v>
      </c>
    </row>
    <row r="26" spans="1:9" x14ac:dyDescent="0.25">
      <c r="D26" s="4">
        <f t="shared" si="3"/>
        <v>500</v>
      </c>
      <c r="E26" s="6">
        <v>13.335523495052209</v>
      </c>
      <c r="F26" s="4">
        <v>0.4375</v>
      </c>
      <c r="G26" s="6">
        <f t="shared" si="0"/>
        <v>13.346464945879582</v>
      </c>
      <c r="H26" s="7">
        <f t="shared" si="1"/>
        <v>1.0941450827372634E-2</v>
      </c>
      <c r="I26" s="5">
        <f t="shared" si="2"/>
        <v>5.470725413686317</v>
      </c>
    </row>
    <row r="27" spans="1:9" x14ac:dyDescent="0.25">
      <c r="D27" s="4">
        <f>D26+50</f>
        <v>550</v>
      </c>
      <c r="E27" s="6">
        <v>13.334314138758428</v>
      </c>
      <c r="F27" s="4">
        <v>0.5</v>
      </c>
      <c r="G27" s="6">
        <f t="shared" si="0"/>
        <v>13.346464945879582</v>
      </c>
      <c r="H27" s="7">
        <f t="shared" si="1"/>
        <v>1.2150807121154017E-2</v>
      </c>
      <c r="I27" s="5">
        <f t="shared" si="2"/>
        <v>6.6829439166347093</v>
      </c>
    </row>
    <row r="28" spans="1:9" x14ac:dyDescent="0.25">
      <c r="D28" s="4">
        <f t="shared" ref="D28:D36" si="4">D27+50</f>
        <v>600</v>
      </c>
      <c r="E28" s="6">
        <v>13.335383621662331</v>
      </c>
      <c r="F28" s="4">
        <v>0.5703125</v>
      </c>
      <c r="G28" s="6">
        <f t="shared" si="0"/>
        <v>13.346464945879582</v>
      </c>
      <c r="H28" s="7">
        <f t="shared" si="1"/>
        <v>1.1081324217251165E-2</v>
      </c>
      <c r="I28" s="5">
        <f t="shared" si="2"/>
        <v>6.648794530350699</v>
      </c>
    </row>
    <row r="29" spans="1:9" x14ac:dyDescent="0.25">
      <c r="D29" s="4">
        <f t="shared" si="4"/>
        <v>650</v>
      </c>
      <c r="E29" s="6">
        <v>13.338017463193999</v>
      </c>
      <c r="F29" s="4">
        <v>0.6484375</v>
      </c>
      <c r="G29" s="6">
        <f t="shared" si="0"/>
        <v>13.346464945879582</v>
      </c>
      <c r="H29" s="7">
        <f t="shared" si="1"/>
        <v>8.4474826855824858E-3</v>
      </c>
      <c r="I29" s="5">
        <f t="shared" si="2"/>
        <v>5.4908637456286158</v>
      </c>
    </row>
    <row r="30" spans="1:9" x14ac:dyDescent="0.25">
      <c r="D30" s="4">
        <f t="shared" si="4"/>
        <v>700</v>
      </c>
      <c r="E30" s="6">
        <v>13.337916327904633</v>
      </c>
      <c r="F30" s="4">
        <v>0.71875</v>
      </c>
      <c r="G30" s="6">
        <f t="shared" si="0"/>
        <v>13.346464945879582</v>
      </c>
      <c r="H30" s="7">
        <f t="shared" si="1"/>
        <v>8.548617974948769E-3</v>
      </c>
      <c r="I30" s="5">
        <f t="shared" si="2"/>
        <v>5.9840325824641383</v>
      </c>
    </row>
    <row r="31" spans="1:9" x14ac:dyDescent="0.25">
      <c r="D31" s="4">
        <f t="shared" si="4"/>
        <v>750</v>
      </c>
      <c r="E31" s="6">
        <v>13.335894615674485</v>
      </c>
      <c r="F31" s="4">
        <v>0.8046875</v>
      </c>
      <c r="G31" s="6">
        <f t="shared" si="0"/>
        <v>13.346464945879582</v>
      </c>
      <c r="H31" s="7">
        <f t="shared" si="1"/>
        <v>1.0570330205096568E-2</v>
      </c>
      <c r="I31" s="5">
        <f t="shared" si="2"/>
        <v>7.9277476538224256</v>
      </c>
    </row>
    <row r="32" spans="1:9" x14ac:dyDescent="0.25">
      <c r="D32" s="4">
        <f t="shared" si="4"/>
        <v>800</v>
      </c>
      <c r="E32" s="6">
        <v>13.338939936224589</v>
      </c>
      <c r="F32" s="4">
        <v>0.8828125</v>
      </c>
      <c r="G32" s="6">
        <f t="shared" si="0"/>
        <v>13.346464945879582</v>
      </c>
      <c r="H32" s="7">
        <f t="shared" si="1"/>
        <v>7.5250096549925871E-3</v>
      </c>
      <c r="I32" s="5">
        <f t="shared" si="2"/>
        <v>6.0200077239940697</v>
      </c>
    </row>
    <row r="33" spans="4:9" x14ac:dyDescent="0.25">
      <c r="D33" s="4">
        <f t="shared" si="4"/>
        <v>850</v>
      </c>
      <c r="E33" s="6">
        <v>13.340035194952302</v>
      </c>
      <c r="F33" s="4">
        <v>0.9765625</v>
      </c>
      <c r="G33" s="6">
        <f t="shared" si="0"/>
        <v>13.346464945879582</v>
      </c>
      <c r="H33" s="7">
        <f t="shared" si="1"/>
        <v>6.4297509272801534E-3</v>
      </c>
      <c r="I33" s="5">
        <f t="shared" si="2"/>
        <v>5.4652882881881304</v>
      </c>
    </row>
    <row r="34" spans="4:9" x14ac:dyDescent="0.25">
      <c r="D34" s="4">
        <f t="shared" si="4"/>
        <v>900</v>
      </c>
      <c r="E34" s="6">
        <v>13.339614049538303</v>
      </c>
      <c r="F34" s="4">
        <v>1.046875</v>
      </c>
      <c r="G34" s="6">
        <f t="shared" si="0"/>
        <v>13.346464945879582</v>
      </c>
      <c r="H34" s="7">
        <f t="shared" si="1"/>
        <v>6.8508963412785562E-3</v>
      </c>
      <c r="I34" s="5">
        <f t="shared" si="2"/>
        <v>6.1658067071507006</v>
      </c>
    </row>
    <row r="35" spans="4:9" x14ac:dyDescent="0.25">
      <c r="D35" s="4">
        <f>D34+50</f>
        <v>950</v>
      </c>
      <c r="E35" s="6">
        <v>13.338174913472741</v>
      </c>
      <c r="F35" s="4">
        <v>1.125</v>
      </c>
      <c r="G35" s="6">
        <f t="shared" ref="G35:G51" si="5">GBSPrice</f>
        <v>13.346464945879582</v>
      </c>
      <c r="H35" s="7">
        <f t="shared" ref="H35:H51" si="6">IF(GBSPrice&lt;&gt;"" &amp; E35&lt;&gt;"",ABS(E35-GBSPrice),"")</f>
        <v>8.2900324068404529E-3</v>
      </c>
      <c r="I35" s="5">
        <f t="shared" si="2"/>
        <v>7.8755307864984303</v>
      </c>
    </row>
    <row r="36" spans="4:9" x14ac:dyDescent="0.25">
      <c r="D36" s="4">
        <f t="shared" si="4"/>
        <v>1000</v>
      </c>
      <c r="E36" s="6">
        <v>13.340331743102258</v>
      </c>
      <c r="F36" s="4">
        <v>1.21875</v>
      </c>
      <c r="G36" s="6">
        <f t="shared" si="5"/>
        <v>13.346464945879582</v>
      </c>
      <c r="H36" s="7">
        <f t="shared" si="6"/>
        <v>6.1332027773239872E-3</v>
      </c>
      <c r="I36" s="5">
        <f t="shared" si="2"/>
        <v>6.1332027773239872</v>
      </c>
    </row>
    <row r="37" spans="4:9" x14ac:dyDescent="0.25">
      <c r="D37" s="4">
        <f>D36+100</f>
        <v>1100</v>
      </c>
      <c r="E37" s="6">
        <v>13.341165870154837</v>
      </c>
      <c r="F37" s="4">
        <v>1.40625</v>
      </c>
      <c r="G37" s="6">
        <f t="shared" si="5"/>
        <v>13.346464945879582</v>
      </c>
      <c r="H37" s="7">
        <f t="shared" si="6"/>
        <v>5.2990757247446396E-3</v>
      </c>
      <c r="I37" s="5">
        <f t="shared" si="2"/>
        <v>5.8289832972191036</v>
      </c>
    </row>
    <row r="38" spans="4:9" x14ac:dyDescent="0.25">
      <c r="D38" s="4">
        <f t="shared" ref="D38:D51" si="7">D37+100</f>
        <v>1200</v>
      </c>
      <c r="E38" s="6">
        <v>13.340740754000239</v>
      </c>
      <c r="F38" s="4">
        <v>1.5859375</v>
      </c>
      <c r="G38" s="6">
        <f t="shared" si="5"/>
        <v>13.346464945879582</v>
      </c>
      <c r="H38" s="7">
        <f t="shared" si="6"/>
        <v>5.7241918793433655E-3</v>
      </c>
      <c r="I38" s="5">
        <f t="shared" si="2"/>
        <v>6.8690302552120386</v>
      </c>
    </row>
    <row r="39" spans="4:9" x14ac:dyDescent="0.25">
      <c r="D39" s="4">
        <f t="shared" si="7"/>
        <v>1300</v>
      </c>
      <c r="E39" s="6">
        <v>13.342252859759325</v>
      </c>
      <c r="F39" s="4">
        <v>1.7890625</v>
      </c>
      <c r="G39" s="6">
        <f t="shared" si="5"/>
        <v>13.346464945879582</v>
      </c>
      <c r="H39" s="7">
        <f t="shared" si="6"/>
        <v>4.2120861202565862E-3</v>
      </c>
      <c r="I39" s="5">
        <f t="shared" si="2"/>
        <v>5.4757119563335621</v>
      </c>
    </row>
    <row r="40" spans="4:9" x14ac:dyDescent="0.25">
      <c r="D40" s="4">
        <f t="shared" si="7"/>
        <v>1400</v>
      </c>
      <c r="E40" s="6">
        <v>13.3412068435105</v>
      </c>
      <c r="F40" s="4">
        <v>2</v>
      </c>
      <c r="G40" s="6">
        <f t="shared" si="5"/>
        <v>13.346464945879582</v>
      </c>
      <c r="H40" s="7">
        <f t="shared" si="6"/>
        <v>5.2581023690816409E-3</v>
      </c>
      <c r="I40" s="5">
        <f t="shared" si="2"/>
        <v>7.3613433167142972</v>
      </c>
    </row>
    <row r="41" spans="4:9" x14ac:dyDescent="0.25">
      <c r="D41" s="4">
        <f t="shared" si="7"/>
        <v>1500</v>
      </c>
      <c r="E41" s="6">
        <v>13.342607251679269</v>
      </c>
      <c r="F41" s="4">
        <v>2.2265625</v>
      </c>
      <c r="G41" s="6">
        <f t="shared" si="5"/>
        <v>13.346464945879582</v>
      </c>
      <c r="H41" s="7">
        <f t="shared" si="6"/>
        <v>3.8576942003132331E-3</v>
      </c>
      <c r="I41" s="5">
        <f t="shared" si="2"/>
        <v>5.7865413004698496</v>
      </c>
    </row>
    <row r="42" spans="4:9" x14ac:dyDescent="0.25">
      <c r="D42" s="4">
        <f t="shared" si="7"/>
        <v>1600</v>
      </c>
      <c r="E42" s="6">
        <v>13.342823503705954</v>
      </c>
      <c r="F42" s="4">
        <v>2.65625</v>
      </c>
      <c r="G42" s="6">
        <f t="shared" si="5"/>
        <v>13.346464945879582</v>
      </c>
      <c r="H42" s="7">
        <f t="shared" si="6"/>
        <v>3.641442173627496E-3</v>
      </c>
      <c r="I42" s="5">
        <f t="shared" si="2"/>
        <v>5.8263074778039936</v>
      </c>
    </row>
    <row r="43" spans="4:9" x14ac:dyDescent="0.25">
      <c r="D43" s="4">
        <f t="shared" si="7"/>
        <v>1700</v>
      </c>
      <c r="E43" s="6">
        <v>13.342078156988489</v>
      </c>
      <c r="F43" s="4">
        <v>2.6796875</v>
      </c>
      <c r="G43" s="6">
        <f t="shared" si="5"/>
        <v>13.346464945879582</v>
      </c>
      <c r="H43" s="7">
        <f t="shared" si="6"/>
        <v>4.3867888910931185E-3</v>
      </c>
      <c r="I43" s="5">
        <f t="shared" si="2"/>
        <v>7.4575411148583015</v>
      </c>
    </row>
    <row r="44" spans="4:9" x14ac:dyDescent="0.25">
      <c r="D44" s="4">
        <f t="shared" si="7"/>
        <v>1800</v>
      </c>
      <c r="E44" s="6">
        <v>13.343375885472927</v>
      </c>
      <c r="F44" s="4">
        <v>2.9140625</v>
      </c>
      <c r="G44" s="6">
        <f t="shared" si="5"/>
        <v>13.346464945879582</v>
      </c>
      <c r="H44" s="7">
        <f t="shared" si="6"/>
        <v>3.0890604066549088E-3</v>
      </c>
      <c r="I44" s="5">
        <f t="shared" si="2"/>
        <v>5.5603087319788358</v>
      </c>
    </row>
    <row r="45" spans="4:9" x14ac:dyDescent="0.25">
      <c r="D45" s="4">
        <f t="shared" si="7"/>
        <v>1900</v>
      </c>
      <c r="E45" s="4">
        <v>13.343285032161814</v>
      </c>
      <c r="F45" s="4">
        <v>3.15625</v>
      </c>
      <c r="G45" s="6">
        <f t="shared" si="5"/>
        <v>13.346464945879582</v>
      </c>
      <c r="H45" s="7">
        <f t="shared" si="6"/>
        <v>3.1799137177674908E-3</v>
      </c>
      <c r="I45" s="5">
        <f t="shared" si="2"/>
        <v>6.0418360637582325</v>
      </c>
    </row>
    <row r="46" spans="4:9" x14ac:dyDescent="0.25">
      <c r="D46" s="4">
        <f t="shared" si="7"/>
        <v>2000</v>
      </c>
      <c r="E46" s="4">
        <v>13.342826650934926</v>
      </c>
      <c r="F46" s="4">
        <v>3.390625</v>
      </c>
      <c r="G46" s="6">
        <f t="shared" si="5"/>
        <v>13.346464945879582</v>
      </c>
      <c r="H46" s="7">
        <f t="shared" si="6"/>
        <v>3.6382949446558399E-3</v>
      </c>
      <c r="I46" s="5">
        <f t="shared" si="2"/>
        <v>7.2765898893116798</v>
      </c>
    </row>
    <row r="47" spans="4:9" x14ac:dyDescent="0.25">
      <c r="D47" s="4">
        <f t="shared" si="7"/>
        <v>2100</v>
      </c>
      <c r="E47" s="4">
        <v>13.343811683800432</v>
      </c>
      <c r="F47" s="4">
        <v>3.65625</v>
      </c>
      <c r="G47" s="6">
        <f t="shared" si="5"/>
        <v>13.346464945879582</v>
      </c>
      <c r="H47" s="7">
        <f t="shared" si="6"/>
        <v>2.6532620791499539E-3</v>
      </c>
      <c r="I47" s="5">
        <f t="shared" si="2"/>
        <v>5.5718503662149033</v>
      </c>
    </row>
    <row r="48" spans="4:9" x14ac:dyDescent="0.25">
      <c r="D48" s="4">
        <f t="shared" si="7"/>
        <v>2200</v>
      </c>
      <c r="E48" s="4">
        <v>13.343780780643071</v>
      </c>
      <c r="F48" s="4">
        <v>3.9375</v>
      </c>
      <c r="G48" s="6">
        <f t="shared" si="5"/>
        <v>13.346464945879582</v>
      </c>
      <c r="H48" s="7">
        <f t="shared" si="6"/>
        <v>2.6841652365110491E-3</v>
      </c>
      <c r="I48" s="5">
        <f t="shared" si="2"/>
        <v>5.905163520324308</v>
      </c>
    </row>
    <row r="49" spans="4:9" x14ac:dyDescent="0.25">
      <c r="D49" s="4">
        <f t="shared" si="7"/>
        <v>2300</v>
      </c>
      <c r="E49" s="4">
        <v>13.343093345744586</v>
      </c>
      <c r="F49" s="4">
        <v>4.21875</v>
      </c>
      <c r="G49" s="6">
        <f t="shared" si="5"/>
        <v>13.346464945879582</v>
      </c>
      <c r="H49" s="7">
        <f t="shared" si="6"/>
        <v>3.3716001349954894E-3</v>
      </c>
      <c r="I49" s="5">
        <f t="shared" si="2"/>
        <v>7.7546803104896256</v>
      </c>
    </row>
    <row r="50" spans="4:9" x14ac:dyDescent="0.25">
      <c r="D50" s="4">
        <f t="shared" si="7"/>
        <v>2400</v>
      </c>
      <c r="E50" s="4">
        <v>13.344055583499308</v>
      </c>
      <c r="F50" s="4">
        <v>4.3828125</v>
      </c>
      <c r="G50" s="6">
        <f t="shared" si="5"/>
        <v>13.346464945879582</v>
      </c>
      <c r="H50" s="7">
        <f t="shared" si="6"/>
        <v>2.4093623802734498E-3</v>
      </c>
      <c r="I50" s="5">
        <f t="shared" si="2"/>
        <v>5.7824697126562796</v>
      </c>
    </row>
    <row r="51" spans="4:9" x14ac:dyDescent="0.25">
      <c r="D51" s="4">
        <f t="shared" si="7"/>
        <v>2500</v>
      </c>
      <c r="E51" s="4">
        <v>13.344226146280239</v>
      </c>
      <c r="F51" s="4">
        <v>4.7109375</v>
      </c>
      <c r="G51" s="6">
        <f t="shared" si="5"/>
        <v>13.346464945879582</v>
      </c>
      <c r="H51" s="7">
        <f t="shared" si="6"/>
        <v>2.2387995993433663E-3</v>
      </c>
      <c r="I51" s="5">
        <f t="shared" si="2"/>
        <v>5.5969989983584156</v>
      </c>
    </row>
  </sheetData>
  <mergeCells count="8">
    <mergeCell ref="H1:H2"/>
    <mergeCell ref="I1:I2"/>
    <mergeCell ref="A1:B2"/>
    <mergeCell ref="A14:B15"/>
    <mergeCell ref="D1:D2"/>
    <mergeCell ref="E1:E2"/>
    <mergeCell ref="F1:F2"/>
    <mergeCell ref="G1:G2"/>
  </mergeCells>
  <conditionalFormatting sqref="B12">
    <cfRule type="expression" dxfId="0" priority="1">
      <formula>B10&lt;=0</formula>
    </cfRule>
  </conditionalFormatting>
  <dataValidations count="4">
    <dataValidation type="custom" allowBlank="1" showInputMessage="1" showErrorMessage="1" errorTitle="Erreur de saisie" error="La cellule ne peut être remplie que si le dividende est supérieur à 0" sqref="B12" xr:uid="{CA3CA7C8-4D77-4548-B74F-77407BA5BF80}">
      <formula1>B10&gt;0</formula1>
    </dataValidation>
    <dataValidation type="decimal" allowBlank="1" showInputMessage="1" showErrorMessage="1" sqref="B7 B9" xr:uid="{947771DC-E105-4D01-8C76-5ADCF5AFB5B5}">
      <formula1>0</formula1>
      <formula2>1</formula2>
    </dataValidation>
    <dataValidation type="list" allowBlank="1" showInputMessage="1" showErrorMessage="1" sqref="B4" xr:uid="{33F57626-A7C0-484C-B8FE-2386567617DB}">
      <formula1>"European, American, Bermudean"</formula1>
    </dataValidation>
    <dataValidation type="list" allowBlank="1" showInputMessage="1" showErrorMessage="1" sqref="B3" xr:uid="{88248351-440F-4E37-81DF-A017428AA8CC}">
      <formula1>"Call, 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PriceTreeStep">
                <anchor moveWithCells="1" sizeWithCells="1">
                  <from>
                    <xdr:col>0</xdr:col>
                    <xdr:colOff>209550</xdr:colOff>
                    <xdr:row>17</xdr:row>
                    <xdr:rowOff>142875</xdr:rowOff>
                  </from>
                  <to>
                    <xdr:col>2</xdr:col>
                    <xdr:colOff>66675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40</vt:i4>
      </vt:variant>
    </vt:vector>
  </HeadingPairs>
  <TitlesOfParts>
    <vt:vector size="46" baseType="lpstr">
      <vt:lpstr>Pricer</vt:lpstr>
      <vt:lpstr>OptionPricePlot</vt:lpstr>
      <vt:lpstr>UnderlyingPlot</vt:lpstr>
      <vt:lpstr>NodeProbaPlot</vt:lpstr>
      <vt:lpstr>Graphs</vt:lpstr>
      <vt:lpstr>Graphique</vt:lpstr>
      <vt:lpstr>begin_plot</vt:lpstr>
      <vt:lpstr>begin_proba_plot</vt:lpstr>
      <vt:lpstr>begin_undl_plot</vt:lpstr>
      <vt:lpstr>GBSPrice</vt:lpstr>
      <vt:lpstr>Gdiv</vt:lpstr>
      <vt:lpstr>GexType</vt:lpstr>
      <vt:lpstr>Gmat</vt:lpstr>
      <vt:lpstr>Grate</vt:lpstr>
      <vt:lpstr>Gspot</vt:lpstr>
      <vt:lpstr>GstartDate</vt:lpstr>
      <vt:lpstr>Gstrike</vt:lpstr>
      <vt:lpstr>Gtype</vt:lpstr>
      <vt:lpstr>Gvol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IOptionPrice</vt:lpstr>
      <vt:lpstr>IOptionType</vt:lpstr>
      <vt:lpstr>IPricingMethod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ITimePrice</vt:lpstr>
      <vt:lpstr>ITimeTotal</vt:lpstr>
      <vt:lpstr>ITimeTree</vt:lpstr>
      <vt:lpstr>IVega</vt:lpstr>
      <vt:lpstr>IVOl</vt:lpstr>
      <vt:lpstr>Spot</vt:lpstr>
      <vt:lpstr>StepRange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2024-10-08T17:15:36Z</dcterms:modified>
</cp:coreProperties>
</file>