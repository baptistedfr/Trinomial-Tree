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evinci-my.sharepoint.com/personal/thibault_charbonnier_edu_devinci_fr/Documents/Dauphine/Cours/VBA-Python/Trinomial-Tree/"/>
    </mc:Choice>
  </mc:AlternateContent>
  <xr:revisionPtr revIDLastSave="341" documentId="13_ncr:1_{89BB3F32-8B1D-4007-A91D-0F9805DCC7BB}" xr6:coauthVersionLast="47" xr6:coauthVersionMax="47" xr10:uidLastSave="{4F693BEA-7844-4C9B-88AD-BAABFAFB83BC}"/>
  <bookViews>
    <workbookView xWindow="-93" yWindow="-93" windowWidth="25786" windowHeight="1386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Interface!$E$20</definedName>
    <definedName name="IDelta">Interface!$M$15</definedName>
    <definedName name="IDiv">Interface!$E$9</definedName>
    <definedName name="IDivDate">Interface!$E$10</definedName>
    <definedName name="IExerciseType">Interface!$E$15</definedName>
    <definedName name="IGamma">Interface!$M$17</definedName>
    <definedName name="IGreeks">Interface!$M$8</definedName>
    <definedName name="IMaturity">Interface!$E$11</definedName>
    <definedName name="INbSteps">Interface!$E$16</definedName>
    <definedName name="IOptionType">Interface!$E$14</definedName>
    <definedName name="IPriceTime">Interface!$E$23</definedName>
    <definedName name="IPrunning">Interface!$E$17</definedName>
    <definedName name="IRate">Interface!$E$8</definedName>
    <definedName name="IRho">Interface!$M$23</definedName>
    <definedName name="IShowTree">Interface!$M$6</definedName>
    <definedName name="ISpot">Interface!$E$6</definedName>
    <definedName name="IStartDate">Interface!$E$13</definedName>
    <definedName name="IStrike">Interface!$E$12</definedName>
    <definedName name="ITheta">Interface!$M$21</definedName>
    <definedName name="ITimeTree">Interface!$E$22</definedName>
    <definedName name="ITotalTime">Interface!$E$24</definedName>
    <definedName name="ITreePrice">Interface!$E$19</definedName>
    <definedName name="IVega">Interface!$M$19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1" l="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1" i="10"/>
  <c r="E24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<sst xmlns="http://schemas.openxmlformats.org/spreadsheetml/2006/main" count="65" uniqueCount="55">
  <si>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</si>
  <si>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</si>
  <si>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</si>
  <si>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</si>
  <si>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</si>
  <si>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</si>
  <si>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</si>
  <si>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</si>
  <si>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</si>
  <si>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</si>
  <si>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</si>
  <si>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</si>
  <si>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</si>
  <si>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</si>
  <si>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</si>
  <si>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</si>
  <si>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</si>
  <si>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</si>
  <si>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</si>
  <si>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</si>
  <si>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</si>
  <si>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</si>
  <si>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</si>
  <si>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</si>
  <si>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</si>
  <si>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</si>
  <si>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</si>
  <si>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</si>
  <si>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</si>
  <si>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</si>
  <si>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</si>
  <si>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</si>
  <si>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</si>
  <si>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</si>
  <si>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</si>
  <si>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</si>
  <si>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</si>
  <si>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</si>
  <si>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</si>
  <si>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</si>
  <si>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</si>
  <si>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</si>
  <si>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</si>
  <si>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</si>
  <si>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</si>
  <si>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</si>
  <si>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</si>
  <si>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</si>
  <si>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</si>
  <si>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</si>
  <si>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</si>
  <si>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</si>
  <si>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</si>
  <si>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No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</si>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</sst>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6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9.1532218255407596</c:v>
                </c:pt>
                <c:pt idx="3">
                  <c:v>9.885952034609474</c:v>
                </c:pt>
                <c:pt idx="4">
                  <c:v>10.169111805734914</c:v>
                </c:pt>
                <c:pt idx="5">
                  <c:v>10.241536846623694</c:v>
                </c:pt>
                <c:pt idx="6">
                  <c:v>10.283793769983403</c:v>
                </c:pt>
                <c:pt idx="7">
                  <c:v>10.366449770738569</c:v>
                </c:pt>
                <c:pt idx="8">
                  <c:v>10.395147854133819</c:v>
                </c:pt>
                <c:pt idx="9">
                  <c:v>10.405881336518165</c:v>
                </c:pt>
                <c:pt idx="10">
                  <c:v>10.409194942821095</c:v>
                </c:pt>
                <c:pt idx="11">
                  <c:v>10.409066876492723</c:v>
                </c:pt>
                <c:pt idx="12">
                  <c:v>10.410750220872679</c:v>
                </c:pt>
                <c:pt idx="13">
                  <c:v>10.420231525731108</c:v>
                </c:pt>
                <c:pt idx="14">
                  <c:v>10.426307917572029</c:v>
                </c:pt>
                <c:pt idx="15">
                  <c:v>10.430101140710535</c:v>
                </c:pt>
                <c:pt idx="16">
                  <c:v>10.432321494924157</c:v>
                </c:pt>
                <c:pt idx="17">
                  <c:v>10.433435463102411</c:v>
                </c:pt>
                <c:pt idx="18">
                  <c:v>10.433758711154615</c:v>
                </c:pt>
                <c:pt idx="19">
                  <c:v>10.433510227616019</c:v>
                </c:pt>
                <c:pt idx="20">
                  <c:v>10.432845135970384</c:v>
                </c:pt>
                <c:pt idx="21">
                  <c:v>10.431875273226145</c:v>
                </c:pt>
                <c:pt idx="22">
                  <c:v>10.433443663660622</c:v>
                </c:pt>
                <c:pt idx="23">
                  <c:v>10.435948240441416</c:v>
                </c:pt>
                <c:pt idx="24">
                  <c:v>10.437860740894754</c:v>
                </c:pt>
                <c:pt idx="25">
                  <c:v>10.440317791417934</c:v>
                </c:pt>
                <c:pt idx="26">
                  <c:v>10.441440887218961</c:v>
                </c:pt>
                <c:pt idx="27">
                  <c:v>10.441639000647232</c:v>
                </c:pt>
                <c:pt idx="28">
                  <c:v>10.441187229958647</c:v>
                </c:pt>
                <c:pt idx="29">
                  <c:v>10.440275152845722</c:v>
                </c:pt>
                <c:pt idx="30">
                  <c:v>10.441217856394012</c:v>
                </c:pt>
                <c:pt idx="31">
                  <c:v>10.442966363443686</c:v>
                </c:pt>
                <c:pt idx="32">
                  <c:v>10.444111971478552</c:v>
                </c:pt>
                <c:pt idx="33">
                  <c:v>10.444780336317137</c:v>
                </c:pt>
                <c:pt idx="34">
                  <c:v>10.445068425491515</c:v>
                </c:pt>
                <c:pt idx="35">
                  <c:v>10.444790365781673</c:v>
                </c:pt>
                <c:pt idx="36">
                  <c:v>10.443712394489504</c:v>
                </c:pt>
                <c:pt idx="37">
                  <c:v>10.445588706849128</c:v>
                </c:pt>
                <c:pt idx="38">
                  <c:v>10.446584669782963</c:v>
                </c:pt>
                <c:pt idx="39">
                  <c:v>10.446877812325441</c:v>
                </c:pt>
                <c:pt idx="40">
                  <c:v>10.446650588408035</c:v>
                </c:pt>
                <c:pt idx="41">
                  <c:v>10.446035509334093</c:v>
                </c:pt>
                <c:pt idx="42">
                  <c:v>10.446637585478943</c:v>
                </c:pt>
                <c:pt idx="43">
                  <c:v>10.447433809742295</c:v>
                </c:pt>
                <c:pt idx="44">
                  <c:v>10.447831947832821</c:v>
                </c:pt>
                <c:pt idx="45">
                  <c:v>10.447910429170538</c:v>
                </c:pt>
                <c:pt idx="46">
                  <c:v>10.447731124887728</c:v>
                </c:pt>
                <c:pt idx="47">
                  <c:v>10.447343272762678</c:v>
                </c:pt>
                <c:pt idx="48">
                  <c:v>10.447425945842401</c:v>
                </c:pt>
                <c:pt idx="49">
                  <c:v>10.448023411980241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10.450583572185572</c:v>
                </c:pt>
                <c:pt idx="3">
                  <c:v>10.450583572185572</c:v>
                </c:pt>
                <c:pt idx="4">
                  <c:v>10.450583572185572</c:v>
                </c:pt>
                <c:pt idx="5">
                  <c:v>10.450583572185572</c:v>
                </c:pt>
                <c:pt idx="6">
                  <c:v>10.450583572185572</c:v>
                </c:pt>
                <c:pt idx="7">
                  <c:v>10.450583572185572</c:v>
                </c:pt>
                <c:pt idx="8">
                  <c:v>10.450583572185572</c:v>
                </c:pt>
                <c:pt idx="9">
                  <c:v>10.450583572185572</c:v>
                </c:pt>
                <c:pt idx="10">
                  <c:v>10.450583572185572</c:v>
                </c:pt>
                <c:pt idx="11">
                  <c:v>10.450583572185572</c:v>
                </c:pt>
                <c:pt idx="12">
                  <c:v>10.450583572185572</c:v>
                </c:pt>
                <c:pt idx="13">
                  <c:v>10.450583572185572</c:v>
                </c:pt>
                <c:pt idx="14">
                  <c:v>10.450583572185572</c:v>
                </c:pt>
                <c:pt idx="15">
                  <c:v>10.450583572185572</c:v>
                </c:pt>
                <c:pt idx="16">
                  <c:v>10.450583572185572</c:v>
                </c:pt>
                <c:pt idx="17">
                  <c:v>10.450583572185572</c:v>
                </c:pt>
                <c:pt idx="18">
                  <c:v>10.450583572185572</c:v>
                </c:pt>
                <c:pt idx="19">
                  <c:v>10.450583572185572</c:v>
                </c:pt>
                <c:pt idx="20">
                  <c:v>10.450583572185572</c:v>
                </c:pt>
                <c:pt idx="21">
                  <c:v>10.450583572185572</c:v>
                </c:pt>
                <c:pt idx="22">
                  <c:v>10.450583572185572</c:v>
                </c:pt>
                <c:pt idx="23">
                  <c:v>10.450583572185572</c:v>
                </c:pt>
                <c:pt idx="24">
                  <c:v>10.450583572185572</c:v>
                </c:pt>
                <c:pt idx="25">
                  <c:v>10.450583572185572</c:v>
                </c:pt>
                <c:pt idx="26">
                  <c:v>10.450583572185572</c:v>
                </c:pt>
                <c:pt idx="27">
                  <c:v>10.450583572185572</c:v>
                </c:pt>
                <c:pt idx="28">
                  <c:v>10.450583572185572</c:v>
                </c:pt>
                <c:pt idx="29">
                  <c:v>10.450583572185572</c:v>
                </c:pt>
                <c:pt idx="30">
                  <c:v>10.450583572185572</c:v>
                </c:pt>
                <c:pt idx="31">
                  <c:v>10.450583572185572</c:v>
                </c:pt>
                <c:pt idx="32">
                  <c:v>10.450583572185572</c:v>
                </c:pt>
                <c:pt idx="33">
                  <c:v>10.450583572185572</c:v>
                </c:pt>
                <c:pt idx="34">
                  <c:v>10.450583572185572</c:v>
                </c:pt>
                <c:pt idx="35">
                  <c:v>10.450583572185572</c:v>
                </c:pt>
                <c:pt idx="36">
                  <c:v>10.450583572185572</c:v>
                </c:pt>
                <c:pt idx="37">
                  <c:v>10.450583572185572</c:v>
                </c:pt>
                <c:pt idx="38">
                  <c:v>10.450583572185572</c:v>
                </c:pt>
                <c:pt idx="39">
                  <c:v>10.450583572185572</c:v>
                </c:pt>
                <c:pt idx="40">
                  <c:v>10.450583572185572</c:v>
                </c:pt>
                <c:pt idx="41">
                  <c:v>10.450583572185572</c:v>
                </c:pt>
                <c:pt idx="42">
                  <c:v>10.450583572185572</c:v>
                </c:pt>
                <c:pt idx="43">
                  <c:v>10.450583572185572</c:v>
                </c:pt>
                <c:pt idx="44">
                  <c:v>10.450583572185572</c:v>
                </c:pt>
                <c:pt idx="45">
                  <c:v>10.450583572185572</c:v>
                </c:pt>
                <c:pt idx="46">
                  <c:v>10.450583572185572</c:v>
                </c:pt>
                <c:pt idx="47">
                  <c:v>10.450583572185572</c:v>
                </c:pt>
                <c:pt idx="48">
                  <c:v>10.450583572185572</c:v>
                </c:pt>
                <c:pt idx="49">
                  <c:v>10.450583572185572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1.5625E-2</c:v>
                </c:pt>
                <c:pt idx="7">
                  <c:v>3.125E-2</c:v>
                </c:pt>
                <c:pt idx="8">
                  <c:v>7.8125E-2</c:v>
                </c:pt>
                <c:pt idx="9">
                  <c:v>8.59375E-2</c:v>
                </c:pt>
                <c:pt idx="10">
                  <c:v>0.125</c:v>
                </c:pt>
                <c:pt idx="11">
                  <c:v>0.171875</c:v>
                </c:pt>
                <c:pt idx="12">
                  <c:v>0.22265625</c:v>
                </c:pt>
                <c:pt idx="13">
                  <c:v>0.296875</c:v>
                </c:pt>
                <c:pt idx="14">
                  <c:v>0.34375</c:v>
                </c:pt>
                <c:pt idx="15">
                  <c:v>0.421875</c:v>
                </c:pt>
                <c:pt idx="16">
                  <c:v>0.5</c:v>
                </c:pt>
                <c:pt idx="17">
                  <c:v>0.59375</c:v>
                </c:pt>
                <c:pt idx="18">
                  <c:v>0.69140625</c:v>
                </c:pt>
                <c:pt idx="19">
                  <c:v>0.8125</c:v>
                </c:pt>
                <c:pt idx="20">
                  <c:v>0.9140625</c:v>
                </c:pt>
                <c:pt idx="21">
                  <c:v>1.03515625</c:v>
                </c:pt>
                <c:pt idx="22">
                  <c:v>1.12890625</c:v>
                </c:pt>
                <c:pt idx="23">
                  <c:v>1.26953125</c:v>
                </c:pt>
                <c:pt idx="24">
                  <c:v>1.42578125</c:v>
                </c:pt>
                <c:pt idx="25">
                  <c:v>1.69140625</c:v>
                </c:pt>
                <c:pt idx="26">
                  <c:v>2.00390625</c:v>
                </c:pt>
                <c:pt idx="27">
                  <c:v>2.3046875</c:v>
                </c:pt>
                <c:pt idx="28">
                  <c:v>2.61328125</c:v>
                </c:pt>
                <c:pt idx="29">
                  <c:v>2.9921875</c:v>
                </c:pt>
                <c:pt idx="30">
                  <c:v>3.32421875</c:v>
                </c:pt>
                <c:pt idx="31">
                  <c:v>3.69140625</c:v>
                </c:pt>
                <c:pt idx="32">
                  <c:v>4.0390625</c:v>
                </c:pt>
                <c:pt idx="33">
                  <c:v>4.4296875</c:v>
                </c:pt>
                <c:pt idx="34">
                  <c:v>4.83984375</c:v>
                </c:pt>
                <c:pt idx="35">
                  <c:v>6.09765625</c:v>
                </c:pt>
                <c:pt idx="36">
                  <c:v>7.109375</c:v>
                </c:pt>
                <c:pt idx="37">
                  <c:v>7.52734375</c:v>
                </c:pt>
                <c:pt idx="38">
                  <c:v>8.51953125</c:v>
                </c:pt>
                <c:pt idx="39">
                  <c:v>9.44140625</c:v>
                </c:pt>
                <c:pt idx="40">
                  <c:v>10.51953125</c:v>
                </c:pt>
                <c:pt idx="41">
                  <c:v>11.6796875</c:v>
                </c:pt>
                <c:pt idx="42">
                  <c:v>13</c:v>
                </c:pt>
                <c:pt idx="43">
                  <c:v>14.22265625</c:v>
                </c:pt>
                <c:pt idx="44">
                  <c:v>15.31640625</c:v>
                </c:pt>
                <c:pt idx="45">
                  <c:v>16.625</c:v>
                </c:pt>
                <c:pt idx="46">
                  <c:v>18.375</c:v>
                </c:pt>
                <c:pt idx="47">
                  <c:v>19.7578125</c:v>
                </c:pt>
                <c:pt idx="48">
                  <c:v>20.6796875</c:v>
                </c:pt>
                <c:pt idx="49">
                  <c:v>21.96484375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1.2973617466448122</c:v>
                </c:pt>
                <c:pt idx="3">
                  <c:v>0.56463153757609774</c:v>
                </c:pt>
                <c:pt idx="4">
                  <c:v>0.28147176645065741</c:v>
                </c:pt>
                <c:pt idx="5">
                  <c:v>0.20904672556187798</c:v>
                </c:pt>
                <c:pt idx="6">
                  <c:v>0.16678980220216921</c:v>
                </c:pt>
                <c:pt idx="7">
                  <c:v>8.4133801447002554E-2</c:v>
                </c:pt>
                <c:pt idx="8">
                  <c:v>5.5435718051752403E-2</c:v>
                </c:pt>
                <c:pt idx="9">
                  <c:v>4.4702235667406498E-2</c:v>
                </c:pt>
                <c:pt idx="10">
                  <c:v>4.1388629364476515E-2</c:v>
                </c:pt>
                <c:pt idx="11">
                  <c:v>4.1516695692848771E-2</c:v>
                </c:pt>
                <c:pt idx="12">
                  <c:v>3.9833351312893228E-2</c:v>
                </c:pt>
                <c:pt idx="13">
                  <c:v>3.0352046454463988E-2</c:v>
                </c:pt>
                <c:pt idx="14">
                  <c:v>2.4275654613543196E-2</c:v>
                </c:pt>
                <c:pt idx="15">
                  <c:v>2.0482431475036478E-2</c:v>
                </c:pt>
                <c:pt idx="16">
                  <c:v>1.8262077261415044E-2</c:v>
                </c:pt>
                <c:pt idx="17">
                  <c:v>1.714810908316089E-2</c:v>
                </c:pt>
                <c:pt idx="18">
                  <c:v>1.6824861030956484E-2</c:v>
                </c:pt>
                <c:pt idx="19">
                  <c:v>1.7073344569553228E-2</c:v>
                </c:pt>
                <c:pt idx="20">
                  <c:v>1.7738436215188003E-2</c:v>
                </c:pt>
                <c:pt idx="21">
                  <c:v>1.8708298959426273E-2</c:v>
                </c:pt>
                <c:pt idx="22">
                  <c:v>1.7139908524949732E-2</c:v>
                </c:pt>
                <c:pt idx="23">
                  <c:v>1.4635331744155877E-2</c:v>
                </c:pt>
                <c:pt idx="24">
                  <c:v>1.2722831290817638E-2</c:v>
                </c:pt>
                <c:pt idx="25">
                  <c:v>1.0265780767637622E-2</c:v>
                </c:pt>
                <c:pt idx="26">
                  <c:v>9.1426849666103038E-3</c:v>
                </c:pt>
                <c:pt idx="27">
                  <c:v>8.9445715383398294E-3</c:v>
                </c:pt>
                <c:pt idx="28">
                  <c:v>9.3963422269247587E-3</c:v>
                </c:pt>
                <c:pt idx="29">
                  <c:v>1.0308419339850161E-2</c:v>
                </c:pt>
                <c:pt idx="30">
                  <c:v>9.3657157915600919E-3</c:v>
                </c:pt>
                <c:pt idx="31">
                  <c:v>7.6172087418857615E-3</c:v>
                </c:pt>
                <c:pt idx="32">
                  <c:v>6.4716007070195758E-3</c:v>
                </c:pt>
                <c:pt idx="33">
                  <c:v>5.8032358684343421E-3</c:v>
                </c:pt>
                <c:pt idx="34">
                  <c:v>5.5151466940568383E-3</c:v>
                </c:pt>
                <c:pt idx="35">
                  <c:v>5.7932064038990205E-3</c:v>
                </c:pt>
                <c:pt idx="36">
                  <c:v>6.8711776960679316E-3</c:v>
                </c:pt>
                <c:pt idx="37">
                  <c:v>4.9948653364442208E-3</c:v>
                </c:pt>
                <c:pt idx="38">
                  <c:v>3.998902402608806E-3</c:v>
                </c:pt>
                <c:pt idx="39">
                  <c:v>3.705759860130442E-3</c:v>
                </c:pt>
                <c:pt idx="40">
                  <c:v>3.9329837775365917E-3</c:v>
                </c:pt>
                <c:pt idx="41">
                  <c:v>4.5480628514784627E-3</c:v>
                </c:pt>
                <c:pt idx="42">
                  <c:v>3.9459867066291565E-3</c:v>
                </c:pt>
                <c:pt idx="43">
                  <c:v>3.1497624432770266E-3</c:v>
                </c:pt>
                <c:pt idx="44">
                  <c:v>2.7516243527507811E-3</c:v>
                </c:pt>
                <c:pt idx="45">
                  <c:v>2.6731430150341851E-3</c:v>
                </c:pt>
                <c:pt idx="46">
                  <c:v>2.8524472978439519E-3</c:v>
                </c:pt>
                <c:pt idx="47">
                  <c:v>3.2402994228935E-3</c:v>
                </c:pt>
                <c:pt idx="48">
                  <c:v>3.1576263431709606E-3</c:v>
                </c:pt>
                <c:pt idx="49">
                  <c:v>2.5601602053306749E-3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6.4868087332240609</c:v>
                </c:pt>
                <c:pt idx="3">
                  <c:v>5.6463153757609774</c:v>
                </c:pt>
                <c:pt idx="4">
                  <c:v>5.6294353290131482</c:v>
                </c:pt>
                <c:pt idx="5">
                  <c:v>6.2714017668563393</c:v>
                </c:pt>
                <c:pt idx="6">
                  <c:v>8.3394901101084606</c:v>
                </c:pt>
                <c:pt idx="7">
                  <c:v>6.3100351085251916</c:v>
                </c:pt>
                <c:pt idx="8">
                  <c:v>5.5435718051752403</c:v>
                </c:pt>
                <c:pt idx="9">
                  <c:v>5.5877794584258123</c:v>
                </c:pt>
                <c:pt idx="10">
                  <c:v>6.2082944046714772</c:v>
                </c:pt>
                <c:pt idx="11">
                  <c:v>7.2654217462485349</c:v>
                </c:pt>
                <c:pt idx="12">
                  <c:v>7.9666702625786456</c:v>
                </c:pt>
                <c:pt idx="13">
                  <c:v>6.8292104522543973</c:v>
                </c:pt>
                <c:pt idx="14">
                  <c:v>6.068913653385799</c:v>
                </c:pt>
                <c:pt idx="15">
                  <c:v>5.6326686556350314</c:v>
                </c:pt>
                <c:pt idx="16">
                  <c:v>5.4786231784245132</c:v>
                </c:pt>
                <c:pt idx="17">
                  <c:v>5.5731354520272891</c:v>
                </c:pt>
                <c:pt idx="18">
                  <c:v>5.8887013608347694</c:v>
                </c:pt>
                <c:pt idx="19">
                  <c:v>6.4025042135824606</c:v>
                </c:pt>
                <c:pt idx="20">
                  <c:v>7.095374486075201</c:v>
                </c:pt>
                <c:pt idx="21">
                  <c:v>7.9510270577561659</c:v>
                </c:pt>
                <c:pt idx="22">
                  <c:v>7.7129588362273793</c:v>
                </c:pt>
                <c:pt idx="23">
                  <c:v>6.9517825784740417</c:v>
                </c:pt>
                <c:pt idx="24">
                  <c:v>6.3614156454088189</c:v>
                </c:pt>
                <c:pt idx="25">
                  <c:v>5.6461794222006922</c:v>
                </c:pt>
                <c:pt idx="26">
                  <c:v>5.4856109799661823</c:v>
                </c:pt>
                <c:pt idx="27">
                  <c:v>5.8139714999208891</c:v>
                </c:pt>
                <c:pt idx="28">
                  <c:v>6.5774395588473311</c:v>
                </c:pt>
                <c:pt idx="29">
                  <c:v>7.7313145048876208</c:v>
                </c:pt>
                <c:pt idx="30">
                  <c:v>7.4925726332480735</c:v>
                </c:pt>
                <c:pt idx="31">
                  <c:v>6.4746274306028972</c:v>
                </c:pt>
                <c:pt idx="32">
                  <c:v>5.8244406363176182</c:v>
                </c:pt>
                <c:pt idx="33">
                  <c:v>5.513074075012625</c:v>
                </c:pt>
                <c:pt idx="34">
                  <c:v>5.5151466940568383</c:v>
                </c:pt>
                <c:pt idx="35">
                  <c:v>6.3725270442889226</c:v>
                </c:pt>
                <c:pt idx="36">
                  <c:v>8.2454132352815179</c:v>
                </c:pt>
                <c:pt idx="37">
                  <c:v>6.4933249373774871</c:v>
                </c:pt>
                <c:pt idx="38">
                  <c:v>5.5984633636523284</c:v>
                </c:pt>
                <c:pt idx="39">
                  <c:v>5.558639790195663</c:v>
                </c:pt>
                <c:pt idx="40">
                  <c:v>6.2927740440585467</c:v>
                </c:pt>
                <c:pt idx="41">
                  <c:v>7.7317068475133865</c:v>
                </c:pt>
                <c:pt idx="42">
                  <c:v>7.1027760719324817</c:v>
                </c:pt>
                <c:pt idx="43">
                  <c:v>5.9845486422263505</c:v>
                </c:pt>
                <c:pt idx="44">
                  <c:v>5.5032487055015622</c:v>
                </c:pt>
                <c:pt idx="45">
                  <c:v>5.6136003315717886</c:v>
                </c:pt>
                <c:pt idx="46">
                  <c:v>6.2753840552566942</c:v>
                </c:pt>
                <c:pt idx="47">
                  <c:v>7.4526886726550501</c:v>
                </c:pt>
                <c:pt idx="48">
                  <c:v>7.5783032236103054</c:v>
                </c:pt>
                <c:pt idx="49">
                  <c:v>6.4004005133266872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-0.80501463202914181</c:v>
                </c:pt>
                <c:pt idx="2">
                  <c:v>-0.76284958940199132</c:v>
                </c:pt>
                <c:pt idx="3">
                  <c:v>-0.74180608393603009</c:v>
                </c:pt>
                <c:pt idx="4">
                  <c:v>-0.74180608393604786</c:v>
                </c:pt>
                <c:pt idx="5">
                  <c:v>-0.7418060839360443</c:v>
                </c:pt>
                <c:pt idx="6">
                  <c:v>-0.71640855793022062</c:v>
                </c:pt>
                <c:pt idx="7">
                  <c:v>-0.66538435626365988</c:v>
                </c:pt>
                <c:pt idx="8">
                  <c:v>-0.66538435626366876</c:v>
                </c:pt>
                <c:pt idx="9">
                  <c:v>-0.66538435626366166</c:v>
                </c:pt>
                <c:pt idx="10">
                  <c:v>-0.66538435626365811</c:v>
                </c:pt>
                <c:pt idx="11">
                  <c:v>-0.5975996242829904</c:v>
                </c:pt>
                <c:pt idx="12">
                  <c:v>-0.57847456737701819</c:v>
                </c:pt>
                <c:pt idx="13">
                  <c:v>-0.57847456737702352</c:v>
                </c:pt>
                <c:pt idx="14">
                  <c:v>-0.57847456737701997</c:v>
                </c:pt>
                <c:pt idx="15">
                  <c:v>-0.57847456737702529</c:v>
                </c:pt>
                <c:pt idx="16">
                  <c:v>-0.48560290013726082</c:v>
                </c:pt>
                <c:pt idx="17">
                  <c:v>-0.4855080259557667</c:v>
                </c:pt>
                <c:pt idx="18">
                  <c:v>-0.4855080259557667</c:v>
                </c:pt>
                <c:pt idx="19">
                  <c:v>-0.48550802595577558</c:v>
                </c:pt>
                <c:pt idx="20">
                  <c:v>-0.4855080259557667</c:v>
                </c:pt>
                <c:pt idx="21">
                  <c:v>-0.39403122367334387</c:v>
                </c:pt>
                <c:pt idx="22">
                  <c:v>-0.39197010874551985</c:v>
                </c:pt>
                <c:pt idx="23">
                  <c:v>-0.39197010874552163</c:v>
                </c:pt>
                <c:pt idx="24">
                  <c:v>-0.39197010874552163</c:v>
                </c:pt>
                <c:pt idx="25">
                  <c:v>-0.39197010874552074</c:v>
                </c:pt>
                <c:pt idx="26">
                  <c:v>-0.32957571383096784</c:v>
                </c:pt>
                <c:pt idx="27">
                  <c:v>-0.30344821893688501</c:v>
                </c:pt>
                <c:pt idx="28">
                  <c:v>-0.30344821893688501</c:v>
                </c:pt>
                <c:pt idx="29">
                  <c:v>-0.30344821893688323</c:v>
                </c:pt>
                <c:pt idx="30">
                  <c:v>-0.30344821893688323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-0.78441469808298692</c:v>
                </c:pt>
                <c:pt idx="2">
                  <c:v>-0.76975628788048667</c:v>
                </c:pt>
                <c:pt idx="3">
                  <c:v>-0.75451466321311145</c:v>
                </c:pt>
                <c:pt idx="4">
                  <c:v>-0.73872558591506632</c:v>
                </c:pt>
                <c:pt idx="5">
                  <c:v>-0.72242827787473729</c:v>
                </c:pt>
                <c:pt idx="6">
                  <c:v>-0.70566499554626461</c:v>
                </c:pt>
                <c:pt idx="7">
                  <c:v>-0.68848058162199877</c:v>
                </c:pt>
                <c:pt idx="8">
                  <c:v>-0.67092200202328556</c:v>
                </c:pt>
                <c:pt idx="9">
                  <c:v>-0.65303787607228792</c:v>
                </c:pt>
                <c:pt idx="10">
                  <c:v>-0.63487800727257948</c:v>
                </c:pt>
                <c:pt idx="11">
                  <c:v>-0.61649292156562652</c:v>
                </c:pt>
                <c:pt idx="12">
                  <c:v>-0.59793341928180688</c:v>
                </c:pt>
                <c:pt idx="13">
                  <c:v>-0.5792501462831563</c:v>
                </c:pt>
                <c:pt idx="14">
                  <c:v>-0.56049318903164647</c:v>
                </c:pt>
                <c:pt idx="15">
                  <c:v>-0.54171169753178106</c:v>
                </c:pt>
                <c:pt idx="16">
                  <c:v>-0.52295353930862731</c:v>
                </c:pt>
                <c:pt idx="17">
                  <c:v>-0.50426498681181009</c:v>
                </c:pt>
                <c:pt idx="18">
                  <c:v>-0.48569043989654936</c:v>
                </c:pt>
                <c:pt idx="19">
                  <c:v>-0.46727218433745499</c:v>
                </c:pt>
                <c:pt idx="20">
                  <c:v>-0.44905018668795016</c:v>
                </c:pt>
                <c:pt idx="21">
                  <c:v>-0.43106192521760356</c:v>
                </c:pt>
                <c:pt idx="22">
                  <c:v>-0.41334225614356868</c:v>
                </c:pt>
                <c:pt idx="23">
                  <c:v>-0.39592331392495517</c:v>
                </c:pt>
                <c:pt idx="24">
                  <c:v>-0.37883444401078137</c:v>
                </c:pt>
                <c:pt idx="25">
                  <c:v>-0.36210216612202828</c:v>
                </c:pt>
                <c:pt idx="26">
                  <c:v>-0.34575016590433805</c:v>
                </c:pt>
                <c:pt idx="27">
                  <c:v>-0.32979931260598416</c:v>
                </c:pt>
                <c:pt idx="28">
                  <c:v>-0.31426770031326523</c:v>
                </c:pt>
                <c:pt idx="29">
                  <c:v>-0.29917071020432928</c:v>
                </c:pt>
                <c:pt idx="30">
                  <c:v>-0.28452109126137159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-0.10276780139166775</c:v>
                </c:pt>
                <c:pt idx="1">
                  <c:v>-0.12336773533782264</c:v>
                </c:pt>
                <c:pt idx="2">
                  <c:v>-0.11646103685932729</c:v>
                </c:pt>
                <c:pt idx="3">
                  <c:v>-0.10375245758224594</c:v>
                </c:pt>
                <c:pt idx="4">
                  <c:v>-0.10683295560322748</c:v>
                </c:pt>
                <c:pt idx="5">
                  <c:v>-0.12621076166453449</c:v>
                </c:pt>
                <c:pt idx="6">
                  <c:v>-0.13695432404849051</c:v>
                </c:pt>
                <c:pt idx="7">
                  <c:v>-0.11385809869015162</c:v>
                </c:pt>
                <c:pt idx="8">
                  <c:v>-0.10832045293053483</c:v>
                </c:pt>
                <c:pt idx="9">
                  <c:v>-0.12066693312190857</c:v>
                </c:pt>
                <c:pt idx="10">
                  <c:v>-0.1511732821129872</c:v>
                </c:pt>
                <c:pt idx="11">
                  <c:v>-0.13227998483035108</c:v>
                </c:pt>
                <c:pt idx="12">
                  <c:v>-0.1128211329255624</c:v>
                </c:pt>
                <c:pt idx="13">
                  <c:v>-0.11204555401942962</c:v>
                </c:pt>
                <c:pt idx="14">
                  <c:v>-0.13002693236480312</c:v>
                </c:pt>
                <c:pt idx="15">
                  <c:v>-0.16678980221004736</c:v>
                </c:pt>
                <c:pt idx="16">
                  <c:v>-0.12943916303868086</c:v>
                </c:pt>
                <c:pt idx="17">
                  <c:v>-0.11068220218263747</c:v>
                </c:pt>
                <c:pt idx="18">
                  <c:v>-0.1104997882418548</c:v>
                </c:pt>
                <c:pt idx="19">
                  <c:v>-0.12873562986017539</c:v>
                </c:pt>
                <c:pt idx="20">
                  <c:v>-0.16519346912799193</c:v>
                </c:pt>
                <c:pt idx="21">
                  <c:v>-0.12816276758373224</c:v>
                </c:pt>
                <c:pt idx="22">
                  <c:v>-0.10679062018568342</c:v>
                </c:pt>
                <c:pt idx="23">
                  <c:v>-0.10283741500624988</c:v>
                </c:pt>
                <c:pt idx="24">
                  <c:v>-0.11597307974099014</c:v>
                </c:pt>
                <c:pt idx="25">
                  <c:v>-0.1458410223644826</c:v>
                </c:pt>
                <c:pt idx="26">
                  <c:v>-0.12966657029111239</c:v>
                </c:pt>
                <c:pt idx="27">
                  <c:v>-0.10331547662201324</c:v>
                </c:pt>
                <c:pt idx="28">
                  <c:v>-9.2495995245633011E-2</c:v>
                </c:pt>
                <c:pt idx="29">
                  <c:v>-9.6773503978186959E-2</c:v>
                </c:pt>
                <c:pt idx="30">
                  <c:v>-0.11570063165369859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20.366520119990724</c:v>
                </c:pt>
                <c:pt idx="1">
                  <c:v>19.561505487961583</c:v>
                </c:pt>
                <c:pt idx="2">
                  <c:v>18.798655898559591</c:v>
                </c:pt>
                <c:pt idx="3">
                  <c:v>18.056849814623561</c:v>
                </c:pt>
                <c:pt idx="4">
                  <c:v>17.315043730687513</c:v>
                </c:pt>
                <c:pt idx="5">
                  <c:v>16.573237646751469</c:v>
                </c:pt>
                <c:pt idx="6">
                  <c:v>15.856829088821248</c:v>
                </c:pt>
                <c:pt idx="7">
                  <c:v>15.191444732557589</c:v>
                </c:pt>
                <c:pt idx="8">
                  <c:v>14.52606037629392</c:v>
                </c:pt>
                <c:pt idx="9">
                  <c:v>13.860676020030258</c:v>
                </c:pt>
                <c:pt idx="10">
                  <c:v>13.1952916637666</c:v>
                </c:pt>
                <c:pt idx="11">
                  <c:v>12.59769203948361</c:v>
                </c:pt>
                <c:pt idx="12">
                  <c:v>12.019217472106591</c:v>
                </c:pt>
                <c:pt idx="13">
                  <c:v>11.440742904729568</c:v>
                </c:pt>
                <c:pt idx="14">
                  <c:v>10.862268337352548</c:v>
                </c:pt>
                <c:pt idx="15">
                  <c:v>10.283793769975523</c:v>
                </c:pt>
                <c:pt idx="16">
                  <c:v>9.7981908698382618</c:v>
                </c:pt>
                <c:pt idx="17">
                  <c:v>9.3126828438824951</c:v>
                </c:pt>
                <c:pt idx="18">
                  <c:v>8.8271748179267284</c:v>
                </c:pt>
                <c:pt idx="19">
                  <c:v>8.3416667919709528</c:v>
                </c:pt>
                <c:pt idx="20">
                  <c:v>7.8561587660151861</c:v>
                </c:pt>
                <c:pt idx="21">
                  <c:v>7.4621275423418423</c:v>
                </c:pt>
                <c:pt idx="22">
                  <c:v>7.0701574335963224</c:v>
                </c:pt>
                <c:pt idx="23">
                  <c:v>6.6781873248508008</c:v>
                </c:pt>
                <c:pt idx="24">
                  <c:v>6.2862172161052792</c:v>
                </c:pt>
                <c:pt idx="25">
                  <c:v>5.8942471073597584</c:v>
                </c:pt>
                <c:pt idx="26">
                  <c:v>5.5646713935287906</c:v>
                </c:pt>
                <c:pt idx="27">
                  <c:v>5.2612231745919056</c:v>
                </c:pt>
                <c:pt idx="28">
                  <c:v>4.9577749556550206</c:v>
                </c:pt>
                <c:pt idx="29">
                  <c:v>4.6543267367181373</c:v>
                </c:pt>
                <c:pt idx="30">
                  <c:v>4.3508785177812541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20.469287921382392</c:v>
                </c:pt>
                <c:pt idx="1">
                  <c:v>19.684873223299405</c:v>
                </c:pt>
                <c:pt idx="2">
                  <c:v>18.915116935418919</c:v>
                </c:pt>
                <c:pt idx="3">
                  <c:v>18.160602272205807</c:v>
                </c:pt>
                <c:pt idx="4">
                  <c:v>17.421876686290741</c:v>
                </c:pt>
                <c:pt idx="5">
                  <c:v>16.699448408416004</c:v>
                </c:pt>
                <c:pt idx="6">
                  <c:v>15.993783412869739</c:v>
                </c:pt>
                <c:pt idx="7">
                  <c:v>15.30530283124774</c:v>
                </c:pt>
                <c:pt idx="8">
                  <c:v>14.634380829224455</c:v>
                </c:pt>
                <c:pt idx="9">
                  <c:v>13.981342953152167</c:v>
                </c:pt>
                <c:pt idx="10">
                  <c:v>13.346464945879587</c:v>
                </c:pt>
                <c:pt idx="11">
                  <c:v>12.729972024313961</c:v>
                </c:pt>
                <c:pt idx="12">
                  <c:v>12.132038605032154</c:v>
                </c:pt>
                <c:pt idx="13">
                  <c:v>11.552788458748998</c:v>
                </c:pt>
                <c:pt idx="14">
                  <c:v>10.992295269717351</c:v>
                </c:pt>
                <c:pt idx="15">
                  <c:v>10.45058357218557</c:v>
                </c:pt>
                <c:pt idx="16">
                  <c:v>9.9276300328769427</c:v>
                </c:pt>
                <c:pt idx="17">
                  <c:v>9.4233650460651326</c:v>
                </c:pt>
                <c:pt idx="18">
                  <c:v>8.9376746061685832</c:v>
                </c:pt>
                <c:pt idx="19">
                  <c:v>8.4704024218311282</c:v>
                </c:pt>
                <c:pt idx="20">
                  <c:v>8.0213522351431781</c:v>
                </c:pt>
                <c:pt idx="21">
                  <c:v>7.5902903099255745</c:v>
                </c:pt>
                <c:pt idx="22">
                  <c:v>7.1769480537820058</c:v>
                </c:pt>
                <c:pt idx="23">
                  <c:v>6.7810247398570507</c:v>
                </c:pt>
                <c:pt idx="24">
                  <c:v>6.4021902958462693</c:v>
                </c:pt>
                <c:pt idx="25">
                  <c:v>6.040088129724241</c:v>
                </c:pt>
                <c:pt idx="26">
                  <c:v>5.694337963819903</c:v>
                </c:pt>
                <c:pt idx="27">
                  <c:v>5.3645386512139188</c:v>
                </c:pt>
                <c:pt idx="28">
                  <c:v>5.0502709509006536</c:v>
                </c:pt>
                <c:pt idx="29">
                  <c:v>4.7511002406963243</c:v>
                </c:pt>
                <c:pt idx="30">
                  <c:v>4.4665791494349527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8467</xdr:colOff>
          <xdr:row>9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25</xdr:row>
      <xdr:rowOff>60614</xdr:rowOff>
    </xdr:from>
    <xdr:to>
      <xdr:col>3</xdr:col>
      <xdr:colOff>383261</xdr:colOff>
      <xdr:row>27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935567</xdr:colOff>
          <xdr:row>0</xdr:row>
          <xdr:rowOff>76200</xdr:rowOff>
        </xdr:from>
        <xdr:to>
          <xdr:col>5</xdr:col>
          <xdr:colOff>1210733</xdr:colOff>
          <xdr:row>2</xdr:row>
          <xdr:rowOff>135467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1037167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29"/>
  <sheetViews>
    <sheetView tabSelected="1" zoomScale="110" zoomScaleNormal="110" workbookViewId="0">
      <selection activeCell="H9" sqref="H9"/>
    </sheetView>
  </sheetViews>
  <sheetFormatPr defaultColWidth="9" defaultRowHeight="14.35" x14ac:dyDescent="0.5"/>
  <cols>
    <col min="1" max="1" width="9" style="10"/>
    <col min="2" max="2" width="10.29296875" style="10" customWidth="1"/>
    <col min="3" max="3" width="13.87890625" style="10" customWidth="1"/>
    <col min="4" max="4" width="16.703125" style="10" customWidth="1"/>
    <col min="5" max="5" width="13.1171875" style="10" customWidth="1"/>
    <col min="6" max="11" width="9" style="10"/>
    <col min="12" max="12" width="8.29296875" style="10" customWidth="1"/>
    <col min="13" max="13" width="9" style="10"/>
    <col min="14" max="14" width="8" style="10" customWidth="1"/>
    <col min="15" max="16384" width="9" style="10"/>
  </cols>
  <sheetData>
    <row r="1" spans="2:15" ht="14.45" customHeight="1" x14ac:dyDescent="0.5">
      <c r="B1" s="44" t="s">
        <v>43</v>
      </c>
      <c r="C1" s="44"/>
      <c r="D1" s="44"/>
      <c r="E1" s="44"/>
    </row>
    <row r="2" spans="2:15" ht="14.45" customHeight="1" x14ac:dyDescent="0.5">
      <c r="B2" s="44"/>
      <c r="C2" s="44"/>
      <c r="D2" s="44"/>
      <c r="E2" s="44"/>
    </row>
    <row r="3" spans="2:15" ht="14.45" customHeight="1" x14ac:dyDescent="0.5">
      <c r="B3" s="44"/>
      <c r="C3" s="44"/>
      <c r="D3" s="44"/>
      <c r="E3" s="44"/>
    </row>
    <row r="6" spans="2:15" ht="14.45" customHeight="1" x14ac:dyDescent="0.5">
      <c r="B6" s="42" t="s">
        <v>0</v>
      </c>
      <c r="C6" s="47" t="s">
        <v>11</v>
      </c>
      <c r="D6" s="11" t="s">
        <v>13</v>
      </c>
      <c r="E6" s="1">
        <v>100</v>
      </c>
      <c r="J6" s="40" t="s">
        <v>17</v>
      </c>
      <c r="K6" s="40"/>
      <c r="L6" s="40"/>
      <c r="M6" s="39" t="s">
        <v>53</v>
      </c>
      <c r="N6" s="39"/>
      <c r="O6" s="39"/>
    </row>
    <row r="7" spans="2:15" x14ac:dyDescent="0.5">
      <c r="B7" s="42"/>
      <c r="C7" s="47"/>
      <c r="D7" s="11" t="s">
        <v>28</v>
      </c>
      <c r="E7" s="2">
        <v>0.2</v>
      </c>
      <c r="J7" s="40"/>
      <c r="K7" s="40"/>
      <c r="L7" s="40"/>
      <c r="M7" s="39"/>
      <c r="N7" s="39"/>
      <c r="O7" s="39"/>
    </row>
    <row r="8" spans="2:15" x14ac:dyDescent="0.5">
      <c r="B8" s="42"/>
      <c r="C8" s="47"/>
      <c r="D8" s="11" t="s">
        <v>29</v>
      </c>
      <c r="E8" s="2">
        <v>0.05</v>
      </c>
      <c r="J8" s="40" t="s">
        <v>16</v>
      </c>
      <c r="K8" s="40"/>
      <c r="L8" s="40"/>
      <c r="M8" s="39" t="s">
        <v>53</v>
      </c>
      <c r="N8" s="39"/>
      <c r="O8" s="39"/>
    </row>
    <row r="9" spans="2:15" x14ac:dyDescent="0.5">
      <c r="B9" s="42"/>
      <c r="C9" s="47"/>
      <c r="D9" s="11" t="s">
        <v>14</v>
      </c>
      <c r="E9" s="1">
        <v>0</v>
      </c>
      <c r="J9" s="40"/>
      <c r="K9" s="40"/>
      <c r="L9" s="40"/>
      <c r="M9" s="39"/>
      <c r="N9" s="39"/>
      <c r="O9" s="39"/>
    </row>
    <row r="10" spans="2:15" x14ac:dyDescent="0.5">
      <c r="B10" s="42"/>
      <c r="C10" s="47"/>
      <c r="D10" s="11" t="s">
        <v>3</v>
      </c>
      <c r="E10" s="3">
        <v>45597</v>
      </c>
      <c r="I10" s="26"/>
      <c r="J10" s="41"/>
      <c r="K10" s="41"/>
      <c r="L10" s="41"/>
      <c r="M10" s="41"/>
      <c r="N10" s="41"/>
      <c r="O10" s="41"/>
    </row>
    <row r="11" spans="2:15" x14ac:dyDescent="0.5">
      <c r="B11" s="42"/>
      <c r="C11" s="47" t="s">
        <v>12</v>
      </c>
      <c r="D11" s="11" t="s">
        <v>30</v>
      </c>
      <c r="E11" s="1">
        <v>1</v>
      </c>
      <c r="J11" s="41"/>
      <c r="K11" s="41"/>
      <c r="L11" s="41"/>
      <c r="M11" s="41"/>
      <c r="N11" s="41"/>
      <c r="O11" s="41"/>
    </row>
    <row r="12" spans="2:15" x14ac:dyDescent="0.5">
      <c r="B12" s="42"/>
      <c r="C12" s="47"/>
      <c r="D12" s="11" t="s">
        <v>15</v>
      </c>
      <c r="E12" s="1">
        <v>100</v>
      </c>
      <c r="J12" s="41"/>
      <c r="K12" s="41"/>
      <c r="L12" s="41"/>
      <c r="M12" s="41"/>
      <c r="N12" s="41"/>
      <c r="O12" s="41"/>
    </row>
    <row r="13" spans="2:15" x14ac:dyDescent="0.5">
      <c r="B13" s="42"/>
      <c r="C13" s="47"/>
      <c r="D13" s="11" t="s">
        <v>4</v>
      </c>
      <c r="E13" s="3">
        <v>45566</v>
      </c>
      <c r="J13" s="41"/>
      <c r="K13" s="41"/>
      <c r="L13" s="41"/>
      <c r="M13" s="41"/>
      <c r="N13" s="41"/>
      <c r="O13" s="41"/>
    </row>
    <row r="14" spans="2:15" x14ac:dyDescent="0.5">
      <c r="B14" s="42"/>
      <c r="C14" s="47"/>
      <c r="D14" s="11" t="s">
        <v>1</v>
      </c>
      <c r="E14" s="1" t="s">
        <v>5</v>
      </c>
    </row>
    <row r="15" spans="2:15" x14ac:dyDescent="0.5">
      <c r="B15" s="42"/>
      <c r="C15" s="47"/>
      <c r="D15" s="11" t="s">
        <v>31</v>
      </c>
      <c r="E15" s="1" t="s">
        <v>6</v>
      </c>
      <c r="J15" s="33" t="s">
        <v>19</v>
      </c>
      <c r="K15" s="34"/>
      <c r="L15" s="35"/>
      <c r="M15" s="27" t="s">
        <v>54</v>
      </c>
      <c r="N15" s="28"/>
      <c r="O15" s="29"/>
    </row>
    <row r="16" spans="2:15" ht="16.7" customHeight="1" x14ac:dyDescent="0.5">
      <c r="B16" s="42"/>
      <c r="C16" s="46" t="s">
        <v>32</v>
      </c>
      <c r="D16" s="11" t="s">
        <v>33</v>
      </c>
      <c r="E16" s="1">
        <v>1000</v>
      </c>
      <c r="J16" s="36"/>
      <c r="K16" s="37"/>
      <c r="L16" s="38"/>
      <c r="M16" s="30"/>
      <c r="N16" s="31"/>
      <c r="O16" s="32"/>
    </row>
    <row r="17" spans="2:15" x14ac:dyDescent="0.5">
      <c r="B17" s="42"/>
      <c r="C17" s="46"/>
      <c r="D17" s="11" t="s">
        <v>34</v>
      </c>
      <c r="E17" s="4">
        <v>1E-8</v>
      </c>
      <c r="J17" s="33" t="s">
        <v>20</v>
      </c>
      <c r="K17" s="34"/>
      <c r="L17" s="35"/>
      <c r="M17" s="27" t="s">
        <v>54</v>
      </c>
      <c r="N17" s="28"/>
      <c r="O17" s="29"/>
    </row>
    <row r="18" spans="2:15" ht="18.75" customHeight="1" x14ac:dyDescent="0.5">
      <c r="J18" s="36"/>
      <c r="K18" s="37"/>
      <c r="L18" s="38"/>
      <c r="M18" s="30"/>
      <c r="N18" s="31"/>
      <c r="O18" s="32"/>
    </row>
    <row r="19" spans="2:15" ht="15.7" x14ac:dyDescent="0.5">
      <c r="B19" s="45" t="s">
        <v>18</v>
      </c>
      <c r="C19" s="43" t="s">
        <v>8</v>
      </c>
      <c r="D19" s="12" t="s">
        <v>36</v>
      </c>
      <c r="E19" s="13">
        <v>10.444985282636951</v>
      </c>
      <c r="J19" s="33" t="s">
        <v>21</v>
      </c>
      <c r="K19" s="34"/>
      <c r="L19" s="35"/>
      <c r="M19" s="27" t="s">
        <v>54</v>
      </c>
      <c r="N19" s="28"/>
      <c r="O19" s="29"/>
    </row>
    <row r="20" spans="2:15" ht="18" customHeight="1" x14ac:dyDescent="0.5">
      <c r="B20" s="45"/>
      <c r="C20" s="43"/>
      <c r="D20" s="12" t="s">
        <v>37</v>
      </c>
      <c r="E20" s="13">
        <v>10.45058357218557</v>
      </c>
      <c r="J20" s="36"/>
      <c r="K20" s="37"/>
      <c r="L20" s="38"/>
      <c r="M20" s="30"/>
      <c r="N20" s="31"/>
      <c r="O20" s="32"/>
    </row>
    <row r="21" spans="2:15" ht="18.75" customHeight="1" x14ac:dyDescent="0.5">
      <c r="B21" s="45"/>
      <c r="C21" s="43"/>
      <c r="D21" s="12" t="s">
        <v>48</v>
      </c>
      <c r="E21" s="16">
        <f>(3*IVol^2)/(INbSteps*8*SQRT(2*PI())*SQRT(EXP(IVol^2)-1))</f>
        <v>2.9621967976797475E-5</v>
      </c>
      <c r="J21" s="33" t="s">
        <v>22</v>
      </c>
      <c r="K21" s="34"/>
      <c r="L21" s="35"/>
      <c r="M21" s="27" t="s">
        <v>54</v>
      </c>
      <c r="N21" s="28"/>
      <c r="O21" s="29"/>
    </row>
    <row r="22" spans="2:15" ht="18" customHeight="1" x14ac:dyDescent="0.5">
      <c r="B22" s="45"/>
      <c r="C22" s="43" t="s">
        <v>35</v>
      </c>
      <c r="D22" s="12" t="s">
        <v>38</v>
      </c>
      <c r="E22" s="14">
        <v>0.8359375</v>
      </c>
      <c r="J22" s="36"/>
      <c r="K22" s="37"/>
      <c r="L22" s="38"/>
      <c r="M22" s="30"/>
      <c r="N22" s="31"/>
      <c r="O22" s="32"/>
    </row>
    <row r="23" spans="2:15" ht="16.350000000000001" customHeight="1" x14ac:dyDescent="0.5">
      <c r="B23" s="45"/>
      <c r="C23" s="43"/>
      <c r="D23" s="12" t="s">
        <v>39</v>
      </c>
      <c r="E23" s="14">
        <v>0.203125</v>
      </c>
      <c r="J23" s="33" t="s">
        <v>23</v>
      </c>
      <c r="K23" s="34"/>
      <c r="L23" s="35"/>
      <c r="M23" s="27" t="s">
        <v>54</v>
      </c>
      <c r="N23" s="28"/>
      <c r="O23" s="29"/>
    </row>
    <row r="24" spans="2:15" ht="16.350000000000001" customHeight="1" x14ac:dyDescent="0.5">
      <c r="B24" s="45"/>
      <c r="C24" s="43"/>
      <c r="D24" s="12" t="s">
        <v>40</v>
      </c>
      <c r="E24" s="15">
        <f>ITimeTree+IPriceTime</f>
        <v>1.0390625</v>
      </c>
      <c r="J24" s="36"/>
      <c r="K24" s="37"/>
      <c r="L24" s="38"/>
      <c r="M24" s="30"/>
      <c r="N24" s="31"/>
      <c r="O24" s="32"/>
    </row>
    <row r="27" spans="2:15" x14ac:dyDescent="0.5">
      <c r="B27" s="17" t="s">
        <v>41</v>
      </c>
      <c r="C27" s="17"/>
      <c r="D27" s="17"/>
      <c r="E27" s="17"/>
    </row>
    <row r="28" spans="2:15" x14ac:dyDescent="0.5">
      <c r="B28" s="17"/>
      <c r="C28" s="17"/>
      <c r="D28" s="17"/>
      <c r="E28" s="17"/>
    </row>
    <row r="29" spans="2:15" x14ac:dyDescent="0.5">
      <c r="B29" s="17"/>
      <c r="C29" s="17"/>
      <c r="D29" s="17"/>
      <c r="E29" s="17"/>
    </row>
  </sheetData>
  <mergeCells count="23">
    <mergeCell ref="B6:B17"/>
    <mergeCell ref="C22:C24"/>
    <mergeCell ref="B1:E3"/>
    <mergeCell ref="J6:L7"/>
    <mergeCell ref="B19:B24"/>
    <mergeCell ref="C19:C21"/>
    <mergeCell ref="C16:C17"/>
    <mergeCell ref="C6:C10"/>
    <mergeCell ref="C11:C15"/>
    <mergeCell ref="M6:O7"/>
    <mergeCell ref="J8:L9"/>
    <mergeCell ref="M8:O9"/>
    <mergeCell ref="J10:O13"/>
    <mergeCell ref="J15:L16"/>
    <mergeCell ref="M15:O16"/>
    <mergeCell ref="M17:O18"/>
    <mergeCell ref="M19:O20"/>
    <mergeCell ref="M21:O22"/>
    <mergeCell ref="M23:O24"/>
    <mergeCell ref="J17:L18"/>
    <mergeCell ref="J19:L20"/>
    <mergeCell ref="J21:L22"/>
    <mergeCell ref="J23:L24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4" xr:uid="{81C0AB66-2C42-4075-8658-E2E9F45DA347}">
      <formula1>"Call,Put"</formula1>
    </dataValidation>
    <dataValidation type="list" allowBlank="1" showInputMessage="1" showErrorMessage="1" sqref="E15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8467</xdr:colOff>
                    <xdr:row>9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58" zoomScaleNormal="70" workbookViewId="0">
      <selection activeCell="D28" sqref="D28"/>
    </sheetView>
  </sheetViews>
  <sheetFormatPr defaultColWidth="9.1171875" defaultRowHeight="14.35" x14ac:dyDescent="0.5"/>
  <cols>
    <col min="1" max="1" width="14.29296875" style="23" customWidth="1"/>
    <col min="2" max="16384" width="9.1171875" style="23"/>
  </cols>
  <sheetData>
    <row r="1" spans="1:3" x14ac:dyDescent="0.5">
      <c r="A1" s="48" t="s">
        <v>25</v>
      </c>
      <c r="B1" s="48"/>
      <c r="C1" s="48"/>
    </row>
    <row r="2" spans="1:3" x14ac:dyDescent="0.5">
      <c r="A2" s="48"/>
      <c r="B2" s="48"/>
      <c r="C2" s="48"/>
    </row>
    <row r="3" spans="1:3" x14ac:dyDescent="0.5">
      <c r="A3" s="48"/>
      <c r="B3" s="48"/>
      <c r="C3" s="48"/>
    </row>
    <row r="48" spans="10:10" x14ac:dyDescent="0.5">
      <c r="J48" s="25"/>
    </row>
  </sheetData>
  <mergeCells count="1">
    <mergeCell ref="A1:C3"/>
  </mergeCells>
  <conditionalFormatting sqref="A4:XFD1048576 D1:XFD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61" zoomScaleNormal="85" workbookViewId="0">
      <selection sqref="A1:C3"/>
    </sheetView>
  </sheetViews>
  <sheetFormatPr defaultColWidth="9.1171875" defaultRowHeight="14.35" x14ac:dyDescent="0.5"/>
  <cols>
    <col min="1" max="1" width="14.5859375" style="23" customWidth="1"/>
    <col min="2" max="16384" width="9.1171875" style="23"/>
  </cols>
  <sheetData>
    <row r="1" spans="1:3" x14ac:dyDescent="0.5">
      <c r="A1" s="48" t="s">
        <v>24</v>
      </c>
      <c r="B1" s="48"/>
      <c r="C1" s="48"/>
    </row>
    <row r="2" spans="1:3" x14ac:dyDescent="0.5">
      <c r="A2" s="48"/>
      <c r="B2" s="48"/>
      <c r="C2" s="48"/>
    </row>
    <row r="3" spans="1:3" x14ac:dyDescent="0.5">
      <c r="A3" s="48"/>
      <c r="B3" s="48"/>
      <c r="C3" s="48"/>
    </row>
  </sheetData>
  <mergeCells count="1">
    <mergeCell ref="A1:C3"/>
  </mergeCells>
  <conditionalFormatting sqref="A4:XFD1048576 A1 D1:XFD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E36" sqref="E36"/>
    </sheetView>
  </sheetViews>
  <sheetFormatPr defaultColWidth="11.41015625" defaultRowHeight="14.35" x14ac:dyDescent="0.5"/>
  <cols>
    <col min="1" max="1" width="13.87890625" style="23" customWidth="1"/>
    <col min="2" max="16384" width="11.41015625" style="23"/>
  </cols>
  <sheetData>
    <row r="1" spans="1:3" x14ac:dyDescent="0.5">
      <c r="A1" s="48" t="s">
        <v>27</v>
      </c>
      <c r="B1" s="48"/>
      <c r="C1" s="48"/>
    </row>
    <row r="2" spans="1:3" x14ac:dyDescent="0.5">
      <c r="A2" s="48"/>
      <c r="B2" s="48"/>
      <c r="C2" s="48"/>
    </row>
    <row r="3" spans="1:3" x14ac:dyDescent="0.5">
      <c r="A3" s="48"/>
      <c r="B3" s="48"/>
      <c r="C3" s="48"/>
    </row>
  </sheetData>
  <mergeCells count="1">
    <mergeCell ref="A1:C3"/>
  </mergeCells>
  <conditionalFormatting sqref="A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zoomScale="90" zoomScaleNormal="90" workbookViewId="0">
      <selection activeCell="A5" sqref="A5:F5"/>
    </sheetView>
  </sheetViews>
  <sheetFormatPr defaultColWidth="9.1171875" defaultRowHeight="14.35" x14ac:dyDescent="0.5"/>
  <cols>
    <col min="1" max="2" width="9.1171875" style="7"/>
    <col min="3" max="4" width="13.29296875" style="7" customWidth="1"/>
    <col min="5" max="5" width="15.703125" style="7" customWidth="1"/>
    <col min="6" max="6" width="17.1171875" style="7" customWidth="1"/>
    <col min="7" max="9" width="9.1171875" style="7"/>
    <col min="10" max="10" width="9" style="7" customWidth="1"/>
    <col min="11" max="16384" width="9.1171875" style="7"/>
  </cols>
  <sheetData>
    <row r="1" spans="1:10" x14ac:dyDescent="0.5">
      <c r="A1" s="49" t="s">
        <v>42</v>
      </c>
      <c r="B1" s="49"/>
      <c r="C1" s="49"/>
      <c r="H1" s="49" t="s">
        <v>45</v>
      </c>
      <c r="I1" s="49"/>
      <c r="J1" s="49"/>
    </row>
    <row r="2" spans="1:10" x14ac:dyDescent="0.5">
      <c r="A2" s="49"/>
      <c r="B2" s="49"/>
      <c r="C2" s="49"/>
      <c r="H2" s="49"/>
      <c r="I2" s="49"/>
      <c r="J2" s="49"/>
    </row>
    <row r="3" spans="1:10" x14ac:dyDescent="0.5">
      <c r="A3" s="49"/>
      <c r="B3" s="49"/>
      <c r="C3" s="49"/>
      <c r="H3" s="49"/>
      <c r="I3" s="49"/>
      <c r="J3" s="49"/>
    </row>
    <row r="4" spans="1:10" ht="12.45" customHeight="1" x14ac:dyDescent="0.5">
      <c r="A4" s="18"/>
      <c r="B4" s="18"/>
      <c r="C4" s="18"/>
    </row>
    <row r="5" spans="1:10" ht="16" thickBot="1" x14ac:dyDescent="0.6">
      <c r="A5" s="50" t="s">
        <v>44</v>
      </c>
      <c r="B5" s="50"/>
      <c r="C5" s="50"/>
      <c r="D5" s="50"/>
      <c r="E5" s="50"/>
      <c r="F5" s="50"/>
    </row>
    <row r="6" spans="1:10" ht="14.45" customHeight="1" x14ac:dyDescent="0.5">
      <c r="A6" s="53" t="s">
        <v>7</v>
      </c>
      <c r="B6" s="53" t="s">
        <v>8</v>
      </c>
      <c r="C6" s="53" t="s">
        <v>2</v>
      </c>
      <c r="D6" s="53" t="s">
        <v>26</v>
      </c>
      <c r="E6" s="53" t="s">
        <v>9</v>
      </c>
      <c r="F6" s="53" t="s">
        <v>10</v>
      </c>
    </row>
    <row r="7" spans="1:10" ht="14.45" customHeight="1" thickBot="1" x14ac:dyDescent="0.55000000000000004">
      <c r="A7" s="54"/>
      <c r="B7" s="54"/>
      <c r="C7" s="54"/>
      <c r="D7" s="54"/>
      <c r="E7" s="54"/>
      <c r="F7" s="54"/>
    </row>
    <row r="8" spans="1:10" x14ac:dyDescent="0.5">
      <c r="A8" s="8">
        <f>1</f>
        <v>1</v>
      </c>
      <c r="B8" s="8">
        <v>0</v>
      </c>
      <c r="C8" s="8">
        <v>0</v>
      </c>
      <c r="D8" s="8">
        <v>10.450583572185572</v>
      </c>
      <c r="E8" s="9">
        <f>IF(D8&lt;&gt;"" &amp; B8&lt;&gt;"",ABS(B8-D8),"")</f>
        <v>10.450583572185572</v>
      </c>
      <c r="F8" s="9">
        <f>IF($E8&lt;&gt;"", $E8*$A8, "")</f>
        <v>10.450583572185572</v>
      </c>
    </row>
    <row r="9" spans="1:10" x14ac:dyDescent="0.5">
      <c r="A9" s="6">
        <v>5</v>
      </c>
      <c r="B9" s="8">
        <v>9.1532218255407596</v>
      </c>
      <c r="C9" s="6">
        <v>0</v>
      </c>
      <c r="D9" s="8">
        <v>10.450583572185572</v>
      </c>
      <c r="E9" s="9">
        <f t="shared" ref="E9:E56" si="0">IF(D9&lt;&gt;"" &amp; B9&lt;&gt;"",ABS(B9-D9),"")</f>
        <v>1.2973617466448122</v>
      </c>
      <c r="F9" s="5">
        <f t="shared" ref="F9:F56" si="1">IF($E9&lt;&gt;"", $E9*$A9, "")</f>
        <v>6.4868087332240609</v>
      </c>
    </row>
    <row r="10" spans="1:10" x14ac:dyDescent="0.5">
      <c r="A10" s="6">
        <v>10</v>
      </c>
      <c r="B10" s="8">
        <v>9.885952034609474</v>
      </c>
      <c r="C10" s="6">
        <v>0</v>
      </c>
      <c r="D10" s="8">
        <v>10.450583572185572</v>
      </c>
      <c r="E10" s="9">
        <f t="shared" si="0"/>
        <v>0.56463153757609774</v>
      </c>
      <c r="F10" s="5">
        <f t="shared" si="1"/>
        <v>5.6463153757609774</v>
      </c>
    </row>
    <row r="11" spans="1:10" x14ac:dyDescent="0.5">
      <c r="A11" s="6">
        <v>20</v>
      </c>
      <c r="B11" s="8">
        <v>10.169111805734914</v>
      </c>
      <c r="C11" s="6">
        <v>7.8125E-3</v>
      </c>
      <c r="D11" s="8">
        <v>10.450583572185572</v>
      </c>
      <c r="E11" s="9">
        <f t="shared" si="0"/>
        <v>0.28147176645065741</v>
      </c>
      <c r="F11" s="5">
        <f t="shared" si="1"/>
        <v>5.6294353290131482</v>
      </c>
    </row>
    <row r="12" spans="1:10" x14ac:dyDescent="0.5">
      <c r="A12" s="6">
        <v>30</v>
      </c>
      <c r="B12" s="8">
        <v>10.241536846623694</v>
      </c>
      <c r="C12" s="6">
        <v>0</v>
      </c>
      <c r="D12" s="8">
        <v>10.450583572185572</v>
      </c>
      <c r="E12" s="9">
        <f t="shared" si="0"/>
        <v>0.20904672556187798</v>
      </c>
      <c r="F12" s="5">
        <f t="shared" si="1"/>
        <v>6.2714017668563393</v>
      </c>
    </row>
    <row r="13" spans="1:10" x14ac:dyDescent="0.5">
      <c r="A13" s="6">
        <v>50</v>
      </c>
      <c r="B13" s="8">
        <v>10.283793769983403</v>
      </c>
      <c r="C13" s="6">
        <v>1.5625E-2</v>
      </c>
      <c r="D13" s="8">
        <v>10.450583572185572</v>
      </c>
      <c r="E13" s="9">
        <f t="shared" si="0"/>
        <v>0.16678980220216921</v>
      </c>
      <c r="F13" s="5">
        <f t="shared" si="1"/>
        <v>8.3394901101084606</v>
      </c>
    </row>
    <row r="14" spans="1:10" x14ac:dyDescent="0.5">
      <c r="A14" s="6">
        <v>75</v>
      </c>
      <c r="B14" s="8">
        <v>10.366449770738569</v>
      </c>
      <c r="C14" s="6">
        <v>3.125E-2</v>
      </c>
      <c r="D14" s="8">
        <v>10.450583572185572</v>
      </c>
      <c r="E14" s="9">
        <f t="shared" si="0"/>
        <v>8.4133801447002554E-2</v>
      </c>
      <c r="F14" s="5">
        <f t="shared" si="1"/>
        <v>6.3100351085251916</v>
      </c>
    </row>
    <row r="15" spans="1:10" x14ac:dyDescent="0.5">
      <c r="A15" s="6">
        <v>100</v>
      </c>
      <c r="B15" s="8">
        <v>10.395147854133819</v>
      </c>
      <c r="C15" s="6">
        <v>7.8125E-2</v>
      </c>
      <c r="D15" s="8">
        <v>10.450583572185572</v>
      </c>
      <c r="E15" s="9">
        <f t="shared" si="0"/>
        <v>5.5435718051752403E-2</v>
      </c>
      <c r="F15" s="5">
        <f t="shared" si="1"/>
        <v>5.5435718051752403</v>
      </c>
    </row>
    <row r="16" spans="1:10" x14ac:dyDescent="0.5">
      <c r="A16" s="6">
        <v>125</v>
      </c>
      <c r="B16" s="8">
        <v>10.405881336518165</v>
      </c>
      <c r="C16" s="6">
        <v>8.59375E-2</v>
      </c>
      <c r="D16" s="8">
        <v>10.450583572185572</v>
      </c>
      <c r="E16" s="9">
        <f t="shared" si="0"/>
        <v>4.4702235667406498E-2</v>
      </c>
      <c r="F16" s="5">
        <f t="shared" si="1"/>
        <v>5.5877794584258123</v>
      </c>
    </row>
    <row r="17" spans="1:10" x14ac:dyDescent="0.5">
      <c r="A17" s="6">
        <f>A16+25</f>
        <v>150</v>
      </c>
      <c r="B17" s="8">
        <v>10.409194942821095</v>
      </c>
      <c r="C17" s="6">
        <v>0.125</v>
      </c>
      <c r="D17" s="8">
        <v>10.450583572185572</v>
      </c>
      <c r="E17" s="9">
        <f t="shared" si="0"/>
        <v>4.1388629364476515E-2</v>
      </c>
      <c r="F17" s="5">
        <f t="shared" si="1"/>
        <v>6.2082944046714772</v>
      </c>
    </row>
    <row r="18" spans="1:10" x14ac:dyDescent="0.5">
      <c r="A18" s="6">
        <f t="shared" ref="A18:A31" si="2">A17+25</f>
        <v>175</v>
      </c>
      <c r="B18" s="8">
        <v>10.409066876492723</v>
      </c>
      <c r="C18" s="6">
        <v>0.171875</v>
      </c>
      <c r="D18" s="8">
        <v>10.450583572185572</v>
      </c>
      <c r="E18" s="9">
        <f t="shared" si="0"/>
        <v>4.1516695692848771E-2</v>
      </c>
      <c r="F18" s="5">
        <f t="shared" si="1"/>
        <v>7.2654217462485349</v>
      </c>
    </row>
    <row r="19" spans="1:10" ht="14.45" customHeight="1" x14ac:dyDescent="0.5">
      <c r="A19" s="6">
        <f t="shared" si="2"/>
        <v>200</v>
      </c>
      <c r="B19" s="8">
        <v>10.410750220872679</v>
      </c>
      <c r="C19" s="6">
        <v>0.22265625</v>
      </c>
      <c r="D19" s="8">
        <v>10.450583572185572</v>
      </c>
      <c r="E19" s="9">
        <f t="shared" si="0"/>
        <v>3.9833351312893228E-2</v>
      </c>
      <c r="F19" s="5">
        <f t="shared" si="1"/>
        <v>7.9666702625786456</v>
      </c>
    </row>
    <row r="20" spans="1:10" ht="14.45" customHeight="1" x14ac:dyDescent="0.5">
      <c r="A20" s="6">
        <f t="shared" si="2"/>
        <v>225</v>
      </c>
      <c r="B20" s="8">
        <v>10.420231525731108</v>
      </c>
      <c r="C20" s="6">
        <v>0.296875</v>
      </c>
      <c r="D20" s="8">
        <v>10.450583572185572</v>
      </c>
      <c r="E20" s="9">
        <f t="shared" si="0"/>
        <v>3.0352046454463988E-2</v>
      </c>
      <c r="F20" s="5">
        <f t="shared" si="1"/>
        <v>6.8292104522543973</v>
      </c>
    </row>
    <row r="21" spans="1:10" ht="15" customHeight="1" x14ac:dyDescent="0.5">
      <c r="A21" s="6">
        <f>A20+25</f>
        <v>250</v>
      </c>
      <c r="B21" s="8">
        <v>10.426307917572029</v>
      </c>
      <c r="C21" s="6">
        <v>0.34375</v>
      </c>
      <c r="D21" s="8">
        <v>10.450583572185572</v>
      </c>
      <c r="E21" s="9">
        <f t="shared" si="0"/>
        <v>2.4275654613543196E-2</v>
      </c>
      <c r="F21" s="5">
        <f>IF($E21&lt;&gt;"", $E21*$A21, "")</f>
        <v>6.068913653385799</v>
      </c>
    </row>
    <row r="22" spans="1:10" x14ac:dyDescent="0.5">
      <c r="A22" s="6">
        <f>A21+25</f>
        <v>275</v>
      </c>
      <c r="B22" s="8">
        <v>10.430101140710535</v>
      </c>
      <c r="C22" s="6">
        <v>0.421875</v>
      </c>
      <c r="D22" s="8">
        <v>10.450583572185572</v>
      </c>
      <c r="E22" s="9">
        <f t="shared" si="0"/>
        <v>2.0482431475036478E-2</v>
      </c>
      <c r="F22" s="5">
        <f t="shared" si="1"/>
        <v>5.6326686556350314</v>
      </c>
    </row>
    <row r="23" spans="1:10" x14ac:dyDescent="0.5">
      <c r="A23" s="6">
        <f t="shared" si="2"/>
        <v>300</v>
      </c>
      <c r="B23" s="8">
        <v>10.432321494924157</v>
      </c>
      <c r="C23" s="6">
        <v>0.5</v>
      </c>
      <c r="D23" s="8">
        <v>10.450583572185572</v>
      </c>
      <c r="E23" s="9">
        <f t="shared" si="0"/>
        <v>1.8262077261415044E-2</v>
      </c>
      <c r="F23" s="5">
        <f t="shared" si="1"/>
        <v>5.4786231784245132</v>
      </c>
    </row>
    <row r="24" spans="1:10" x14ac:dyDescent="0.5">
      <c r="A24" s="6">
        <f t="shared" si="2"/>
        <v>325</v>
      </c>
      <c r="B24" s="8">
        <v>10.433435463102411</v>
      </c>
      <c r="C24" s="6">
        <v>0.59375</v>
      </c>
      <c r="D24" s="8">
        <v>10.450583572185572</v>
      </c>
      <c r="E24" s="9">
        <f t="shared" si="0"/>
        <v>1.714810908316089E-2</v>
      </c>
      <c r="F24" s="5">
        <f t="shared" si="1"/>
        <v>5.5731354520272891</v>
      </c>
    </row>
    <row r="25" spans="1:10" x14ac:dyDescent="0.5">
      <c r="A25" s="6">
        <f t="shared" si="2"/>
        <v>350</v>
      </c>
      <c r="B25" s="8">
        <v>10.433758711154615</v>
      </c>
      <c r="C25" s="6">
        <v>0.69140625</v>
      </c>
      <c r="D25" s="8">
        <v>10.450583572185572</v>
      </c>
      <c r="E25" s="9">
        <f t="shared" si="0"/>
        <v>1.6824861030956484E-2</v>
      </c>
      <c r="F25" s="5">
        <f t="shared" si="1"/>
        <v>5.8887013608347694</v>
      </c>
    </row>
    <row r="26" spans="1:10" x14ac:dyDescent="0.5">
      <c r="A26" s="6">
        <f t="shared" si="2"/>
        <v>375</v>
      </c>
      <c r="B26" s="8">
        <v>10.433510227616019</v>
      </c>
      <c r="C26" s="6">
        <v>0.8125</v>
      </c>
      <c r="D26" s="8">
        <v>10.450583572185572</v>
      </c>
      <c r="E26" s="9">
        <f t="shared" si="0"/>
        <v>1.7073344569553228E-2</v>
      </c>
      <c r="F26" s="5">
        <f t="shared" si="1"/>
        <v>6.4025042135824606</v>
      </c>
    </row>
    <row r="27" spans="1:10" x14ac:dyDescent="0.5">
      <c r="A27" s="6">
        <f t="shared" si="2"/>
        <v>400</v>
      </c>
      <c r="B27" s="8">
        <v>10.432845135970384</v>
      </c>
      <c r="C27" s="6">
        <v>0.9140625</v>
      </c>
      <c r="D27" s="8">
        <v>10.450583572185572</v>
      </c>
      <c r="E27" s="9">
        <f t="shared" si="0"/>
        <v>1.7738436215188003E-2</v>
      </c>
      <c r="F27" s="5">
        <f t="shared" si="1"/>
        <v>7.095374486075201</v>
      </c>
    </row>
    <row r="28" spans="1:10" x14ac:dyDescent="0.5">
      <c r="A28" s="6">
        <f t="shared" si="2"/>
        <v>425</v>
      </c>
      <c r="B28" s="8">
        <v>10.431875273226145</v>
      </c>
      <c r="C28" s="6">
        <v>1.03515625</v>
      </c>
      <c r="D28" s="8">
        <v>10.450583572185572</v>
      </c>
      <c r="E28" s="9">
        <f t="shared" si="0"/>
        <v>1.8708298959426273E-2</v>
      </c>
      <c r="F28" s="5">
        <f t="shared" si="1"/>
        <v>7.9510270577561659</v>
      </c>
    </row>
    <row r="29" spans="1:10" x14ac:dyDescent="0.5">
      <c r="A29" s="6">
        <f t="shared" si="2"/>
        <v>450</v>
      </c>
      <c r="B29" s="8">
        <v>10.433443663660622</v>
      </c>
      <c r="C29" s="6">
        <v>1.12890625</v>
      </c>
      <c r="D29" s="8">
        <v>10.450583572185572</v>
      </c>
      <c r="E29" s="9">
        <f t="shared" si="0"/>
        <v>1.7139908524949732E-2</v>
      </c>
      <c r="F29" s="5">
        <f t="shared" si="1"/>
        <v>7.7129588362273793</v>
      </c>
    </row>
    <row r="30" spans="1:10" x14ac:dyDescent="0.5">
      <c r="A30" s="6">
        <f t="shared" si="2"/>
        <v>475</v>
      </c>
      <c r="B30" s="8">
        <v>10.435948240441416</v>
      </c>
      <c r="C30" s="6">
        <v>1.26953125</v>
      </c>
      <c r="D30" s="8">
        <v>10.450583572185572</v>
      </c>
      <c r="E30" s="9">
        <f t="shared" si="0"/>
        <v>1.4635331744155877E-2</v>
      </c>
      <c r="F30" s="5">
        <f t="shared" si="1"/>
        <v>6.9517825784740417</v>
      </c>
    </row>
    <row r="31" spans="1:10" x14ac:dyDescent="0.5">
      <c r="A31" s="6">
        <f t="shared" si="2"/>
        <v>500</v>
      </c>
      <c r="B31" s="8">
        <v>10.437860740894754</v>
      </c>
      <c r="C31" s="6">
        <v>1.42578125</v>
      </c>
      <c r="D31" s="8">
        <v>10.450583572185572</v>
      </c>
      <c r="E31" s="9">
        <f t="shared" si="0"/>
        <v>1.2722831290817638E-2</v>
      </c>
      <c r="F31" s="5">
        <f t="shared" si="1"/>
        <v>6.3614156454088189</v>
      </c>
    </row>
    <row r="32" spans="1:10" x14ac:dyDescent="0.5">
      <c r="A32" s="6">
        <f>A31+50</f>
        <v>550</v>
      </c>
      <c r="B32" s="8">
        <v>10.440317791417934</v>
      </c>
      <c r="C32" s="6">
        <v>1.69140625</v>
      </c>
      <c r="D32" s="8">
        <v>10.450583572185572</v>
      </c>
      <c r="E32" s="9">
        <f t="shared" si="0"/>
        <v>1.0265780767637622E-2</v>
      </c>
      <c r="F32" s="5">
        <f t="shared" si="1"/>
        <v>5.6461794222006922</v>
      </c>
      <c r="H32" s="49" t="s">
        <v>46</v>
      </c>
      <c r="I32" s="49"/>
      <c r="J32" s="49"/>
    </row>
    <row r="33" spans="1:15" x14ac:dyDescent="0.5">
      <c r="A33" s="6">
        <f t="shared" ref="A33:A41" si="3">A32+50</f>
        <v>600</v>
      </c>
      <c r="B33" s="8">
        <v>10.441440887218961</v>
      </c>
      <c r="C33" s="6">
        <v>2.00390625</v>
      </c>
      <c r="D33" s="8">
        <v>10.450583572185572</v>
      </c>
      <c r="E33" s="9">
        <f t="shared" si="0"/>
        <v>9.1426849666103038E-3</v>
      </c>
      <c r="F33" s="5">
        <f t="shared" si="1"/>
        <v>5.4856109799661823</v>
      </c>
      <c r="H33" s="49"/>
      <c r="I33" s="49"/>
      <c r="J33" s="49"/>
      <c r="K33" s="51" t="s">
        <v>47</v>
      </c>
      <c r="L33" s="52"/>
      <c r="M33" s="52"/>
      <c r="N33" s="52"/>
      <c r="O33" s="52"/>
    </row>
    <row r="34" spans="1:15" x14ac:dyDescent="0.5">
      <c r="A34" s="6">
        <f t="shared" si="3"/>
        <v>650</v>
      </c>
      <c r="B34" s="8">
        <v>10.441639000647232</v>
      </c>
      <c r="C34" s="6">
        <v>2.3046875</v>
      </c>
      <c r="D34" s="8">
        <v>10.450583572185572</v>
      </c>
      <c r="E34" s="9">
        <f t="shared" si="0"/>
        <v>8.9445715383398294E-3</v>
      </c>
      <c r="F34" s="5">
        <f t="shared" si="1"/>
        <v>5.8139714999208891</v>
      </c>
      <c r="H34" s="49"/>
      <c r="I34" s="49"/>
      <c r="J34" s="49"/>
    </row>
    <row r="35" spans="1:15" x14ac:dyDescent="0.5">
      <c r="A35" s="6">
        <f t="shared" si="3"/>
        <v>700</v>
      </c>
      <c r="B35" s="8">
        <v>10.441187229958647</v>
      </c>
      <c r="C35" s="6">
        <v>2.61328125</v>
      </c>
      <c r="D35" s="8">
        <v>10.450583572185572</v>
      </c>
      <c r="E35" s="9">
        <f t="shared" si="0"/>
        <v>9.3963422269247587E-3</v>
      </c>
      <c r="F35" s="5">
        <f t="shared" si="1"/>
        <v>6.5774395588473311</v>
      </c>
    </row>
    <row r="36" spans="1:15" x14ac:dyDescent="0.5">
      <c r="A36" s="6">
        <f t="shared" si="3"/>
        <v>750</v>
      </c>
      <c r="B36" s="8">
        <v>10.440275152845722</v>
      </c>
      <c r="C36" s="6">
        <v>2.9921875</v>
      </c>
      <c r="D36" s="8">
        <v>10.450583572185572</v>
      </c>
      <c r="E36" s="9">
        <f t="shared" si="0"/>
        <v>1.0308419339850161E-2</v>
      </c>
      <c r="F36" s="5">
        <f t="shared" si="1"/>
        <v>7.7313145048876208</v>
      </c>
    </row>
    <row r="37" spans="1:15" x14ac:dyDescent="0.5">
      <c r="A37" s="6">
        <f t="shared" si="3"/>
        <v>800</v>
      </c>
      <c r="B37" s="8">
        <v>10.441217856394012</v>
      </c>
      <c r="C37" s="6">
        <v>3.32421875</v>
      </c>
      <c r="D37" s="8">
        <v>10.450583572185572</v>
      </c>
      <c r="E37" s="9">
        <f t="shared" si="0"/>
        <v>9.3657157915600919E-3</v>
      </c>
      <c r="F37" s="5">
        <f t="shared" si="1"/>
        <v>7.4925726332480735</v>
      </c>
    </row>
    <row r="38" spans="1:15" x14ac:dyDescent="0.5">
      <c r="A38" s="6">
        <f t="shared" si="3"/>
        <v>850</v>
      </c>
      <c r="B38" s="8">
        <v>10.442966363443686</v>
      </c>
      <c r="C38" s="6">
        <v>3.69140625</v>
      </c>
      <c r="D38" s="8">
        <v>10.450583572185572</v>
      </c>
      <c r="E38" s="9">
        <f t="shared" si="0"/>
        <v>7.6172087418857615E-3</v>
      </c>
      <c r="F38" s="5">
        <f t="shared" si="1"/>
        <v>6.4746274306028972</v>
      </c>
    </row>
    <row r="39" spans="1:15" x14ac:dyDescent="0.5">
      <c r="A39" s="6">
        <f t="shared" si="3"/>
        <v>900</v>
      </c>
      <c r="B39" s="8">
        <v>10.444111971478552</v>
      </c>
      <c r="C39" s="6">
        <v>4.0390625</v>
      </c>
      <c r="D39" s="8">
        <v>10.450583572185572</v>
      </c>
      <c r="E39" s="9">
        <f t="shared" si="0"/>
        <v>6.4716007070195758E-3</v>
      </c>
      <c r="F39" s="5">
        <f t="shared" si="1"/>
        <v>5.8244406363176182</v>
      </c>
    </row>
    <row r="40" spans="1:15" x14ac:dyDescent="0.5">
      <c r="A40" s="6">
        <f>A39+50</f>
        <v>950</v>
      </c>
      <c r="B40" s="8">
        <v>10.444780336317137</v>
      </c>
      <c r="C40" s="6">
        <v>4.4296875</v>
      </c>
      <c r="D40" s="8">
        <v>10.450583572185572</v>
      </c>
      <c r="E40" s="9">
        <f t="shared" si="0"/>
        <v>5.8032358684343421E-3</v>
      </c>
      <c r="F40" s="5">
        <f t="shared" si="1"/>
        <v>5.513074075012625</v>
      </c>
    </row>
    <row r="41" spans="1:15" x14ac:dyDescent="0.5">
      <c r="A41" s="6">
        <f t="shared" si="3"/>
        <v>1000</v>
      </c>
      <c r="B41" s="8">
        <v>10.445068425491515</v>
      </c>
      <c r="C41" s="6">
        <v>4.83984375</v>
      </c>
      <c r="D41" s="8">
        <v>10.450583572185572</v>
      </c>
      <c r="E41" s="9">
        <f t="shared" si="0"/>
        <v>5.5151466940568383E-3</v>
      </c>
      <c r="F41" s="5">
        <f t="shared" si="1"/>
        <v>5.5151466940568383</v>
      </c>
    </row>
    <row r="42" spans="1:15" x14ac:dyDescent="0.5">
      <c r="A42" s="6">
        <f>A41+100</f>
        <v>1100</v>
      </c>
      <c r="B42" s="8">
        <v>10.444790365781673</v>
      </c>
      <c r="C42" s="6">
        <v>6.09765625</v>
      </c>
      <c r="D42" s="8">
        <v>10.450583572185572</v>
      </c>
      <c r="E42" s="9">
        <f t="shared" si="0"/>
        <v>5.7932064038990205E-3</v>
      </c>
      <c r="F42" s="5">
        <f t="shared" si="1"/>
        <v>6.3725270442889226</v>
      </c>
    </row>
    <row r="43" spans="1:15" x14ac:dyDescent="0.5">
      <c r="A43" s="6">
        <f t="shared" ref="A43:A56" si="4">A42+100</f>
        <v>1200</v>
      </c>
      <c r="B43" s="8">
        <v>10.443712394489504</v>
      </c>
      <c r="C43" s="6">
        <v>7.109375</v>
      </c>
      <c r="D43" s="8">
        <v>10.450583572185572</v>
      </c>
      <c r="E43" s="9">
        <f t="shared" si="0"/>
        <v>6.8711776960679316E-3</v>
      </c>
      <c r="F43" s="5">
        <f t="shared" si="1"/>
        <v>8.2454132352815179</v>
      </c>
    </row>
    <row r="44" spans="1:15" x14ac:dyDescent="0.5">
      <c r="A44" s="6">
        <f t="shared" si="4"/>
        <v>1300</v>
      </c>
      <c r="B44" s="8">
        <v>10.445588706849128</v>
      </c>
      <c r="C44" s="6">
        <v>7.52734375</v>
      </c>
      <c r="D44" s="8">
        <v>10.450583572185572</v>
      </c>
      <c r="E44" s="9">
        <f t="shared" si="0"/>
        <v>4.9948653364442208E-3</v>
      </c>
      <c r="F44" s="5">
        <f t="shared" si="1"/>
        <v>6.4933249373774871</v>
      </c>
    </row>
    <row r="45" spans="1:15" x14ac:dyDescent="0.5">
      <c r="A45" s="6">
        <f t="shared" si="4"/>
        <v>1400</v>
      </c>
      <c r="B45" s="8">
        <v>10.446584669782963</v>
      </c>
      <c r="C45" s="6">
        <v>8.51953125</v>
      </c>
      <c r="D45" s="8">
        <v>10.450583572185572</v>
      </c>
      <c r="E45" s="9">
        <f t="shared" si="0"/>
        <v>3.998902402608806E-3</v>
      </c>
      <c r="F45" s="5">
        <f t="shared" si="1"/>
        <v>5.5984633636523284</v>
      </c>
    </row>
    <row r="46" spans="1:15" x14ac:dyDescent="0.5">
      <c r="A46" s="6">
        <f t="shared" si="4"/>
        <v>1500</v>
      </c>
      <c r="B46" s="8">
        <v>10.446877812325441</v>
      </c>
      <c r="C46" s="6">
        <v>9.44140625</v>
      </c>
      <c r="D46" s="8">
        <v>10.450583572185572</v>
      </c>
      <c r="E46" s="9">
        <f t="shared" si="0"/>
        <v>3.705759860130442E-3</v>
      </c>
      <c r="F46" s="5">
        <f t="shared" si="1"/>
        <v>5.558639790195663</v>
      </c>
    </row>
    <row r="47" spans="1:15" x14ac:dyDescent="0.5">
      <c r="A47" s="6">
        <f t="shared" si="4"/>
        <v>1600</v>
      </c>
      <c r="B47" s="8">
        <v>10.446650588408035</v>
      </c>
      <c r="C47" s="6">
        <v>10.51953125</v>
      </c>
      <c r="D47" s="8">
        <v>10.450583572185572</v>
      </c>
      <c r="E47" s="9">
        <f t="shared" si="0"/>
        <v>3.9329837775365917E-3</v>
      </c>
      <c r="F47" s="5">
        <f t="shared" si="1"/>
        <v>6.2927740440585467</v>
      </c>
    </row>
    <row r="48" spans="1:15" x14ac:dyDescent="0.5">
      <c r="A48" s="6">
        <f t="shared" si="4"/>
        <v>1700</v>
      </c>
      <c r="B48" s="8">
        <v>10.446035509334093</v>
      </c>
      <c r="C48" s="6">
        <v>11.6796875</v>
      </c>
      <c r="D48" s="8">
        <v>10.450583572185572</v>
      </c>
      <c r="E48" s="9">
        <f t="shared" si="0"/>
        <v>4.5480628514784627E-3</v>
      </c>
      <c r="F48" s="5">
        <f t="shared" si="1"/>
        <v>7.7317068475133865</v>
      </c>
    </row>
    <row r="49" spans="1:6" x14ac:dyDescent="0.5">
      <c r="A49" s="6">
        <f t="shared" si="4"/>
        <v>1800</v>
      </c>
      <c r="B49" s="8">
        <v>10.446637585478943</v>
      </c>
      <c r="C49" s="6">
        <v>13</v>
      </c>
      <c r="D49" s="8">
        <v>10.450583572185572</v>
      </c>
      <c r="E49" s="9">
        <f t="shared" si="0"/>
        <v>3.9459867066291565E-3</v>
      </c>
      <c r="F49" s="5">
        <f t="shared" si="1"/>
        <v>7.1027760719324817</v>
      </c>
    </row>
    <row r="50" spans="1:6" x14ac:dyDescent="0.5">
      <c r="A50" s="6">
        <f t="shared" si="4"/>
        <v>1900</v>
      </c>
      <c r="B50" s="6">
        <v>10.447433809742295</v>
      </c>
      <c r="C50" s="6">
        <v>14.22265625</v>
      </c>
      <c r="D50" s="8">
        <v>10.450583572185572</v>
      </c>
      <c r="E50" s="9">
        <f t="shared" si="0"/>
        <v>3.1497624432770266E-3</v>
      </c>
      <c r="F50" s="5">
        <f t="shared" si="1"/>
        <v>5.9845486422263505</v>
      </c>
    </row>
    <row r="51" spans="1:6" x14ac:dyDescent="0.5">
      <c r="A51" s="6">
        <f t="shared" si="4"/>
        <v>2000</v>
      </c>
      <c r="B51" s="6">
        <v>10.447831947832821</v>
      </c>
      <c r="C51" s="6">
        <v>15.31640625</v>
      </c>
      <c r="D51" s="8">
        <v>10.450583572185572</v>
      </c>
      <c r="E51" s="9">
        <f t="shared" si="0"/>
        <v>2.7516243527507811E-3</v>
      </c>
      <c r="F51" s="5">
        <f t="shared" si="1"/>
        <v>5.5032487055015622</v>
      </c>
    </row>
    <row r="52" spans="1:6" x14ac:dyDescent="0.5">
      <c r="A52" s="6">
        <f t="shared" si="4"/>
        <v>2100</v>
      </c>
      <c r="B52" s="6">
        <v>10.447910429170538</v>
      </c>
      <c r="C52" s="6">
        <v>16.625</v>
      </c>
      <c r="D52" s="8">
        <v>10.450583572185572</v>
      </c>
      <c r="E52" s="9">
        <f t="shared" si="0"/>
        <v>2.6731430150341851E-3</v>
      </c>
      <c r="F52" s="5">
        <f t="shared" si="1"/>
        <v>5.6136003315717886</v>
      </c>
    </row>
    <row r="53" spans="1:6" x14ac:dyDescent="0.5">
      <c r="A53" s="6">
        <f t="shared" si="4"/>
        <v>2200</v>
      </c>
      <c r="B53" s="6">
        <v>10.447731124887728</v>
      </c>
      <c r="C53" s="6">
        <v>18.375</v>
      </c>
      <c r="D53" s="8">
        <v>10.450583572185572</v>
      </c>
      <c r="E53" s="9">
        <f t="shared" si="0"/>
        <v>2.8524472978439519E-3</v>
      </c>
      <c r="F53" s="5">
        <f t="shared" si="1"/>
        <v>6.2753840552566942</v>
      </c>
    </row>
    <row r="54" spans="1:6" x14ac:dyDescent="0.5">
      <c r="A54" s="6">
        <f t="shared" si="4"/>
        <v>2300</v>
      </c>
      <c r="B54" s="6">
        <v>10.447343272762678</v>
      </c>
      <c r="C54" s="6">
        <v>19.7578125</v>
      </c>
      <c r="D54" s="8">
        <v>10.450583572185572</v>
      </c>
      <c r="E54" s="9">
        <f t="shared" si="0"/>
        <v>3.2402994228935E-3</v>
      </c>
      <c r="F54" s="5">
        <f t="shared" si="1"/>
        <v>7.4526886726550501</v>
      </c>
    </row>
    <row r="55" spans="1:6" x14ac:dyDescent="0.5">
      <c r="A55" s="6">
        <f t="shared" si="4"/>
        <v>2400</v>
      </c>
      <c r="B55" s="6">
        <v>10.447425945842401</v>
      </c>
      <c r="C55" s="6">
        <v>20.6796875</v>
      </c>
      <c r="D55" s="8">
        <v>10.450583572185572</v>
      </c>
      <c r="E55" s="9">
        <f t="shared" si="0"/>
        <v>3.1576263431709606E-3</v>
      </c>
      <c r="F55" s="5">
        <f t="shared" si="1"/>
        <v>7.5783032236103054</v>
      </c>
    </row>
    <row r="56" spans="1:6" x14ac:dyDescent="0.5">
      <c r="A56" s="6">
        <f t="shared" si="4"/>
        <v>2500</v>
      </c>
      <c r="B56" s="6">
        <v>10.448023411980241</v>
      </c>
      <c r="C56" s="6">
        <v>21.96484375</v>
      </c>
      <c r="D56" s="8">
        <v>10.450583572185572</v>
      </c>
      <c r="E56" s="9">
        <f t="shared" si="0"/>
        <v>2.5601602053306749E-3</v>
      </c>
      <c r="F56" s="5">
        <f t="shared" si="1"/>
        <v>6.4004005133266872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935567</xdr:colOff>
                    <xdr:row>0</xdr:row>
                    <xdr:rowOff>76200</xdr:rowOff>
                  </from>
                  <to>
                    <xdr:col>5</xdr:col>
                    <xdr:colOff>1210733</xdr:colOff>
                    <xdr:row>2</xdr:row>
                    <xdr:rowOff>135467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Normal="100" workbookViewId="0">
      <selection activeCell="H4" sqref="H4"/>
    </sheetView>
  </sheetViews>
  <sheetFormatPr defaultColWidth="9" defaultRowHeight="14.35" x14ac:dyDescent="0.5"/>
  <cols>
    <col min="1" max="1" width="16" style="7" customWidth="1"/>
    <col min="2" max="2" width="14.703125" style="7" customWidth="1"/>
    <col min="3" max="3" width="13" style="7" customWidth="1"/>
    <col min="4" max="4" width="15.1171875" style="7" customWidth="1"/>
    <col min="5" max="5" width="15.41015625" style="7" customWidth="1"/>
    <col min="6" max="6" width="15.1171875" style="7" customWidth="1"/>
    <col min="7" max="16384" width="9" style="7"/>
  </cols>
  <sheetData>
    <row r="1" spans="1:8" x14ac:dyDescent="0.5">
      <c r="A1" s="55" t="s">
        <v>49</v>
      </c>
      <c r="B1" s="55"/>
      <c r="C1" s="55"/>
    </row>
    <row r="2" spans="1:8" x14ac:dyDescent="0.5">
      <c r="A2" s="55"/>
      <c r="B2" s="55"/>
      <c r="C2" s="55"/>
    </row>
    <row r="3" spans="1:8" x14ac:dyDescent="0.5">
      <c r="A3" s="55"/>
      <c r="B3" s="55"/>
      <c r="C3" s="55"/>
    </row>
    <row r="4" spans="1:8" x14ac:dyDescent="0.5">
      <c r="H4" s="24"/>
    </row>
    <row r="5" spans="1:8" ht="16" thickBot="1" x14ac:dyDescent="0.6">
      <c r="A5" s="50" t="s">
        <v>44</v>
      </c>
      <c r="B5" s="50"/>
      <c r="C5" s="50"/>
      <c r="D5" s="50"/>
      <c r="E5" s="50"/>
      <c r="F5" s="50"/>
    </row>
    <row r="6" spans="1:8" ht="27.75" customHeight="1" x14ac:dyDescent="0.5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5">
      <c r="A7" s="21">
        <v>85</v>
      </c>
      <c r="B7" s="22">
        <v>20.366520119990724</v>
      </c>
      <c r="C7" s="20">
        <v>20.469287921382392</v>
      </c>
      <c r="D7" s="20"/>
      <c r="E7" s="20"/>
      <c r="F7" s="20">
        <f t="shared" ref="F7:F37" si="0">B7-C7</f>
        <v>-0.10276780139166775</v>
      </c>
    </row>
    <row r="8" spans="1:8" x14ac:dyDescent="0.5">
      <c r="A8" s="21">
        <v>86</v>
      </c>
      <c r="B8" s="22">
        <v>19.561505487961583</v>
      </c>
      <c r="C8" s="20">
        <v>19.684873223299405</v>
      </c>
      <c r="D8" s="20">
        <f t="shared" ref="D8:D37" si="1">(B8-B7)/(A8-A7)</f>
        <v>-0.80501463202914181</v>
      </c>
      <c r="E8" s="20">
        <f t="shared" ref="E8:E37" si="2">(C8-C7)/(A8-A7)</f>
        <v>-0.78441469808298692</v>
      </c>
      <c r="F8" s="20">
        <f t="shared" si="0"/>
        <v>-0.12336773533782264</v>
      </c>
    </row>
    <row r="9" spans="1:8" x14ac:dyDescent="0.5">
      <c r="A9" s="21">
        <v>87</v>
      </c>
      <c r="B9" s="22">
        <v>18.798655898559591</v>
      </c>
      <c r="C9" s="20">
        <v>18.915116935418919</v>
      </c>
      <c r="D9" s="20">
        <f t="shared" si="1"/>
        <v>-0.76284958940199132</v>
      </c>
      <c r="E9" s="20">
        <f t="shared" si="2"/>
        <v>-0.76975628788048667</v>
      </c>
      <c r="F9" s="20">
        <f t="shared" si="0"/>
        <v>-0.11646103685932729</v>
      </c>
    </row>
    <row r="10" spans="1:8" x14ac:dyDescent="0.5">
      <c r="A10" s="21">
        <v>88</v>
      </c>
      <c r="B10" s="22">
        <v>18.056849814623561</v>
      </c>
      <c r="C10" s="20">
        <v>18.160602272205807</v>
      </c>
      <c r="D10" s="20">
        <f t="shared" si="1"/>
        <v>-0.74180608393603009</v>
      </c>
      <c r="E10" s="20">
        <f t="shared" si="2"/>
        <v>-0.75451466321311145</v>
      </c>
      <c r="F10" s="20">
        <f t="shared" si="0"/>
        <v>-0.10375245758224594</v>
      </c>
    </row>
    <row r="11" spans="1:8" x14ac:dyDescent="0.5">
      <c r="A11" s="21">
        <v>89</v>
      </c>
      <c r="B11" s="22">
        <v>17.315043730687513</v>
      </c>
      <c r="C11" s="20">
        <v>17.421876686290741</v>
      </c>
      <c r="D11" s="20">
        <f t="shared" si="1"/>
        <v>-0.74180608393604786</v>
      </c>
      <c r="E11" s="20">
        <f t="shared" si="2"/>
        <v>-0.73872558591506632</v>
      </c>
      <c r="F11" s="20">
        <f t="shared" si="0"/>
        <v>-0.10683295560322748</v>
      </c>
    </row>
    <row r="12" spans="1:8" x14ac:dyDescent="0.5">
      <c r="A12" s="21">
        <v>90</v>
      </c>
      <c r="B12" s="22">
        <v>16.573237646751469</v>
      </c>
      <c r="C12" s="20">
        <v>16.699448408416004</v>
      </c>
      <c r="D12" s="20">
        <f t="shared" si="1"/>
        <v>-0.7418060839360443</v>
      </c>
      <c r="E12" s="20">
        <f t="shared" si="2"/>
        <v>-0.72242827787473729</v>
      </c>
      <c r="F12" s="20">
        <f t="shared" si="0"/>
        <v>-0.12621076166453449</v>
      </c>
    </row>
    <row r="13" spans="1:8" x14ac:dyDescent="0.5">
      <c r="A13" s="21">
        <v>91</v>
      </c>
      <c r="B13" s="22">
        <v>15.856829088821248</v>
      </c>
      <c r="C13" s="20">
        <v>15.993783412869739</v>
      </c>
      <c r="D13" s="20">
        <f t="shared" si="1"/>
        <v>-0.71640855793022062</v>
      </c>
      <c r="E13" s="20">
        <f t="shared" si="2"/>
        <v>-0.70566499554626461</v>
      </c>
      <c r="F13" s="20">
        <f t="shared" si="0"/>
        <v>-0.13695432404849051</v>
      </c>
    </row>
    <row r="14" spans="1:8" x14ac:dyDescent="0.5">
      <c r="A14" s="21">
        <v>92</v>
      </c>
      <c r="B14" s="22">
        <v>15.191444732557589</v>
      </c>
      <c r="C14" s="20">
        <v>15.30530283124774</v>
      </c>
      <c r="D14" s="20">
        <f t="shared" si="1"/>
        <v>-0.66538435626365988</v>
      </c>
      <c r="E14" s="20">
        <f t="shared" si="2"/>
        <v>-0.68848058162199877</v>
      </c>
      <c r="F14" s="20">
        <f t="shared" si="0"/>
        <v>-0.11385809869015162</v>
      </c>
    </row>
    <row r="15" spans="1:8" x14ac:dyDescent="0.5">
      <c r="A15" s="21">
        <v>93</v>
      </c>
      <c r="B15" s="22">
        <v>14.52606037629392</v>
      </c>
      <c r="C15" s="20">
        <v>14.634380829224455</v>
      </c>
      <c r="D15" s="20">
        <f t="shared" si="1"/>
        <v>-0.66538435626366876</v>
      </c>
      <c r="E15" s="20">
        <f t="shared" si="2"/>
        <v>-0.67092200202328556</v>
      </c>
      <c r="F15" s="20">
        <f t="shared" si="0"/>
        <v>-0.10832045293053483</v>
      </c>
    </row>
    <row r="16" spans="1:8" x14ac:dyDescent="0.5">
      <c r="A16" s="21">
        <v>94</v>
      </c>
      <c r="B16" s="22">
        <v>13.860676020030258</v>
      </c>
      <c r="C16" s="20">
        <v>13.981342953152167</v>
      </c>
      <c r="D16" s="20">
        <f t="shared" si="1"/>
        <v>-0.66538435626366166</v>
      </c>
      <c r="E16" s="20">
        <f t="shared" si="2"/>
        <v>-0.65303787607228792</v>
      </c>
      <c r="F16" s="20">
        <f t="shared" si="0"/>
        <v>-0.12066693312190857</v>
      </c>
    </row>
    <row r="17" spans="1:6" x14ac:dyDescent="0.5">
      <c r="A17" s="21">
        <v>95</v>
      </c>
      <c r="B17" s="22">
        <v>13.1952916637666</v>
      </c>
      <c r="C17" s="20">
        <v>13.346464945879587</v>
      </c>
      <c r="D17" s="20">
        <f t="shared" si="1"/>
        <v>-0.66538435626365811</v>
      </c>
      <c r="E17" s="20">
        <f t="shared" si="2"/>
        <v>-0.63487800727257948</v>
      </c>
      <c r="F17" s="20">
        <f t="shared" si="0"/>
        <v>-0.1511732821129872</v>
      </c>
    </row>
    <row r="18" spans="1:6" x14ac:dyDescent="0.5">
      <c r="A18" s="21">
        <v>96</v>
      </c>
      <c r="B18" s="22">
        <v>12.59769203948361</v>
      </c>
      <c r="C18" s="20">
        <v>12.729972024313961</v>
      </c>
      <c r="D18" s="20">
        <f t="shared" si="1"/>
        <v>-0.5975996242829904</v>
      </c>
      <c r="E18" s="20">
        <f t="shared" si="2"/>
        <v>-0.61649292156562652</v>
      </c>
      <c r="F18" s="20">
        <f t="shared" si="0"/>
        <v>-0.13227998483035108</v>
      </c>
    </row>
    <row r="19" spans="1:6" x14ac:dyDescent="0.5">
      <c r="A19" s="21">
        <v>97</v>
      </c>
      <c r="B19" s="22">
        <v>12.019217472106591</v>
      </c>
      <c r="C19" s="20">
        <v>12.132038605032154</v>
      </c>
      <c r="D19" s="20">
        <f t="shared" si="1"/>
        <v>-0.57847456737701819</v>
      </c>
      <c r="E19" s="20">
        <f t="shared" si="2"/>
        <v>-0.59793341928180688</v>
      </c>
      <c r="F19" s="20">
        <f t="shared" si="0"/>
        <v>-0.1128211329255624</v>
      </c>
    </row>
    <row r="20" spans="1:6" x14ac:dyDescent="0.5">
      <c r="A20" s="21">
        <v>98</v>
      </c>
      <c r="B20" s="22">
        <v>11.440742904729568</v>
      </c>
      <c r="C20" s="20">
        <v>11.552788458748998</v>
      </c>
      <c r="D20" s="20">
        <f t="shared" si="1"/>
        <v>-0.57847456737702352</v>
      </c>
      <c r="E20" s="20">
        <f t="shared" si="2"/>
        <v>-0.5792501462831563</v>
      </c>
      <c r="F20" s="20">
        <f t="shared" si="0"/>
        <v>-0.11204555401942962</v>
      </c>
    </row>
    <row r="21" spans="1:6" x14ac:dyDescent="0.5">
      <c r="A21" s="21">
        <v>99</v>
      </c>
      <c r="B21" s="22">
        <v>10.862268337352548</v>
      </c>
      <c r="C21" s="20">
        <v>10.992295269717351</v>
      </c>
      <c r="D21" s="20">
        <f t="shared" si="1"/>
        <v>-0.57847456737701997</v>
      </c>
      <c r="E21" s="20">
        <f t="shared" si="2"/>
        <v>-0.56049318903164647</v>
      </c>
      <c r="F21" s="20">
        <f t="shared" si="0"/>
        <v>-0.13002693236480312</v>
      </c>
    </row>
    <row r="22" spans="1:6" x14ac:dyDescent="0.5">
      <c r="A22" s="21">
        <v>100</v>
      </c>
      <c r="B22" s="22">
        <v>10.283793769975523</v>
      </c>
      <c r="C22" s="20">
        <v>10.45058357218557</v>
      </c>
      <c r="D22" s="20">
        <f t="shared" si="1"/>
        <v>-0.57847456737702529</v>
      </c>
      <c r="E22" s="20">
        <f t="shared" si="2"/>
        <v>-0.54171169753178106</v>
      </c>
      <c r="F22" s="20">
        <f t="shared" si="0"/>
        <v>-0.16678980221004736</v>
      </c>
    </row>
    <row r="23" spans="1:6" x14ac:dyDescent="0.5">
      <c r="A23" s="21">
        <v>101</v>
      </c>
      <c r="B23" s="22">
        <v>9.7981908698382618</v>
      </c>
      <c r="C23" s="20">
        <v>9.9276300328769427</v>
      </c>
      <c r="D23" s="20">
        <f t="shared" si="1"/>
        <v>-0.48560290013726082</v>
      </c>
      <c r="E23" s="20">
        <f t="shared" si="2"/>
        <v>-0.52295353930862731</v>
      </c>
      <c r="F23" s="20">
        <f t="shared" si="0"/>
        <v>-0.12943916303868086</v>
      </c>
    </row>
    <row r="24" spans="1:6" x14ac:dyDescent="0.5">
      <c r="A24" s="21">
        <v>102</v>
      </c>
      <c r="B24" s="22">
        <v>9.3126828438824951</v>
      </c>
      <c r="C24" s="20">
        <v>9.4233650460651326</v>
      </c>
      <c r="D24" s="20">
        <f t="shared" si="1"/>
        <v>-0.4855080259557667</v>
      </c>
      <c r="E24" s="20">
        <f t="shared" si="2"/>
        <v>-0.50426498681181009</v>
      </c>
      <c r="F24" s="20">
        <f t="shared" si="0"/>
        <v>-0.11068220218263747</v>
      </c>
    </row>
    <row r="25" spans="1:6" x14ac:dyDescent="0.5">
      <c r="A25" s="21">
        <v>103</v>
      </c>
      <c r="B25" s="22">
        <v>8.8271748179267284</v>
      </c>
      <c r="C25" s="20">
        <v>8.9376746061685832</v>
      </c>
      <c r="D25" s="20">
        <f t="shared" si="1"/>
        <v>-0.4855080259557667</v>
      </c>
      <c r="E25" s="20">
        <f t="shared" si="2"/>
        <v>-0.48569043989654936</v>
      </c>
      <c r="F25" s="20">
        <f t="shared" si="0"/>
        <v>-0.1104997882418548</v>
      </c>
    </row>
    <row r="26" spans="1:6" x14ac:dyDescent="0.5">
      <c r="A26" s="21">
        <v>104</v>
      </c>
      <c r="B26" s="22">
        <v>8.3416667919709528</v>
      </c>
      <c r="C26" s="20">
        <v>8.4704024218311282</v>
      </c>
      <c r="D26" s="20">
        <f t="shared" si="1"/>
        <v>-0.48550802595577558</v>
      </c>
      <c r="E26" s="20">
        <f t="shared" si="2"/>
        <v>-0.46727218433745499</v>
      </c>
      <c r="F26" s="20">
        <f t="shared" si="0"/>
        <v>-0.12873562986017539</v>
      </c>
    </row>
    <row r="27" spans="1:6" x14ac:dyDescent="0.5">
      <c r="A27" s="21">
        <v>105</v>
      </c>
      <c r="B27" s="22">
        <v>7.8561587660151861</v>
      </c>
      <c r="C27" s="20">
        <v>8.0213522351431781</v>
      </c>
      <c r="D27" s="20">
        <f t="shared" si="1"/>
        <v>-0.4855080259557667</v>
      </c>
      <c r="E27" s="20">
        <f t="shared" si="2"/>
        <v>-0.44905018668795016</v>
      </c>
      <c r="F27" s="20">
        <f t="shared" si="0"/>
        <v>-0.16519346912799193</v>
      </c>
    </row>
    <row r="28" spans="1:6" x14ac:dyDescent="0.5">
      <c r="A28" s="21">
        <v>106</v>
      </c>
      <c r="B28" s="22">
        <v>7.4621275423418423</v>
      </c>
      <c r="C28" s="20">
        <v>7.5902903099255745</v>
      </c>
      <c r="D28" s="20">
        <f t="shared" si="1"/>
        <v>-0.39403122367334387</v>
      </c>
      <c r="E28" s="20">
        <f t="shared" si="2"/>
        <v>-0.43106192521760356</v>
      </c>
      <c r="F28" s="20">
        <f t="shared" si="0"/>
        <v>-0.12816276758373224</v>
      </c>
    </row>
    <row r="29" spans="1:6" x14ac:dyDescent="0.5">
      <c r="A29" s="21">
        <v>107</v>
      </c>
      <c r="B29" s="22">
        <v>7.0701574335963224</v>
      </c>
      <c r="C29" s="20">
        <v>7.1769480537820058</v>
      </c>
      <c r="D29" s="20">
        <f t="shared" si="1"/>
        <v>-0.39197010874551985</v>
      </c>
      <c r="E29" s="20">
        <f t="shared" si="2"/>
        <v>-0.41334225614356868</v>
      </c>
      <c r="F29" s="20">
        <f t="shared" si="0"/>
        <v>-0.10679062018568342</v>
      </c>
    </row>
    <row r="30" spans="1:6" x14ac:dyDescent="0.5">
      <c r="A30" s="21">
        <v>108</v>
      </c>
      <c r="B30" s="22">
        <v>6.6781873248508008</v>
      </c>
      <c r="C30" s="20">
        <v>6.7810247398570507</v>
      </c>
      <c r="D30" s="20">
        <f t="shared" si="1"/>
        <v>-0.39197010874552163</v>
      </c>
      <c r="E30" s="20">
        <f t="shared" si="2"/>
        <v>-0.39592331392495517</v>
      </c>
      <c r="F30" s="20">
        <f t="shared" si="0"/>
        <v>-0.10283741500624988</v>
      </c>
    </row>
    <row r="31" spans="1:6" x14ac:dyDescent="0.5">
      <c r="A31" s="21">
        <v>109</v>
      </c>
      <c r="B31" s="22">
        <v>6.2862172161052792</v>
      </c>
      <c r="C31" s="20">
        <v>6.4021902958462693</v>
      </c>
      <c r="D31" s="20">
        <f t="shared" si="1"/>
        <v>-0.39197010874552163</v>
      </c>
      <c r="E31" s="20">
        <f t="shared" si="2"/>
        <v>-0.37883444401078137</v>
      </c>
      <c r="F31" s="20">
        <f t="shared" si="0"/>
        <v>-0.11597307974099014</v>
      </c>
    </row>
    <row r="32" spans="1:6" x14ac:dyDescent="0.5">
      <c r="A32" s="21">
        <v>110</v>
      </c>
      <c r="B32" s="22">
        <v>5.8942471073597584</v>
      </c>
      <c r="C32" s="20">
        <v>6.040088129724241</v>
      </c>
      <c r="D32" s="20">
        <f t="shared" si="1"/>
        <v>-0.39197010874552074</v>
      </c>
      <c r="E32" s="20">
        <f t="shared" si="2"/>
        <v>-0.36210216612202828</v>
      </c>
      <c r="F32" s="20">
        <f t="shared" si="0"/>
        <v>-0.1458410223644826</v>
      </c>
    </row>
    <row r="33" spans="1:6" x14ac:dyDescent="0.5">
      <c r="A33" s="21">
        <v>111</v>
      </c>
      <c r="B33" s="22">
        <v>5.5646713935287906</v>
      </c>
      <c r="C33" s="20">
        <v>5.694337963819903</v>
      </c>
      <c r="D33" s="20">
        <f t="shared" si="1"/>
        <v>-0.32957571383096784</v>
      </c>
      <c r="E33" s="20">
        <f t="shared" si="2"/>
        <v>-0.34575016590433805</v>
      </c>
      <c r="F33" s="20">
        <f t="shared" si="0"/>
        <v>-0.12966657029111239</v>
      </c>
    </row>
    <row r="34" spans="1:6" x14ac:dyDescent="0.5">
      <c r="A34" s="21">
        <v>112</v>
      </c>
      <c r="B34" s="22">
        <v>5.2612231745919056</v>
      </c>
      <c r="C34" s="20">
        <v>5.3645386512139188</v>
      </c>
      <c r="D34" s="20">
        <f t="shared" si="1"/>
        <v>-0.30344821893688501</v>
      </c>
      <c r="E34" s="20">
        <f t="shared" si="2"/>
        <v>-0.32979931260598416</v>
      </c>
      <c r="F34" s="20">
        <f t="shared" si="0"/>
        <v>-0.10331547662201324</v>
      </c>
    </row>
    <row r="35" spans="1:6" x14ac:dyDescent="0.5">
      <c r="A35" s="21">
        <v>113</v>
      </c>
      <c r="B35" s="22">
        <v>4.9577749556550206</v>
      </c>
      <c r="C35" s="20">
        <v>5.0502709509006536</v>
      </c>
      <c r="D35" s="20">
        <f t="shared" si="1"/>
        <v>-0.30344821893688501</v>
      </c>
      <c r="E35" s="20">
        <f t="shared" si="2"/>
        <v>-0.31426770031326523</v>
      </c>
      <c r="F35" s="20">
        <f t="shared" si="0"/>
        <v>-9.2495995245633011E-2</v>
      </c>
    </row>
    <row r="36" spans="1:6" x14ac:dyDescent="0.5">
      <c r="A36" s="21">
        <v>114</v>
      </c>
      <c r="B36" s="22">
        <v>4.6543267367181373</v>
      </c>
      <c r="C36" s="20">
        <v>4.7511002406963243</v>
      </c>
      <c r="D36" s="20">
        <f t="shared" si="1"/>
        <v>-0.30344821893688323</v>
      </c>
      <c r="E36" s="20">
        <f t="shared" si="2"/>
        <v>-0.29917071020432928</v>
      </c>
      <c r="F36" s="20">
        <f t="shared" si="0"/>
        <v>-9.6773503978186959E-2</v>
      </c>
    </row>
    <row r="37" spans="1:6" x14ac:dyDescent="0.5">
      <c r="A37" s="21">
        <v>115</v>
      </c>
      <c r="B37" s="22">
        <v>4.3508785177812541</v>
      </c>
      <c r="C37" s="20">
        <v>4.4665791494349527</v>
      </c>
      <c r="D37" s="20">
        <f t="shared" si="1"/>
        <v>-0.30344821893688323</v>
      </c>
      <c r="E37" s="20">
        <f t="shared" si="2"/>
        <v>-0.28452109126137159</v>
      </c>
      <c r="F37" s="20">
        <f t="shared" si="0"/>
        <v>-0.11570063165369859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1037167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2024-10-10T14:45:29Z</dcterms:modified>
</cp:coreProperties>
</file>