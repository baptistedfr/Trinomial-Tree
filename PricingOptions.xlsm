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3610FB42-378E-4BF5-94F7-79C83DF6AA2D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MyCSharpTools Add-In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0" l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2" i="10"/>
  <c r="E25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<sst xmlns="http://schemas.openxmlformats.org/spreadsheetml/2006/main" count="61" uniqueCount="55">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</sst>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0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-0.80501463202914181</c:v>
                </c:pt>
                <c:pt idx="2">
                  <c:v>-0.76284958940199132</c:v>
                </c:pt>
                <c:pt idx="3">
                  <c:v>-0.74180608393603009</c:v>
                </c:pt>
                <c:pt idx="4">
                  <c:v>-0.74180608393604786</c:v>
                </c:pt>
                <c:pt idx="5">
                  <c:v>-0.7418060839360443</c:v>
                </c:pt>
                <c:pt idx="6">
                  <c:v>-0.71640855793022062</c:v>
                </c:pt>
                <c:pt idx="7">
                  <c:v>-0.66538435626365988</c:v>
                </c:pt>
                <c:pt idx="8">
                  <c:v>-0.66538435626366876</c:v>
                </c:pt>
                <c:pt idx="9">
                  <c:v>-0.66538435626366166</c:v>
                </c:pt>
                <c:pt idx="10">
                  <c:v>-0.66538435626365811</c:v>
                </c:pt>
                <c:pt idx="11">
                  <c:v>-0.5975996242829904</c:v>
                </c:pt>
                <c:pt idx="12">
                  <c:v>-0.57847456737701819</c:v>
                </c:pt>
                <c:pt idx="13">
                  <c:v>-0.57847456737702352</c:v>
                </c:pt>
                <c:pt idx="14">
                  <c:v>-0.57847456737701997</c:v>
                </c:pt>
                <c:pt idx="15">
                  <c:v>-0.57847456737702529</c:v>
                </c:pt>
                <c:pt idx="16">
                  <c:v>-0.48560290013726082</c:v>
                </c:pt>
                <c:pt idx="17">
                  <c:v>-0.4855080259557667</c:v>
                </c:pt>
                <c:pt idx="18">
                  <c:v>-0.4855080259557667</c:v>
                </c:pt>
                <c:pt idx="19">
                  <c:v>-0.48550802595577558</c:v>
                </c:pt>
                <c:pt idx="20">
                  <c:v>-0.4855080259557667</c:v>
                </c:pt>
                <c:pt idx="21">
                  <c:v>-0.39403122367334387</c:v>
                </c:pt>
                <c:pt idx="22">
                  <c:v>-0.39197010874551985</c:v>
                </c:pt>
                <c:pt idx="23">
                  <c:v>-0.39197010874552163</c:v>
                </c:pt>
                <c:pt idx="24">
                  <c:v>-0.39197010874552163</c:v>
                </c:pt>
                <c:pt idx="25">
                  <c:v>-0.39197010874552074</c:v>
                </c:pt>
                <c:pt idx="26">
                  <c:v>-0.32957571383096784</c:v>
                </c:pt>
                <c:pt idx="27">
                  <c:v>-0.30344821893688501</c:v>
                </c:pt>
                <c:pt idx="28">
                  <c:v>-0.30344821893688501</c:v>
                </c:pt>
                <c:pt idx="29">
                  <c:v>-0.30344821893688323</c:v>
                </c:pt>
                <c:pt idx="30">
                  <c:v>-0.30344821893688323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-0.78441469808298692</c:v>
                </c:pt>
                <c:pt idx="2">
                  <c:v>-0.76975628788048667</c:v>
                </c:pt>
                <c:pt idx="3">
                  <c:v>-0.75451466321311145</c:v>
                </c:pt>
                <c:pt idx="4">
                  <c:v>-0.73872558591506632</c:v>
                </c:pt>
                <c:pt idx="5">
                  <c:v>-0.72242827787473729</c:v>
                </c:pt>
                <c:pt idx="6">
                  <c:v>-0.70566499554626461</c:v>
                </c:pt>
                <c:pt idx="7">
                  <c:v>-0.68848058162199877</c:v>
                </c:pt>
                <c:pt idx="8">
                  <c:v>-0.67092200202328556</c:v>
                </c:pt>
                <c:pt idx="9">
                  <c:v>-0.65303787607228792</c:v>
                </c:pt>
                <c:pt idx="10">
                  <c:v>-0.63487800727257948</c:v>
                </c:pt>
                <c:pt idx="11">
                  <c:v>-0.61649292156562652</c:v>
                </c:pt>
                <c:pt idx="12">
                  <c:v>-0.59793341928180688</c:v>
                </c:pt>
                <c:pt idx="13">
                  <c:v>-0.5792501462831563</c:v>
                </c:pt>
                <c:pt idx="14">
                  <c:v>-0.56049318903164647</c:v>
                </c:pt>
                <c:pt idx="15">
                  <c:v>-0.54171169753178106</c:v>
                </c:pt>
                <c:pt idx="16">
                  <c:v>-0.52295353930862731</c:v>
                </c:pt>
                <c:pt idx="17">
                  <c:v>-0.50426498681181009</c:v>
                </c:pt>
                <c:pt idx="18">
                  <c:v>-0.48569043989654936</c:v>
                </c:pt>
                <c:pt idx="19">
                  <c:v>-0.46727218433745499</c:v>
                </c:pt>
                <c:pt idx="20">
                  <c:v>-0.44905018668795016</c:v>
                </c:pt>
                <c:pt idx="21">
                  <c:v>-0.43106192521760356</c:v>
                </c:pt>
                <c:pt idx="22">
                  <c:v>-0.41334225614356868</c:v>
                </c:pt>
                <c:pt idx="23">
                  <c:v>-0.39592331392495517</c:v>
                </c:pt>
                <c:pt idx="24">
                  <c:v>-0.37883444401078137</c:v>
                </c:pt>
                <c:pt idx="25">
                  <c:v>-0.36210216612202828</c:v>
                </c:pt>
                <c:pt idx="26">
                  <c:v>-0.34575016590433805</c:v>
                </c:pt>
                <c:pt idx="27">
                  <c:v>-0.32979931260598416</c:v>
                </c:pt>
                <c:pt idx="28">
                  <c:v>-0.31426770031326523</c:v>
                </c:pt>
                <c:pt idx="29">
                  <c:v>-0.29917071020432928</c:v>
                </c:pt>
                <c:pt idx="30">
                  <c:v>-0.28452109126137159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-0.10276780139166775</c:v>
                </c:pt>
                <c:pt idx="1">
                  <c:v>-0.12336773533782264</c:v>
                </c:pt>
                <c:pt idx="2">
                  <c:v>-0.11646103685932729</c:v>
                </c:pt>
                <c:pt idx="3">
                  <c:v>-0.10375245758224594</c:v>
                </c:pt>
                <c:pt idx="4">
                  <c:v>-0.10683295560322748</c:v>
                </c:pt>
                <c:pt idx="5">
                  <c:v>-0.12621076166453449</c:v>
                </c:pt>
                <c:pt idx="6">
                  <c:v>-0.13695432404849051</c:v>
                </c:pt>
                <c:pt idx="7">
                  <c:v>-0.11385809869015162</c:v>
                </c:pt>
                <c:pt idx="8">
                  <c:v>-0.10832045293053483</c:v>
                </c:pt>
                <c:pt idx="9">
                  <c:v>-0.12066693312190857</c:v>
                </c:pt>
                <c:pt idx="10">
                  <c:v>-0.1511732821129872</c:v>
                </c:pt>
                <c:pt idx="11">
                  <c:v>-0.13227998483035108</c:v>
                </c:pt>
                <c:pt idx="12">
                  <c:v>-0.1128211329255624</c:v>
                </c:pt>
                <c:pt idx="13">
                  <c:v>-0.11204555401942962</c:v>
                </c:pt>
                <c:pt idx="14">
                  <c:v>-0.13002693236480312</c:v>
                </c:pt>
                <c:pt idx="15">
                  <c:v>-0.16678980221004736</c:v>
                </c:pt>
                <c:pt idx="16">
                  <c:v>-0.12943916303868086</c:v>
                </c:pt>
                <c:pt idx="17">
                  <c:v>-0.11068220218263747</c:v>
                </c:pt>
                <c:pt idx="18">
                  <c:v>-0.1104997882418548</c:v>
                </c:pt>
                <c:pt idx="19">
                  <c:v>-0.12873562986017539</c:v>
                </c:pt>
                <c:pt idx="20">
                  <c:v>-0.16519346912799193</c:v>
                </c:pt>
                <c:pt idx="21">
                  <c:v>-0.12816276758373224</c:v>
                </c:pt>
                <c:pt idx="22">
                  <c:v>-0.10679062018568342</c:v>
                </c:pt>
                <c:pt idx="23">
                  <c:v>-0.10283741500624988</c:v>
                </c:pt>
                <c:pt idx="24">
                  <c:v>-0.11597307974099014</c:v>
                </c:pt>
                <c:pt idx="25">
                  <c:v>-0.1458410223644826</c:v>
                </c:pt>
                <c:pt idx="26">
                  <c:v>-0.12966657029111239</c:v>
                </c:pt>
                <c:pt idx="27">
                  <c:v>-0.10331547662201324</c:v>
                </c:pt>
                <c:pt idx="28">
                  <c:v>-9.2495995245633011E-2</c:v>
                </c:pt>
                <c:pt idx="29">
                  <c:v>-9.6773503978186959E-2</c:v>
                </c:pt>
                <c:pt idx="30">
                  <c:v>-0.11570063165369859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20.366520119990724</c:v>
                </c:pt>
                <c:pt idx="1">
                  <c:v>19.561505487961583</c:v>
                </c:pt>
                <c:pt idx="2">
                  <c:v>18.798655898559591</c:v>
                </c:pt>
                <c:pt idx="3">
                  <c:v>18.056849814623561</c:v>
                </c:pt>
                <c:pt idx="4">
                  <c:v>17.315043730687513</c:v>
                </c:pt>
                <c:pt idx="5">
                  <c:v>16.573237646751469</c:v>
                </c:pt>
                <c:pt idx="6">
                  <c:v>15.856829088821248</c:v>
                </c:pt>
                <c:pt idx="7">
                  <c:v>15.191444732557589</c:v>
                </c:pt>
                <c:pt idx="8">
                  <c:v>14.52606037629392</c:v>
                </c:pt>
                <c:pt idx="9">
                  <c:v>13.860676020030258</c:v>
                </c:pt>
                <c:pt idx="10">
                  <c:v>13.1952916637666</c:v>
                </c:pt>
                <c:pt idx="11">
                  <c:v>12.59769203948361</c:v>
                </c:pt>
                <c:pt idx="12">
                  <c:v>12.019217472106591</c:v>
                </c:pt>
                <c:pt idx="13">
                  <c:v>11.440742904729568</c:v>
                </c:pt>
                <c:pt idx="14">
                  <c:v>10.862268337352548</c:v>
                </c:pt>
                <c:pt idx="15">
                  <c:v>10.283793769975523</c:v>
                </c:pt>
                <c:pt idx="16">
                  <c:v>9.7981908698382618</c:v>
                </c:pt>
                <c:pt idx="17">
                  <c:v>9.3126828438824951</c:v>
                </c:pt>
                <c:pt idx="18">
                  <c:v>8.8271748179267284</c:v>
                </c:pt>
                <c:pt idx="19">
                  <c:v>8.3416667919709528</c:v>
                </c:pt>
                <c:pt idx="20">
                  <c:v>7.8561587660151861</c:v>
                </c:pt>
                <c:pt idx="21">
                  <c:v>7.4621275423418423</c:v>
                </c:pt>
                <c:pt idx="22">
                  <c:v>7.0701574335963224</c:v>
                </c:pt>
                <c:pt idx="23">
                  <c:v>6.6781873248508008</c:v>
                </c:pt>
                <c:pt idx="24">
                  <c:v>6.2862172161052792</c:v>
                </c:pt>
                <c:pt idx="25">
                  <c:v>5.8942471073597584</c:v>
                </c:pt>
                <c:pt idx="26">
                  <c:v>5.5646713935287906</c:v>
                </c:pt>
                <c:pt idx="27">
                  <c:v>5.2612231745919056</c:v>
                </c:pt>
                <c:pt idx="28">
                  <c:v>4.9577749556550206</c:v>
                </c:pt>
                <c:pt idx="29">
                  <c:v>4.6543267367181373</c:v>
                </c:pt>
                <c:pt idx="30">
                  <c:v>4.3508785177812541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20.469287921382392</c:v>
                </c:pt>
                <c:pt idx="1">
                  <c:v>19.684873223299405</c:v>
                </c:pt>
                <c:pt idx="2">
                  <c:v>18.915116935418919</c:v>
                </c:pt>
                <c:pt idx="3">
                  <c:v>18.160602272205807</c:v>
                </c:pt>
                <c:pt idx="4">
                  <c:v>17.421876686290741</c:v>
                </c:pt>
                <c:pt idx="5">
                  <c:v>16.699448408416004</c:v>
                </c:pt>
                <c:pt idx="6">
                  <c:v>15.993783412869739</c:v>
                </c:pt>
                <c:pt idx="7">
                  <c:v>15.30530283124774</c:v>
                </c:pt>
                <c:pt idx="8">
                  <c:v>14.634380829224455</c:v>
                </c:pt>
                <c:pt idx="9">
                  <c:v>13.981342953152167</c:v>
                </c:pt>
                <c:pt idx="10">
                  <c:v>13.346464945879587</c:v>
                </c:pt>
                <c:pt idx="11">
                  <c:v>12.729972024313961</c:v>
                </c:pt>
                <c:pt idx="12">
                  <c:v>12.132038605032154</c:v>
                </c:pt>
                <c:pt idx="13">
                  <c:v>11.552788458748998</c:v>
                </c:pt>
                <c:pt idx="14">
                  <c:v>10.992295269717351</c:v>
                </c:pt>
                <c:pt idx="15">
                  <c:v>10.45058357218557</c:v>
                </c:pt>
                <c:pt idx="16">
                  <c:v>9.9276300328769427</c:v>
                </c:pt>
                <c:pt idx="17">
                  <c:v>9.4233650460651326</c:v>
                </c:pt>
                <c:pt idx="18">
                  <c:v>8.9376746061685832</c:v>
                </c:pt>
                <c:pt idx="19">
                  <c:v>8.4704024218311282</c:v>
                </c:pt>
                <c:pt idx="20">
                  <c:v>8.0213522351431781</c:v>
                </c:pt>
                <c:pt idx="21">
                  <c:v>7.5902903099255745</c:v>
                </c:pt>
                <c:pt idx="22">
                  <c:v>7.1769480537820058</c:v>
                </c:pt>
                <c:pt idx="23">
                  <c:v>6.7810247398570507</c:v>
                </c:pt>
                <c:pt idx="24">
                  <c:v>6.4021902958462693</c:v>
                </c:pt>
                <c:pt idx="25">
                  <c:v>6.040088129724241</c:v>
                </c:pt>
                <c:pt idx="26">
                  <c:v>5.694337963819903</c:v>
                </c:pt>
                <c:pt idx="27">
                  <c:v>5.3645386512139188</c:v>
                </c:pt>
                <c:pt idx="28">
                  <c:v>5.0502709509006536</c:v>
                </c:pt>
                <c:pt idx="29">
                  <c:v>4.7511002406963243</c:v>
                </c:pt>
                <c:pt idx="30">
                  <c:v>4.4665791494349527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26</xdr:row>
      <xdr:rowOff>60614</xdr:rowOff>
    </xdr:from>
    <xdr:to>
      <xdr:col>3</xdr:col>
      <xdr:colOff>383261</xdr:colOff>
      <xdr:row>28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0"/>
  <sheetViews>
    <sheetView tabSelected="1" topLeftCell="A12" zoomScale="110" zoomScaleNormal="110" workbookViewId="0">
      <selection activeCell="E15" sqref="E15"/>
    </sheetView>
  </sheetViews>
  <sheetFormatPr defaultColWidth="9" defaultRowHeight="14.4" x14ac:dyDescent="0.3"/>
  <cols>
    <col min="1" max="1" width="9" style="10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45" t="s">
        <v>43</v>
      </c>
      <c r="C1" s="45"/>
      <c r="D1" s="45"/>
      <c r="E1" s="45"/>
    </row>
    <row r="2" spans="2:15" ht="14.4" customHeight="1" x14ac:dyDescent="0.3">
      <c r="B2" s="45"/>
      <c r="C2" s="45"/>
      <c r="D2" s="45"/>
      <c r="E2" s="45"/>
    </row>
    <row r="3" spans="2:15" ht="14.4" customHeight="1" x14ac:dyDescent="0.3">
      <c r="B3" s="45"/>
      <c r="C3" s="45"/>
      <c r="D3" s="45"/>
      <c r="E3" s="45"/>
    </row>
    <row r="6" spans="2:15" ht="14.4" customHeight="1" x14ac:dyDescent="0.3">
      <c r="B6" s="43" t="s">
        <v>0</v>
      </c>
      <c r="C6" s="48" t="s">
        <v>11</v>
      </c>
      <c r="D6" s="11" t="s">
        <v>13</v>
      </c>
      <c r="E6" s="1">
        <v>100</v>
      </c>
      <c r="J6" s="41" t="s">
        <v>17</v>
      </c>
      <c r="K6" s="41"/>
      <c r="L6" s="41"/>
      <c r="M6" s="40" t="s">
        <v>54</v>
      </c>
      <c r="N6" s="40"/>
      <c r="O6" s="40"/>
    </row>
    <row r="7" spans="2:15" x14ac:dyDescent="0.3">
      <c r="B7" s="43"/>
      <c r="C7" s="48"/>
      <c r="D7" s="11" t="s">
        <v>28</v>
      </c>
      <c r="E7" s="2">
        <v>0.21</v>
      </c>
      <c r="J7" s="41"/>
      <c r="K7" s="41"/>
      <c r="L7" s="41"/>
      <c r="M7" s="40"/>
      <c r="N7" s="40"/>
      <c r="O7" s="40"/>
    </row>
    <row r="8" spans="2:15" x14ac:dyDescent="0.3">
      <c r="B8" s="43"/>
      <c r="C8" s="48"/>
      <c r="D8" s="11" t="s">
        <v>29</v>
      </c>
      <c r="E8" s="2">
        <v>0.03</v>
      </c>
      <c r="J8" s="41" t="s">
        <v>16</v>
      </c>
      <c r="K8" s="41"/>
      <c r="L8" s="41"/>
      <c r="M8" s="40" t="s">
        <v>54</v>
      </c>
      <c r="N8" s="40"/>
      <c r="O8" s="40"/>
    </row>
    <row r="9" spans="2:15" x14ac:dyDescent="0.3">
      <c r="B9" s="43"/>
      <c r="C9" s="48"/>
      <c r="D9" s="11" t="s">
        <v>14</v>
      </c>
      <c r="E9" s="1">
        <v>3</v>
      </c>
      <c r="J9" s="41"/>
      <c r="K9" s="41"/>
      <c r="L9" s="41"/>
      <c r="M9" s="40"/>
      <c r="N9" s="40"/>
      <c r="O9" s="40"/>
    </row>
    <row r="10" spans="2:15" x14ac:dyDescent="0.3">
      <c r="B10" s="43"/>
      <c r="C10" s="48"/>
      <c r="D10" s="11" t="s">
        <v>3</v>
      </c>
      <c r="E10" s="3">
        <v>45458</v>
      </c>
      <c r="I10" s="26"/>
      <c r="J10" s="42"/>
      <c r="K10" s="42"/>
      <c r="L10" s="42"/>
      <c r="M10" s="42"/>
      <c r="N10" s="42"/>
      <c r="O10" s="42"/>
    </row>
    <row r="11" spans="2:15" ht="15.6" customHeight="1" x14ac:dyDescent="0.3">
      <c r="B11" s="43"/>
      <c r="C11" s="49" t="s">
        <v>12</v>
      </c>
      <c r="D11" s="11" t="s">
        <v>4</v>
      </c>
      <c r="E11" s="3">
        <v>45352</v>
      </c>
      <c r="I11" s="26"/>
      <c r="J11" s="42"/>
      <c r="K11" s="42"/>
      <c r="L11" s="42"/>
      <c r="M11" s="42"/>
      <c r="N11" s="42"/>
      <c r="O11" s="42"/>
    </row>
    <row r="12" spans="2:15" ht="15.6" customHeight="1" x14ac:dyDescent="0.3">
      <c r="B12" s="43"/>
      <c r="C12" s="50"/>
      <c r="D12" s="11" t="s">
        <v>53</v>
      </c>
      <c r="E12" s="3">
        <v>45652</v>
      </c>
      <c r="I12" s="26"/>
      <c r="J12" s="42"/>
      <c r="K12" s="42"/>
      <c r="L12" s="42"/>
      <c r="M12" s="42"/>
      <c r="N12" s="42"/>
      <c r="O12" s="42"/>
    </row>
    <row r="13" spans="2:15" ht="15.6" customHeight="1" x14ac:dyDescent="0.3">
      <c r="B13" s="43"/>
      <c r="C13" s="50"/>
      <c r="D13" s="11" t="s">
        <v>30</v>
      </c>
      <c r="E13" s="27">
        <f>(IEndDate-IStartDate)/365</f>
        <v>0.82191780821917804</v>
      </c>
      <c r="J13" s="42"/>
      <c r="K13" s="42"/>
      <c r="L13" s="42"/>
      <c r="M13" s="42"/>
      <c r="N13" s="42"/>
      <c r="O13" s="42"/>
    </row>
    <row r="14" spans="2:15" ht="14.4" customHeight="1" x14ac:dyDescent="0.3">
      <c r="B14" s="43"/>
      <c r="C14" s="50"/>
      <c r="D14" s="11" t="s">
        <v>15</v>
      </c>
      <c r="E14" s="1">
        <v>101</v>
      </c>
      <c r="J14" s="42"/>
      <c r="K14" s="42"/>
      <c r="L14" s="42"/>
      <c r="M14" s="42"/>
      <c r="N14" s="42"/>
      <c r="O14" s="42"/>
    </row>
    <row r="15" spans="2:15" ht="14.4" customHeight="1" x14ac:dyDescent="0.3">
      <c r="B15" s="43"/>
      <c r="C15" s="50"/>
      <c r="D15" s="11" t="s">
        <v>1</v>
      </c>
      <c r="E15" s="1" t="s">
        <v>5</v>
      </c>
    </row>
    <row r="16" spans="2:15" ht="14.4" customHeight="1" x14ac:dyDescent="0.3">
      <c r="B16" s="43"/>
      <c r="C16" s="51"/>
      <c r="D16" s="11" t="s">
        <v>31</v>
      </c>
      <c r="E16" s="1" t="s">
        <v>6</v>
      </c>
      <c r="J16" s="34" t="s">
        <v>19</v>
      </c>
      <c r="K16" s="35"/>
      <c r="L16" s="36"/>
      <c r="M16" s="28">
        <v>0.5035491825550853</v>
      </c>
      <c r="N16" s="29"/>
      <c r="O16" s="30"/>
    </row>
    <row r="17" spans="2:15" ht="16.649999999999999" customHeight="1" x14ac:dyDescent="0.3">
      <c r="B17" s="43"/>
      <c r="C17" s="47" t="s">
        <v>32</v>
      </c>
      <c r="D17" s="11" t="s">
        <v>33</v>
      </c>
      <c r="E17" s="1">
        <v>10</v>
      </c>
      <c r="J17" s="37"/>
      <c r="K17" s="38"/>
      <c r="L17" s="39"/>
      <c r="M17" s="31"/>
      <c r="N17" s="32"/>
      <c r="O17" s="33"/>
    </row>
    <row r="18" spans="2:15" x14ac:dyDescent="0.3">
      <c r="B18" s="43"/>
      <c r="C18" s="47"/>
      <c r="D18" s="11" t="s">
        <v>34</v>
      </c>
      <c r="E18" s="4">
        <v>1E-8</v>
      </c>
      <c r="J18" s="34" t="s">
        <v>20</v>
      </c>
      <c r="K18" s="35"/>
      <c r="L18" s="36"/>
      <c r="M18" s="28">
        <v>2.1200784865622997E-2</v>
      </c>
      <c r="N18" s="29"/>
      <c r="O18" s="30"/>
    </row>
    <row r="19" spans="2:15" ht="18.75" customHeight="1" x14ac:dyDescent="0.3">
      <c r="J19" s="37"/>
      <c r="K19" s="38"/>
      <c r="L19" s="39"/>
      <c r="M19" s="31"/>
      <c r="N19" s="32"/>
      <c r="O19" s="33"/>
    </row>
    <row r="20" spans="2:15" ht="15.6" x14ac:dyDescent="0.3">
      <c r="B20" s="46" t="s">
        <v>18</v>
      </c>
      <c r="C20" s="44" t="s">
        <v>8</v>
      </c>
      <c r="D20" s="12" t="s">
        <v>36</v>
      </c>
      <c r="E20" s="13">
        <v>6.7529080353796322</v>
      </c>
      <c r="J20" s="34" t="s">
        <v>21</v>
      </c>
      <c r="K20" s="35"/>
      <c r="L20" s="36"/>
      <c r="M20" s="28">
        <v>35.519069982764194</v>
      </c>
      <c r="N20" s="29"/>
      <c r="O20" s="30"/>
    </row>
    <row r="21" spans="2:15" ht="18" customHeight="1" x14ac:dyDescent="0.3">
      <c r="B21" s="46"/>
      <c r="C21" s="44"/>
      <c r="D21" s="12" t="s">
        <v>37</v>
      </c>
      <c r="E21" s="13">
        <v>6.6699689812041552</v>
      </c>
      <c r="J21" s="37"/>
      <c r="K21" s="38"/>
      <c r="L21" s="39"/>
      <c r="M21" s="31"/>
      <c r="N21" s="32"/>
      <c r="O21" s="33"/>
    </row>
    <row r="22" spans="2:15" ht="18.75" customHeight="1" x14ac:dyDescent="0.3">
      <c r="B22" s="46"/>
      <c r="C22" s="44"/>
      <c r="D22" s="12" t="s">
        <v>48</v>
      </c>
      <c r="E22" s="16">
        <f>(3*IVol^2)/(INbSteps*8*SQRT(2*PI())*SQRT(EXP(IVol^2)-1))</f>
        <v>3.1070978871970949E-3</v>
      </c>
      <c r="J22" s="34" t="s">
        <v>22</v>
      </c>
      <c r="K22" s="35"/>
      <c r="L22" s="36"/>
      <c r="M22" s="28">
        <v>5.6869117623201237</v>
      </c>
      <c r="N22" s="29"/>
      <c r="O22" s="30"/>
    </row>
    <row r="23" spans="2:15" ht="18" customHeight="1" x14ac:dyDescent="0.3">
      <c r="B23" s="46"/>
      <c r="C23" s="44" t="s">
        <v>35</v>
      </c>
      <c r="D23" s="12" t="s">
        <v>38</v>
      </c>
      <c r="E23" s="14">
        <v>1.5625E-2</v>
      </c>
      <c r="J23" s="37"/>
      <c r="K23" s="38"/>
      <c r="L23" s="39"/>
      <c r="M23" s="31"/>
      <c r="N23" s="32"/>
      <c r="O23" s="33"/>
    </row>
    <row r="24" spans="2:15" ht="16.350000000000001" customHeight="1" x14ac:dyDescent="0.3">
      <c r="B24" s="46"/>
      <c r="C24" s="44"/>
      <c r="D24" s="12" t="s">
        <v>39</v>
      </c>
      <c r="E24" s="14">
        <v>0</v>
      </c>
      <c r="J24" s="34" t="s">
        <v>23</v>
      </c>
      <c r="K24" s="35"/>
      <c r="L24" s="36"/>
      <c r="M24" s="28">
        <v>35.086721630101088</v>
      </c>
      <c r="N24" s="29"/>
      <c r="O24" s="30"/>
    </row>
    <row r="25" spans="2:15" ht="16.350000000000001" customHeight="1" x14ac:dyDescent="0.3">
      <c r="B25" s="46"/>
      <c r="C25" s="44"/>
      <c r="D25" s="12" t="s">
        <v>40</v>
      </c>
      <c r="E25" s="15">
        <f>ITimeTree+IPriceTime</f>
        <v>1.5625E-2</v>
      </c>
      <c r="J25" s="37"/>
      <c r="K25" s="38"/>
      <c r="L25" s="39"/>
      <c r="M25" s="31"/>
      <c r="N25" s="32"/>
      <c r="O25" s="33"/>
    </row>
    <row r="28" spans="2:15" x14ac:dyDescent="0.3">
      <c r="B28" s="17" t="s">
        <v>41</v>
      </c>
      <c r="C28" s="17"/>
      <c r="D28" s="17"/>
      <c r="E28" s="17"/>
    </row>
    <row r="29" spans="2:15" x14ac:dyDescent="0.3">
      <c r="B29" s="17"/>
      <c r="C29" s="17"/>
      <c r="D29" s="17"/>
      <c r="E29" s="17"/>
    </row>
    <row r="30" spans="2:15" x14ac:dyDescent="0.3">
      <c r="B30" s="17"/>
      <c r="C30" s="17"/>
      <c r="D30" s="17"/>
      <c r="E30" s="17"/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3">
    <mergeCell ref="B6:B18"/>
    <mergeCell ref="C23:C25"/>
    <mergeCell ref="B1:E3"/>
    <mergeCell ref="J6:L7"/>
    <mergeCell ref="B20:B25"/>
    <mergeCell ref="C20:C22"/>
    <mergeCell ref="C17:C18"/>
    <mergeCell ref="C6:C10"/>
    <mergeCell ref="C11:C16"/>
    <mergeCell ref="M6:O7"/>
    <mergeCell ref="J8:L9"/>
    <mergeCell ref="M8:O9"/>
    <mergeCell ref="J10:O14"/>
    <mergeCell ref="J16:L17"/>
    <mergeCell ref="M16:O17"/>
    <mergeCell ref="M18:O19"/>
    <mergeCell ref="M20:O21"/>
    <mergeCell ref="M22:O23"/>
    <mergeCell ref="M24:O25"/>
    <mergeCell ref="J18:L19"/>
    <mergeCell ref="J20:L21"/>
    <mergeCell ref="J22:L23"/>
    <mergeCell ref="J24:L25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K48"/>
  <sheetViews>
    <sheetView zoomScale="85" zoomScaleNormal="85" workbookViewId="0">
      <selection activeCell="G14" sqref="G14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11" x14ac:dyDescent="0.3">
      <c r="A1" s="52" t="s">
        <v>25</v>
      </c>
      <c r="B1" s="52"/>
      <c r="C1" s="52"/>
    </row>
    <row r="2" spans="1:11" x14ac:dyDescent="0.3">
      <c r="A2" s="52"/>
      <c r="B2" s="52"/>
      <c r="C2" s="52"/>
    </row>
    <row r="3" spans="1:11" x14ac:dyDescent="0.3">
      <c r="A3" s="52"/>
      <c r="B3" s="52"/>
      <c r="C3" s="52"/>
    </row>
    <row r="4" spans="1:11" x14ac:dyDescent="0.3">
      <c r="K4" s="23">
        <v>282.1759526168384</v>
      </c>
    </row>
    <row r="5" spans="1:11" x14ac:dyDescent="0.3">
      <c r="J5" s="23">
        <v>253.60722868273922</v>
      </c>
      <c r="K5" s="23">
        <v>254.23333316779753</v>
      </c>
    </row>
    <row r="6" spans="1:11" x14ac:dyDescent="0.3">
      <c r="I6" s="23">
        <v>227.93092694002007</v>
      </c>
      <c r="J6" s="23">
        <v>228.49364187674294</v>
      </c>
      <c r="K6" s="23">
        <v>229.05774604179143</v>
      </c>
    </row>
    <row r="7" spans="1:11" x14ac:dyDescent="0.3">
      <c r="H7" s="23">
        <v>204.85420595297381</v>
      </c>
      <c r="I7" s="23">
        <v>205.35994917565881</v>
      </c>
      <c r="J7" s="23">
        <v>205.86694097513586</v>
      </c>
      <c r="K7" s="23">
        <v>206.37518443388606</v>
      </c>
    </row>
    <row r="8" spans="1:11" x14ac:dyDescent="0.3">
      <c r="G8" s="23">
        <v>184.11387282984435</v>
      </c>
      <c r="H8" s="23">
        <v>184.56841240325866</v>
      </c>
      <c r="I8" s="23">
        <v>185.02407414210577</v>
      </c>
      <c r="J8" s="23">
        <v>185.48086081678323</v>
      </c>
      <c r="K8" s="23">
        <v>185.93877520452787</v>
      </c>
    </row>
    <row r="9" spans="1:11" x14ac:dyDescent="0.3">
      <c r="F9" s="23">
        <v>165.47338147494852</v>
      </c>
      <c r="G9" s="23">
        <v>165.88190147982917</v>
      </c>
      <c r="H9" s="23">
        <v>166.29143003722081</v>
      </c>
      <c r="I9" s="23">
        <v>166.7019696370337</v>
      </c>
      <c r="J9" s="23">
        <v>167.11352277532529</v>
      </c>
      <c r="K9" s="23">
        <v>167.52609195431515</v>
      </c>
    </row>
    <row r="10" spans="1:11" x14ac:dyDescent="0.3">
      <c r="E10" s="23">
        <v>153.26164632777113</v>
      </c>
      <c r="F10" s="23">
        <v>149.08729440898591</v>
      </c>
      <c r="G10" s="23">
        <v>149.45536050938662</v>
      </c>
      <c r="H10" s="23">
        <v>149.82433528986499</v>
      </c>
      <c r="I10" s="23">
        <v>150.19422099376666</v>
      </c>
      <c r="J10" s="23">
        <v>150.56501986997571</v>
      </c>
      <c r="K10" s="23">
        <v>150.93673417292808</v>
      </c>
    </row>
    <row r="11" spans="1:11" x14ac:dyDescent="0.3">
      <c r="D11" s="23">
        <v>137.74476892195932</v>
      </c>
      <c r="E11" s="23">
        <v>138.0848326420012</v>
      </c>
      <c r="F11" s="23">
        <v>134.32384807798621</v>
      </c>
      <c r="G11" s="23">
        <v>134.65546624269214</v>
      </c>
      <c r="H11" s="23">
        <v>134.98790310496173</v>
      </c>
      <c r="I11" s="23">
        <v>135.32116068599214</v>
      </c>
      <c r="J11" s="23">
        <v>135.65524101197053</v>
      </c>
      <c r="K11" s="23">
        <v>135.9901461140862</v>
      </c>
    </row>
    <row r="12" spans="1:11" x14ac:dyDescent="0.3">
      <c r="C12" s="23">
        <v>123.7988878495163</v>
      </c>
      <c r="D12" s="23">
        <v>124.10452203561745</v>
      </c>
      <c r="E12" s="23">
        <v>124.41091077014255</v>
      </c>
      <c r="F12" s="23">
        <v>121.02235964509141</v>
      </c>
      <c r="G12" s="23">
        <v>121.32113914975976</v>
      </c>
      <c r="H12" s="23">
        <v>121.62065628004265</v>
      </c>
      <c r="I12" s="23">
        <v>121.92091285698721</v>
      </c>
      <c r="J12" s="23">
        <v>122.22191070613631</v>
      </c>
      <c r="K12" s="23">
        <v>122.52365165753974</v>
      </c>
    </row>
    <row r="13" spans="1:11" x14ac:dyDescent="0.3">
      <c r="B13" s="23">
        <v>111.26494859097194</v>
      </c>
      <c r="C13" s="23">
        <v>111.5396390392862</v>
      </c>
      <c r="D13" s="23">
        <v>111.81500764225157</v>
      </c>
      <c r="E13" s="23">
        <v>112.0910560740935</v>
      </c>
      <c r="F13" s="23">
        <v>109.03805797435453</v>
      </c>
      <c r="G13" s="23">
        <v>109.30725068425636</v>
      </c>
      <c r="H13" s="23">
        <v>109.57710797601528</v>
      </c>
      <c r="I13" s="23">
        <v>109.84763149034828</v>
      </c>
      <c r="J13" s="23">
        <v>110.1188228720229</v>
      </c>
      <c r="K13" s="23">
        <v>110.39068376986732</v>
      </c>
    </row>
    <row r="14" spans="1:11" x14ac:dyDescent="0.3">
      <c r="A14" s="23">
        <v>100</v>
      </c>
      <c r="B14" s="23">
        <v>100.24687958947796</v>
      </c>
      <c r="C14" s="23">
        <v>100.49436867427292</v>
      </c>
      <c r="D14" s="23">
        <v>100.74246875910443</v>
      </c>
      <c r="E14" s="23">
        <v>100.99118135240685</v>
      </c>
      <c r="F14" s="23">
        <v>98.240507966338612</v>
      </c>
      <c r="G14" s="23">
        <v>98.483043729106967</v>
      </c>
      <c r="H14" s="23">
        <v>98.72617826317078</v>
      </c>
      <c r="I14" s="23">
        <v>98.969913046774167</v>
      </c>
      <c r="J14" s="23">
        <v>99.214249561810732</v>
      </c>
      <c r="K14" s="23">
        <v>99.459189293832566</v>
      </c>
    </row>
    <row r="15" spans="1:11" x14ac:dyDescent="0.3">
      <c r="B15" s="23">
        <v>90.319880561583304</v>
      </c>
      <c r="C15" s="23">
        <v>90.542861911930714</v>
      </c>
      <c r="D15" s="23">
        <v>90.766393757720479</v>
      </c>
      <c r="E15" s="23">
        <v>90.990477458013487</v>
      </c>
      <c r="F15" s="23">
        <v>88.512190924696924</v>
      </c>
      <c r="G15" s="23">
        <v>88.730709458289766</v>
      </c>
      <c r="H15" s="23">
        <v>88.949767469541257</v>
      </c>
      <c r="I15" s="23">
        <v>89.169366290311658</v>
      </c>
      <c r="J15" s="23">
        <v>89.38950725574928</v>
      </c>
      <c r="K15" s="23">
        <v>89.610191704298629</v>
      </c>
    </row>
    <row r="16" spans="1:11" x14ac:dyDescent="0.3">
      <c r="C16" s="23">
        <v>81.576808246586722</v>
      </c>
      <c r="D16" s="23">
        <v>81.778204735895116</v>
      </c>
      <c r="E16" s="23">
        <v>81.980098432029536</v>
      </c>
      <c r="F16" s="23">
        <v>79.747225502685737</v>
      </c>
      <c r="G16" s="23">
        <v>79.944105125626834</v>
      </c>
      <c r="H16" s="23">
        <v>80.141470804172798</v>
      </c>
      <c r="I16" s="23">
        <v>80.339323738295732</v>
      </c>
      <c r="J16" s="23">
        <v>80.537665130930222</v>
      </c>
      <c r="K16" s="23">
        <v>80.736496187980578</v>
      </c>
    </row>
    <row r="17" spans="4:11" x14ac:dyDescent="0.3">
      <c r="D17" s="23">
        <v>73.680075774268957</v>
      </c>
      <c r="E17" s="23">
        <v>73.86197684286752</v>
      </c>
      <c r="F17" s="23">
        <v>71.850215308609336</v>
      </c>
      <c r="G17" s="23">
        <v>72.027598825202261</v>
      </c>
      <c r="H17" s="23">
        <v>72.205420265492734</v>
      </c>
      <c r="I17" s="23">
        <v>72.383680710625015</v>
      </c>
      <c r="J17" s="23">
        <v>72.562381244412464</v>
      </c>
      <c r="K17" s="23">
        <v>72.741522953344088</v>
      </c>
    </row>
    <row r="18" spans="4:11" x14ac:dyDescent="0.3">
      <c r="E18" s="23">
        <v>66.547756437003798</v>
      </c>
      <c r="F18" s="23">
        <v>64.735210627730964</v>
      </c>
      <c r="G18" s="23">
        <v>64.895028649976396</v>
      </c>
      <c r="H18" s="23">
        <v>65.055241230299046</v>
      </c>
      <c r="I18" s="23">
        <v>65.215849342782306</v>
      </c>
      <c r="J18" s="23">
        <v>65.376853963914343</v>
      </c>
      <c r="K18" s="23">
        <v>65.538256072594052</v>
      </c>
    </row>
    <row r="19" spans="4:11" x14ac:dyDescent="0.3">
      <c r="F19" s="23">
        <v>58.324772960207873</v>
      </c>
      <c r="G19" s="23">
        <v>58.468764920255985</v>
      </c>
      <c r="H19" s="23">
        <v>58.613112367063934</v>
      </c>
      <c r="I19" s="23">
        <v>58.757816178255993</v>
      </c>
      <c r="J19" s="23">
        <v>58.902877233623101</v>
      </c>
      <c r="K19" s="23">
        <v>59.048296415128164</v>
      </c>
    </row>
    <row r="20" spans="4:11" x14ac:dyDescent="0.3">
      <c r="G20" s="23">
        <v>52.678865275474386</v>
      </c>
      <c r="H20" s="23">
        <v>52.808918641808113</v>
      </c>
      <c r="I20" s="23">
        <v>52.939293083358756</v>
      </c>
      <c r="J20" s="23">
        <v>53.069989392795499</v>
      </c>
      <c r="K20" s="23">
        <v>53.201008364744418</v>
      </c>
    </row>
    <row r="21" spans="4:11" x14ac:dyDescent="0.3">
      <c r="H21" s="23">
        <v>47.579488198005834</v>
      </c>
      <c r="I21" s="23">
        <v>47.696952243144786</v>
      </c>
      <c r="J21" s="23">
        <v>47.814706283036173</v>
      </c>
      <c r="K21" s="23">
        <v>47.932751033617812</v>
      </c>
    </row>
    <row r="22" spans="4:11" x14ac:dyDescent="0.3">
      <c r="I22" s="23">
        <v>42.973736912251496</v>
      </c>
      <c r="J22" s="23">
        <v>43.079830297523813</v>
      </c>
      <c r="K22" s="23">
        <v>43.186185605710129</v>
      </c>
    </row>
    <row r="23" spans="4:11" x14ac:dyDescent="0.3">
      <c r="J23" s="23">
        <v>38.813827851994596</v>
      </c>
      <c r="K23" s="23">
        <v>38.909651270856273</v>
      </c>
    </row>
    <row r="24" spans="4:11" x14ac:dyDescent="0.3">
      <c r="K24" s="23">
        <v>35.056602957300065</v>
      </c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K24"/>
  <sheetViews>
    <sheetView zoomScale="85" zoomScaleNormal="85" workbookViewId="0">
      <selection sqref="A1:C3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11" x14ac:dyDescent="0.3">
      <c r="A1" s="52" t="s">
        <v>24</v>
      </c>
      <c r="B1" s="52"/>
      <c r="C1" s="52"/>
    </row>
    <row r="2" spans="1:11" x14ac:dyDescent="0.3">
      <c r="A2" s="52"/>
      <c r="B2" s="52"/>
      <c r="C2" s="52"/>
    </row>
    <row r="3" spans="1:11" x14ac:dyDescent="0.3">
      <c r="A3" s="52"/>
      <c r="B3" s="52"/>
      <c r="C3" s="52"/>
    </row>
    <row r="4" spans="1:11" x14ac:dyDescent="0.3">
      <c r="K4" s="23">
        <v>181.1759526168384</v>
      </c>
    </row>
    <row r="5" spans="1:11" x14ac:dyDescent="0.3">
      <c r="J5" s="23">
        <v>152.85596299386572</v>
      </c>
      <c r="K5" s="23">
        <v>153.23333316779753</v>
      </c>
    </row>
    <row r="6" spans="1:11" x14ac:dyDescent="0.3">
      <c r="I6" s="23">
        <v>127.42778300031739</v>
      </c>
      <c r="J6" s="23">
        <v>127.74237618786945</v>
      </c>
      <c r="K6" s="23">
        <v>128.05774604179143</v>
      </c>
    </row>
    <row r="7" spans="1:11" x14ac:dyDescent="0.3">
      <c r="H7" s="23">
        <v>104.59857270905221</v>
      </c>
      <c r="I7" s="23">
        <v>104.85680523595613</v>
      </c>
      <c r="J7" s="23">
        <v>105.11567528626234</v>
      </c>
      <c r="K7" s="23">
        <v>105.37518443388606</v>
      </c>
    </row>
    <row r="8" spans="1:11" x14ac:dyDescent="0.3">
      <c r="G8" s="23">
        <v>84.105140733165143</v>
      </c>
      <c r="H8" s="23">
        <v>84.312779159337055</v>
      </c>
      <c r="I8" s="23">
        <v>84.520930202403093</v>
      </c>
      <c r="J8" s="23">
        <v>84.729595127909732</v>
      </c>
      <c r="K8" s="23">
        <v>84.938775204527872</v>
      </c>
    </row>
    <row r="9" spans="1:11" x14ac:dyDescent="0.3">
      <c r="F9" s="23">
        <v>65.711195918805998</v>
      </c>
      <c r="G9" s="23">
        <v>65.873169383149943</v>
      </c>
      <c r="H9" s="23">
        <v>66.035796793299184</v>
      </c>
      <c r="I9" s="23">
        <v>66.198825697331003</v>
      </c>
      <c r="J9" s="23">
        <v>66.362257086451805</v>
      </c>
      <c r="K9" s="23">
        <v>66.526091954315149</v>
      </c>
    </row>
    <row r="10" spans="1:11" x14ac:dyDescent="0.3">
      <c r="E10" s="23">
        <v>50.767057597750522</v>
      </c>
      <c r="F10" s="23">
        <v>49.331540160615475</v>
      </c>
      <c r="G10" s="23">
        <v>49.448076020554879</v>
      </c>
      <c r="H10" s="23">
        <v>49.568702045943382</v>
      </c>
      <c r="I10" s="23">
        <v>49.69107705406396</v>
      </c>
      <c r="J10" s="23">
        <v>49.813754181102212</v>
      </c>
      <c r="K10" s="23">
        <v>49.936734172928084</v>
      </c>
    </row>
    <row r="11" spans="1:11" x14ac:dyDescent="0.3">
      <c r="D11" s="23">
        <v>35.690098086223649</v>
      </c>
      <c r="E11" s="23">
        <v>35.699533895470559</v>
      </c>
      <c r="F11" s="23">
        <v>34.637984183860091</v>
      </c>
      <c r="G11" s="23">
        <v>34.679419984292451</v>
      </c>
      <c r="H11" s="23">
        <v>34.740538337959066</v>
      </c>
      <c r="I11" s="23">
        <v>34.818016746289459</v>
      </c>
      <c r="J11" s="23">
        <v>34.903975323097058</v>
      </c>
      <c r="K11" s="23">
        <v>34.990146114086201</v>
      </c>
    </row>
    <row r="12" spans="1:11" x14ac:dyDescent="0.3">
      <c r="C12" s="23">
        <v>22.931640459392778</v>
      </c>
      <c r="D12" s="23">
        <v>22.747144344320638</v>
      </c>
      <c r="E12" s="23">
        <v>22.572354660032723</v>
      </c>
      <c r="F12" s="23">
        <v>21.762405572469291</v>
      </c>
      <c r="G12" s="23">
        <v>21.624385140963941</v>
      </c>
      <c r="H12" s="23">
        <v>21.520325106711141</v>
      </c>
      <c r="I12" s="23">
        <v>21.464996977478975</v>
      </c>
      <c r="J12" s="23">
        <v>21.470645017262857</v>
      </c>
      <c r="K12" s="23">
        <v>21.523651657539745</v>
      </c>
    </row>
    <row r="13" spans="1:11" x14ac:dyDescent="0.3">
      <c r="B13" s="23">
        <v>13.193190027819384</v>
      </c>
      <c r="C13" s="23">
        <v>12.836373969363054</v>
      </c>
      <c r="D13" s="23">
        <v>12.459656883110171</v>
      </c>
      <c r="E13" s="23">
        <v>12.060984639340184</v>
      </c>
      <c r="F13" s="23">
        <v>11.382891687156308</v>
      </c>
      <c r="G13" s="23">
        <v>10.954661284954897</v>
      </c>
      <c r="H13" s="23">
        <v>10.506340257270582</v>
      </c>
      <c r="I13" s="23">
        <v>10.052230629188792</v>
      </c>
      <c r="J13" s="23">
        <v>9.6373154096766758</v>
      </c>
      <c r="K13" s="23">
        <v>9.3906837698673229</v>
      </c>
    </row>
    <row r="14" spans="1:11" x14ac:dyDescent="0.3">
      <c r="A14" s="23">
        <v>6.7529080353796322</v>
      </c>
      <c r="B14" s="23">
        <v>6.3693374904462337</v>
      </c>
      <c r="C14" s="23">
        <v>5.9594299619623508</v>
      </c>
      <c r="D14" s="23">
        <v>5.5178986683669278</v>
      </c>
      <c r="E14" s="23">
        <v>5.0373099211258143</v>
      </c>
      <c r="F14" s="23">
        <v>4.5041194999566345</v>
      </c>
      <c r="G14" s="23">
        <v>3.9415825120898571</v>
      </c>
      <c r="H14" s="23">
        <v>3.2915388211102345</v>
      </c>
      <c r="I14" s="23">
        <v>2.5048129122564906</v>
      </c>
      <c r="J14" s="23">
        <v>1.4812730376301448</v>
      </c>
      <c r="K14" s="23">
        <v>0</v>
      </c>
    </row>
    <row r="15" spans="1:11" x14ac:dyDescent="0.3">
      <c r="B15" s="23">
        <v>2.5017016491477877</v>
      </c>
      <c r="C15" s="23">
        <v>2.1886261946321035</v>
      </c>
      <c r="D15" s="23">
        <v>1.8631173991841121</v>
      </c>
      <c r="E15" s="23">
        <v>1.5250529107345243</v>
      </c>
      <c r="F15" s="23">
        <v>1.2338517847228674</v>
      </c>
      <c r="G15" s="23">
        <v>0.89153270951485508</v>
      </c>
      <c r="H15" s="23">
        <v>0.5504207717540085</v>
      </c>
      <c r="I15" s="23">
        <v>0.23365389206807652</v>
      </c>
      <c r="J15" s="23">
        <v>0</v>
      </c>
      <c r="K15" s="23">
        <v>0</v>
      </c>
    </row>
    <row r="16" spans="1:11" x14ac:dyDescent="0.3">
      <c r="C16" s="23">
        <v>0.61024569036591902</v>
      </c>
      <c r="D16" s="23">
        <v>0.45570842358425939</v>
      </c>
      <c r="E16" s="23">
        <v>0.31301511120996395</v>
      </c>
      <c r="F16" s="23">
        <v>0.21564509134104029</v>
      </c>
      <c r="G16" s="23">
        <v>0.1113217777181337</v>
      </c>
      <c r="H16" s="23">
        <v>3.685623101997728E-2</v>
      </c>
      <c r="I16" s="23">
        <v>0</v>
      </c>
      <c r="J16" s="23">
        <v>0</v>
      </c>
      <c r="K16" s="23">
        <v>0</v>
      </c>
    </row>
    <row r="17" spans="4:11" x14ac:dyDescent="0.3">
      <c r="D17" s="23">
        <v>7.6768320884226054E-2</v>
      </c>
      <c r="E17" s="23">
        <v>4.0441696621133179E-2</v>
      </c>
      <c r="F17" s="23">
        <v>2.1424205628133464E-2</v>
      </c>
      <c r="G17" s="23">
        <v>5.8136492098412092E-3</v>
      </c>
      <c r="H17" s="23">
        <v>0</v>
      </c>
      <c r="I17" s="23">
        <v>0</v>
      </c>
      <c r="J17" s="23">
        <v>0</v>
      </c>
      <c r="K17" s="23">
        <v>0</v>
      </c>
    </row>
    <row r="18" spans="4:11" x14ac:dyDescent="0.3">
      <c r="E18" s="23">
        <v>2.9200577931769592E-3</v>
      </c>
      <c r="F18" s="23">
        <v>9.1703671807268788E-4</v>
      </c>
      <c r="G18" s="23">
        <v>0</v>
      </c>
      <c r="H18" s="23">
        <v>0</v>
      </c>
      <c r="I18" s="23">
        <v>0</v>
      </c>
      <c r="J18" s="23">
        <v>0</v>
      </c>
      <c r="K18" s="23">
        <v>0</v>
      </c>
    </row>
    <row r="19" spans="4:11" x14ac:dyDescent="0.3">
      <c r="F19" s="23">
        <v>0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</row>
    <row r="20" spans="4:11" x14ac:dyDescent="0.3">
      <c r="G20" s="23">
        <v>0</v>
      </c>
      <c r="H20" s="23">
        <v>0</v>
      </c>
      <c r="I20" s="23">
        <v>0</v>
      </c>
      <c r="J20" s="23">
        <v>0</v>
      </c>
      <c r="K20" s="23">
        <v>0</v>
      </c>
    </row>
    <row r="21" spans="4:11" x14ac:dyDescent="0.3">
      <c r="H21" s="23">
        <v>0</v>
      </c>
      <c r="I21" s="23">
        <v>0</v>
      </c>
      <c r="J21" s="23">
        <v>0</v>
      </c>
      <c r="K21" s="23">
        <v>0</v>
      </c>
    </row>
    <row r="22" spans="4:11" x14ac:dyDescent="0.3">
      <c r="I22" s="23">
        <v>0</v>
      </c>
      <c r="J22" s="23">
        <v>0</v>
      </c>
      <c r="K22" s="23">
        <v>0</v>
      </c>
    </row>
    <row r="23" spans="4:11" x14ac:dyDescent="0.3">
      <c r="J23" s="23">
        <v>0</v>
      </c>
      <c r="K23" s="23">
        <v>0</v>
      </c>
    </row>
    <row r="24" spans="4:11" x14ac:dyDescent="0.3">
      <c r="K24" s="23">
        <v>0</v>
      </c>
    </row>
  </sheetData>
  <mergeCells count="1">
    <mergeCell ref="A1:C3"/>
  </mergeCells>
  <conditionalFormatting sqref="A4:XFD1048576 A1 D1:XFD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K25"/>
  <sheetViews>
    <sheetView zoomScale="70" zoomScaleNormal="70" workbookViewId="0">
      <selection activeCell="K5" sqref="K5:K2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11" x14ac:dyDescent="0.3">
      <c r="A1" s="52" t="s">
        <v>27</v>
      </c>
      <c r="B1" s="52"/>
      <c r="C1" s="52"/>
    </row>
    <row r="2" spans="1:11" x14ac:dyDescent="0.3">
      <c r="A2" s="52"/>
      <c r="B2" s="52"/>
      <c r="C2" s="52"/>
    </row>
    <row r="3" spans="1:11" x14ac:dyDescent="0.3">
      <c r="A3" s="52"/>
      <c r="B3" s="52"/>
      <c r="C3" s="52"/>
    </row>
    <row r="5" spans="1:11" x14ac:dyDescent="0.3">
      <c r="K5" s="23">
        <v>1.3448488097793682E-8</v>
      </c>
    </row>
    <row r="6" spans="1:11" x14ac:dyDescent="0.3">
      <c r="J6" s="23">
        <v>8.5048116101906659E-8</v>
      </c>
      <c r="K6" s="23">
        <v>5.3819070530921811E-7</v>
      </c>
    </row>
    <row r="7" spans="1:11" x14ac:dyDescent="0.3">
      <c r="I7" s="23">
        <v>5.3784351072667362E-7</v>
      </c>
      <c r="J7" s="23">
        <v>3.0451134172631724E-6</v>
      </c>
      <c r="K7" s="23">
        <v>9.8475132042674898E-6</v>
      </c>
    </row>
    <row r="8" spans="1:11" x14ac:dyDescent="0.3">
      <c r="H8" s="23">
        <v>3.4013174575692507E-6</v>
      </c>
      <c r="I8" s="23">
        <v>1.6990753076789498E-5</v>
      </c>
      <c r="J8" s="23">
        <v>4.9348831786686765E-5</v>
      </c>
      <c r="K8" s="23">
        <v>1.0903971549394343E-4</v>
      </c>
    </row>
    <row r="9" spans="1:11" x14ac:dyDescent="0.3">
      <c r="G9" s="23">
        <v>2.1509900587132585E-5</v>
      </c>
      <c r="H9" s="23">
        <v>9.3115938435556347E-5</v>
      </c>
      <c r="I9" s="23">
        <v>2.3988418588538233E-4</v>
      </c>
      <c r="J9" s="23">
        <v>4.78226365852054E-4</v>
      </c>
      <c r="K9" s="23">
        <v>8.149687521251174E-4</v>
      </c>
    </row>
    <row r="10" spans="1:11" x14ac:dyDescent="0.3">
      <c r="F10" s="23">
        <v>1.3602841517739038E-4</v>
      </c>
      <c r="G10" s="23">
        <v>4.9821987070790806E-4</v>
      </c>
      <c r="H10" s="23">
        <v>1.120852093339082E-3</v>
      </c>
      <c r="I10" s="23">
        <v>1.9945494629949314E-3</v>
      </c>
      <c r="J10" s="23">
        <v>3.0837973295601922E-3</v>
      </c>
      <c r="K10" s="23">
        <v>4.3418738648973547E-3</v>
      </c>
    </row>
    <row r="11" spans="1:11" x14ac:dyDescent="0.3">
      <c r="E11" s="23">
        <v>6.2522316378519553E-4</v>
      </c>
      <c r="F11" s="23">
        <v>2.5775030867138593E-3</v>
      </c>
      <c r="G11" s="23">
        <v>4.9648452205229149E-3</v>
      </c>
      <c r="H11" s="23">
        <v>7.786800256159401E-3</v>
      </c>
      <c r="I11" s="23">
        <v>1.0830462429610473E-2</v>
      </c>
      <c r="J11" s="23">
        <v>1.3931809432396027E-2</v>
      </c>
      <c r="K11" s="23">
        <v>1.6976669065494839E-2</v>
      </c>
    </row>
    <row r="12" spans="1:11" x14ac:dyDescent="0.3">
      <c r="D12" s="23">
        <v>3.9539055867497267E-3</v>
      </c>
      <c r="E12" s="23">
        <v>1.0538965559895155E-2</v>
      </c>
      <c r="F12" s="23">
        <v>2.038484852883337E-2</v>
      </c>
      <c r="G12" s="23">
        <v>2.7768412356260295E-2</v>
      </c>
      <c r="H12" s="23">
        <v>3.4433490255448049E-2</v>
      </c>
      <c r="I12" s="23">
        <v>4.0250414980434635E-2</v>
      </c>
      <c r="J12" s="23">
        <v>4.522778400931092E-2</v>
      </c>
      <c r="K12" s="23">
        <v>4.9436589925708749E-2</v>
      </c>
    </row>
    <row r="13" spans="1:11" x14ac:dyDescent="0.3">
      <c r="C13" s="23">
        <v>2.5004462877358469E-2</v>
      </c>
      <c r="D13" s="23">
        <v>4.9986241576794585E-2</v>
      </c>
      <c r="E13" s="23">
        <v>6.9393854383260511E-2</v>
      </c>
      <c r="F13" s="23">
        <v>8.6842977985777073E-2</v>
      </c>
      <c r="G13" s="23">
        <v>9.5228196508250901E-2</v>
      </c>
      <c r="H13" s="23">
        <v>0.10079507945270877</v>
      </c>
      <c r="I13" s="23">
        <v>0.10438073163649782</v>
      </c>
      <c r="J13" s="23">
        <v>0.10657992893068936</v>
      </c>
      <c r="K13" s="23">
        <v>0.10780549890861518</v>
      </c>
    </row>
    <row r="14" spans="1:11" x14ac:dyDescent="0.3">
      <c r="B14" s="23">
        <v>0.15812799523600654</v>
      </c>
      <c r="C14" s="23">
        <v>0.21074169062510784</v>
      </c>
      <c r="D14" s="23">
        <v>0.2238115279448035</v>
      </c>
      <c r="E14" s="23">
        <v>0.22224793182326213</v>
      </c>
      <c r="F14" s="23">
        <v>0.21363352248225378</v>
      </c>
      <c r="G14" s="23">
        <v>0.2053073584157859</v>
      </c>
      <c r="H14" s="23">
        <v>0.1971260592511189</v>
      </c>
      <c r="I14" s="23">
        <v>0.18946727310778555</v>
      </c>
      <c r="J14" s="23">
        <v>0.18242574135795275</v>
      </c>
      <c r="K14" s="23">
        <v>0.17598938206725803</v>
      </c>
    </row>
    <row r="15" spans="1:11" x14ac:dyDescent="0.3">
      <c r="A15" s="23">
        <v>1</v>
      </c>
      <c r="B15" s="23">
        <v>0.6663642649442858</v>
      </c>
      <c r="C15" s="23">
        <v>0.49954670768692921</v>
      </c>
      <c r="D15" s="23">
        <v>0.4068536702879389</v>
      </c>
      <c r="E15" s="23">
        <v>0.34967405777167943</v>
      </c>
      <c r="F15" s="23">
        <v>0.30170494720265706</v>
      </c>
      <c r="G15" s="23">
        <v>0.2757467877296691</v>
      </c>
      <c r="H15" s="23">
        <v>0.25561062033029192</v>
      </c>
      <c r="I15" s="23">
        <v>0.23937503815021471</v>
      </c>
      <c r="J15" s="23">
        <v>0.22590423998142642</v>
      </c>
      <c r="K15" s="23">
        <v>0.21448135894661557</v>
      </c>
    </row>
    <row r="16" spans="1:11" x14ac:dyDescent="0.3">
      <c r="B16" s="23">
        <v>0.17550773981970771</v>
      </c>
      <c r="C16" s="23">
        <v>0.23390417207398231</v>
      </c>
      <c r="D16" s="23">
        <v>0.24841050666936737</v>
      </c>
      <c r="E16" s="23">
        <v>0.24667505672027912</v>
      </c>
      <c r="F16" s="23">
        <v>0.2352970808287469</v>
      </c>
      <c r="G16" s="23">
        <v>0.22658722964697026</v>
      </c>
      <c r="H16" s="23">
        <v>0.21784950762019514</v>
      </c>
      <c r="I16" s="23">
        <v>0.2095789282349062</v>
      </c>
      <c r="J16" s="23">
        <v>0.20192323645963348</v>
      </c>
      <c r="K16" s="23">
        <v>0.19489389426883746</v>
      </c>
    </row>
    <row r="17" spans="3:11" x14ac:dyDescent="0.3">
      <c r="C17" s="23">
        <v>3.0802966736622202E-2</v>
      </c>
      <c r="D17" s="23">
        <v>6.1577988862659541E-2</v>
      </c>
      <c r="E17" s="23">
        <v>8.5486202954156071E-2</v>
      </c>
      <c r="F17" s="23">
        <v>0.10650934982061395</v>
      </c>
      <c r="G17" s="23">
        <v>0.11676730224898192</v>
      </c>
      <c r="H17" s="23">
        <v>0.12363502707944019</v>
      </c>
      <c r="I17" s="23">
        <v>0.12809342237810956</v>
      </c>
      <c r="J17" s="23">
        <v>0.13085300059949864</v>
      </c>
      <c r="K17" s="23">
        <v>0.13241283531834749</v>
      </c>
    </row>
    <row r="18" spans="3:11" x14ac:dyDescent="0.3">
      <c r="D18" s="23">
        <v>5.4061590716864578E-3</v>
      </c>
      <c r="E18" s="23">
        <v>1.4409884863904862E-2</v>
      </c>
      <c r="F18" s="23">
        <v>2.8437841110516761E-2</v>
      </c>
      <c r="G18" s="23">
        <v>3.8308567628278604E-2</v>
      </c>
      <c r="H18" s="23">
        <v>4.7260345788483711E-2</v>
      </c>
      <c r="I18" s="23">
        <v>5.5103445351105236E-2</v>
      </c>
      <c r="J18" s="23">
        <v>6.1835862115392444E-2</v>
      </c>
      <c r="K18" s="23">
        <v>6.7543447657241837E-2</v>
      </c>
    </row>
    <row r="19" spans="3:11" x14ac:dyDescent="0.3">
      <c r="E19" s="23">
        <v>9.4882275977756496E-4</v>
      </c>
      <c r="F19" s="23">
        <v>4.2079284088223177E-3</v>
      </c>
      <c r="G19" s="23">
        <v>7.8374482354201715E-3</v>
      </c>
      <c r="H19" s="23">
        <v>1.2091063322692986E-2</v>
      </c>
      <c r="I19" s="23">
        <v>1.6666929893208806E-2</v>
      </c>
      <c r="J19" s="23">
        <v>2.1327813981598047E-2</v>
      </c>
      <c r="K19" s="23">
        <v>2.590612970255713E-2</v>
      </c>
    </row>
    <row r="20" spans="3:11" x14ac:dyDescent="0.3">
      <c r="F20" s="23">
        <v>2.6797212988751259E-4</v>
      </c>
      <c r="G20" s="23">
        <v>9.1709105571362727E-4</v>
      </c>
      <c r="H20" s="23">
        <v>1.9940864796380675E-3</v>
      </c>
      <c r="I20" s="23">
        <v>3.4812706235772422E-3</v>
      </c>
      <c r="J20" s="23">
        <v>5.320779631144427E-3</v>
      </c>
      <c r="K20" s="23">
        <v>7.436887010926708E-3</v>
      </c>
    </row>
    <row r="21" spans="3:11" x14ac:dyDescent="0.3">
      <c r="G21" s="23">
        <v>4.7031182851231271E-5</v>
      </c>
      <c r="H21" s="23">
        <v>1.9229647798729745E-4</v>
      </c>
      <c r="I21" s="23">
        <v>4.7942235395079377E-4</v>
      </c>
      <c r="J21" s="23">
        <v>9.3666637373211725E-4</v>
      </c>
      <c r="K21" s="23">
        <v>1.5754762860274089E-3</v>
      </c>
    </row>
    <row r="22" spans="3:11" x14ac:dyDescent="0.3">
      <c r="H22" s="23">
        <v>8.254336603267514E-6</v>
      </c>
      <c r="I22" s="23">
        <v>3.9249915170082514E-5</v>
      </c>
      <c r="J22" s="23">
        <v>1.1052615465291067E-4</v>
      </c>
      <c r="K22" s="23">
        <v>2.392848193730455E-4</v>
      </c>
    </row>
    <row r="23" spans="3:11" x14ac:dyDescent="0.3">
      <c r="I23" s="23">
        <v>1.4486999609506107E-6</v>
      </c>
      <c r="J23" s="23">
        <v>7.8540257842205666E-6</v>
      </c>
      <c r="K23" s="23">
        <v>2.4672043029292444E-5</v>
      </c>
    </row>
    <row r="24" spans="3:11" x14ac:dyDescent="0.3">
      <c r="J24" s="23">
        <v>2.5425805582335588E-7</v>
      </c>
      <c r="K24" s="23">
        <v>1.5478707963491404E-6</v>
      </c>
    </row>
    <row r="25" spans="3:11" x14ac:dyDescent="0.3">
      <c r="K25" s="23">
        <v>4.4624256708513228E-8</v>
      </c>
    </row>
  </sheetData>
  <mergeCells count="1">
    <mergeCell ref="A1:C3"/>
  </mergeCells>
  <conditionalFormatting sqref="A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16" zoomScale="90" zoomScaleNormal="90" workbookViewId="0">
      <selection activeCell="A5" sqref="A5:F5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9" width="9.109375" style="7"/>
    <col min="10" max="10" width="9" style="7" customWidth="1"/>
    <col min="11" max="16384" width="9.109375" style="7"/>
  </cols>
  <sheetData>
    <row r="1" spans="1:10" x14ac:dyDescent="0.3">
      <c r="A1" s="53" t="s">
        <v>42</v>
      </c>
      <c r="B1" s="53"/>
      <c r="C1" s="53"/>
      <c r="H1" s="53" t="s">
        <v>45</v>
      </c>
      <c r="I1" s="53"/>
      <c r="J1" s="53"/>
    </row>
    <row r="2" spans="1:10" x14ac:dyDescent="0.3">
      <c r="A2" s="53"/>
      <c r="B2" s="53"/>
      <c r="C2" s="53"/>
      <c r="H2" s="53"/>
      <c r="I2" s="53"/>
      <c r="J2" s="53"/>
    </row>
    <row r="3" spans="1:10" x14ac:dyDescent="0.3">
      <c r="A3" s="53"/>
      <c r="B3" s="53"/>
      <c r="C3" s="53"/>
      <c r="H3" s="53"/>
      <c r="I3" s="53"/>
      <c r="J3" s="53"/>
    </row>
    <row r="4" spans="1:10" ht="12.45" customHeight="1" x14ac:dyDescent="0.3">
      <c r="A4" s="18"/>
      <c r="B4" s="18"/>
      <c r="C4" s="18"/>
    </row>
    <row r="5" spans="1:10" ht="16.2" thickBot="1" x14ac:dyDescent="0.35">
      <c r="A5" s="54" t="s">
        <v>44</v>
      </c>
      <c r="B5" s="54"/>
      <c r="C5" s="54"/>
      <c r="D5" s="54"/>
      <c r="E5" s="54"/>
      <c r="F5" s="54"/>
    </row>
    <row r="6" spans="1:10" ht="14.4" customHeight="1" x14ac:dyDescent="0.3">
      <c r="A6" s="57" t="s">
        <v>7</v>
      </c>
      <c r="B6" s="57" t="s">
        <v>8</v>
      </c>
      <c r="C6" s="57" t="s">
        <v>2</v>
      </c>
      <c r="D6" s="57" t="s">
        <v>26</v>
      </c>
      <c r="E6" s="57" t="s">
        <v>9</v>
      </c>
      <c r="F6" s="57" t="s">
        <v>10</v>
      </c>
    </row>
    <row r="7" spans="1:10" ht="14.4" customHeight="1" thickBot="1" x14ac:dyDescent="0.35">
      <c r="A7" s="58"/>
      <c r="B7" s="58"/>
      <c r="C7" s="58"/>
      <c r="D7" s="58"/>
      <c r="E7" s="58"/>
      <c r="F7" s="58"/>
    </row>
    <row r="8" spans="1:10" x14ac:dyDescent="0.3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3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3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3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3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3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3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3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3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3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3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" customHeight="1" x14ac:dyDescent="0.3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" customHeight="1" x14ac:dyDescent="0.3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3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3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3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3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3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3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3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3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3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3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3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3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53" t="s">
        <v>46</v>
      </c>
      <c r="I32" s="53"/>
      <c r="J32" s="53"/>
    </row>
    <row r="33" spans="1:15" x14ac:dyDescent="0.3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53"/>
      <c r="I33" s="53"/>
      <c r="J33" s="53"/>
      <c r="K33" s="55" t="s">
        <v>47</v>
      </c>
      <c r="L33" s="56"/>
      <c r="M33" s="56"/>
      <c r="N33" s="56"/>
      <c r="O33" s="56"/>
    </row>
    <row r="34" spans="1:15" x14ac:dyDescent="0.3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53"/>
      <c r="I34" s="53"/>
      <c r="J34" s="53"/>
    </row>
    <row r="35" spans="1:15" x14ac:dyDescent="0.3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3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3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3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3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3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3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3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3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3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3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3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3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3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3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3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3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3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3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3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3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3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topLeftCell="A6" zoomScaleNormal="100" workbookViewId="0">
      <selection activeCell="F3" sqref="F3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59" t="s">
        <v>49</v>
      </c>
      <c r="B1" s="59"/>
      <c r="C1" s="59"/>
    </row>
    <row r="2" spans="1:8" x14ac:dyDescent="0.3">
      <c r="A2" s="59"/>
      <c r="B2" s="59"/>
      <c r="C2" s="59"/>
    </row>
    <row r="3" spans="1:8" x14ac:dyDescent="0.3">
      <c r="A3" s="59"/>
      <c r="B3" s="59"/>
      <c r="C3" s="59"/>
    </row>
    <row r="4" spans="1:8" x14ac:dyDescent="0.3">
      <c r="H4" s="24"/>
    </row>
    <row r="5" spans="1:8" ht="16.2" thickBot="1" x14ac:dyDescent="0.35">
      <c r="A5" s="54" t="s">
        <v>44</v>
      </c>
      <c r="B5" s="54"/>
      <c r="C5" s="54"/>
      <c r="D5" s="54"/>
      <c r="E5" s="54"/>
      <c r="F5" s="54"/>
    </row>
    <row r="6" spans="1:8" ht="27.75" customHeight="1" x14ac:dyDescent="0.3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3">
      <c r="A7" s="21">
        <v>85</v>
      </c>
      <c r="B7" s="22">
        <v>20.366520119990724</v>
      </c>
      <c r="C7" s="20">
        <v>20.469287921382392</v>
      </c>
      <c r="D7" s="20"/>
      <c r="E7" s="20"/>
      <c r="F7" s="20">
        <f t="shared" ref="F7:F37" si="0">B7-C7</f>
        <v>-0.10276780139166775</v>
      </c>
    </row>
    <row r="8" spans="1:8" x14ac:dyDescent="0.3">
      <c r="A8" s="21">
        <v>86</v>
      </c>
      <c r="B8" s="22">
        <v>19.561505487961583</v>
      </c>
      <c r="C8" s="20">
        <v>19.684873223299405</v>
      </c>
      <c r="D8" s="20">
        <f t="shared" ref="D8:D37" si="1">(B8-B7)/(A8-A7)</f>
        <v>-0.80501463202914181</v>
      </c>
      <c r="E8" s="20">
        <f t="shared" ref="E8:E37" si="2">(C8-C7)/(A8-A7)</f>
        <v>-0.78441469808298692</v>
      </c>
      <c r="F8" s="20">
        <f t="shared" si="0"/>
        <v>-0.12336773533782264</v>
      </c>
    </row>
    <row r="9" spans="1:8" x14ac:dyDescent="0.3">
      <c r="A9" s="21">
        <v>87</v>
      </c>
      <c r="B9" s="22">
        <v>18.798655898559591</v>
      </c>
      <c r="C9" s="20">
        <v>18.915116935418919</v>
      </c>
      <c r="D9" s="20">
        <f t="shared" si="1"/>
        <v>-0.76284958940199132</v>
      </c>
      <c r="E9" s="20">
        <f t="shared" si="2"/>
        <v>-0.76975628788048667</v>
      </c>
      <c r="F9" s="20">
        <f t="shared" si="0"/>
        <v>-0.11646103685932729</v>
      </c>
    </row>
    <row r="10" spans="1:8" x14ac:dyDescent="0.3">
      <c r="A10" s="21">
        <v>88</v>
      </c>
      <c r="B10" s="22">
        <v>18.056849814623561</v>
      </c>
      <c r="C10" s="20">
        <v>18.160602272205807</v>
      </c>
      <c r="D10" s="20">
        <f t="shared" si="1"/>
        <v>-0.74180608393603009</v>
      </c>
      <c r="E10" s="20">
        <f t="shared" si="2"/>
        <v>-0.75451466321311145</v>
      </c>
      <c r="F10" s="20">
        <f t="shared" si="0"/>
        <v>-0.10375245758224594</v>
      </c>
    </row>
    <row r="11" spans="1:8" x14ac:dyDescent="0.3">
      <c r="A11" s="21">
        <v>89</v>
      </c>
      <c r="B11" s="22">
        <v>17.315043730687513</v>
      </c>
      <c r="C11" s="20">
        <v>17.421876686290741</v>
      </c>
      <c r="D11" s="20">
        <f t="shared" si="1"/>
        <v>-0.74180608393604786</v>
      </c>
      <c r="E11" s="20">
        <f t="shared" si="2"/>
        <v>-0.73872558591506632</v>
      </c>
      <c r="F11" s="20">
        <f t="shared" si="0"/>
        <v>-0.10683295560322748</v>
      </c>
    </row>
    <row r="12" spans="1:8" x14ac:dyDescent="0.3">
      <c r="A12" s="21">
        <v>90</v>
      </c>
      <c r="B12" s="22">
        <v>16.573237646751469</v>
      </c>
      <c r="C12" s="20">
        <v>16.699448408416004</v>
      </c>
      <c r="D12" s="20">
        <f t="shared" si="1"/>
        <v>-0.7418060839360443</v>
      </c>
      <c r="E12" s="20">
        <f t="shared" si="2"/>
        <v>-0.72242827787473729</v>
      </c>
      <c r="F12" s="20">
        <f t="shared" si="0"/>
        <v>-0.12621076166453449</v>
      </c>
    </row>
    <row r="13" spans="1:8" x14ac:dyDescent="0.3">
      <c r="A13" s="21">
        <v>91</v>
      </c>
      <c r="B13" s="22">
        <v>15.856829088821248</v>
      </c>
      <c r="C13" s="20">
        <v>15.993783412869739</v>
      </c>
      <c r="D13" s="20">
        <f t="shared" si="1"/>
        <v>-0.71640855793022062</v>
      </c>
      <c r="E13" s="20">
        <f t="shared" si="2"/>
        <v>-0.70566499554626461</v>
      </c>
      <c r="F13" s="20">
        <f t="shared" si="0"/>
        <v>-0.13695432404849051</v>
      </c>
    </row>
    <row r="14" spans="1:8" x14ac:dyDescent="0.3">
      <c r="A14" s="21">
        <v>92</v>
      </c>
      <c r="B14" s="22">
        <v>15.191444732557589</v>
      </c>
      <c r="C14" s="20">
        <v>15.30530283124774</v>
      </c>
      <c r="D14" s="20">
        <f t="shared" si="1"/>
        <v>-0.66538435626365988</v>
      </c>
      <c r="E14" s="20">
        <f t="shared" si="2"/>
        <v>-0.68848058162199877</v>
      </c>
      <c r="F14" s="20">
        <f t="shared" si="0"/>
        <v>-0.11385809869015162</v>
      </c>
    </row>
    <row r="15" spans="1:8" x14ac:dyDescent="0.3">
      <c r="A15" s="21">
        <v>93</v>
      </c>
      <c r="B15" s="22">
        <v>14.52606037629392</v>
      </c>
      <c r="C15" s="20">
        <v>14.634380829224455</v>
      </c>
      <c r="D15" s="20">
        <f t="shared" si="1"/>
        <v>-0.66538435626366876</v>
      </c>
      <c r="E15" s="20">
        <f t="shared" si="2"/>
        <v>-0.67092200202328556</v>
      </c>
      <c r="F15" s="20">
        <f t="shared" si="0"/>
        <v>-0.10832045293053483</v>
      </c>
    </row>
    <row r="16" spans="1:8" x14ac:dyDescent="0.3">
      <c r="A16" s="21">
        <v>94</v>
      </c>
      <c r="B16" s="22">
        <v>13.860676020030258</v>
      </c>
      <c r="C16" s="20">
        <v>13.981342953152167</v>
      </c>
      <c r="D16" s="20">
        <f t="shared" si="1"/>
        <v>-0.66538435626366166</v>
      </c>
      <c r="E16" s="20">
        <f t="shared" si="2"/>
        <v>-0.65303787607228792</v>
      </c>
      <c r="F16" s="20">
        <f t="shared" si="0"/>
        <v>-0.12066693312190857</v>
      </c>
    </row>
    <row r="17" spans="1:6" x14ac:dyDescent="0.3">
      <c r="A17" s="21">
        <v>95</v>
      </c>
      <c r="B17" s="22">
        <v>13.1952916637666</v>
      </c>
      <c r="C17" s="20">
        <v>13.346464945879587</v>
      </c>
      <c r="D17" s="20">
        <f t="shared" si="1"/>
        <v>-0.66538435626365811</v>
      </c>
      <c r="E17" s="20">
        <f t="shared" si="2"/>
        <v>-0.63487800727257948</v>
      </c>
      <c r="F17" s="20">
        <f t="shared" si="0"/>
        <v>-0.1511732821129872</v>
      </c>
    </row>
    <row r="18" spans="1:6" x14ac:dyDescent="0.3">
      <c r="A18" s="21">
        <v>96</v>
      </c>
      <c r="B18" s="22">
        <v>12.59769203948361</v>
      </c>
      <c r="C18" s="20">
        <v>12.729972024313961</v>
      </c>
      <c r="D18" s="20">
        <f t="shared" si="1"/>
        <v>-0.5975996242829904</v>
      </c>
      <c r="E18" s="20">
        <f t="shared" si="2"/>
        <v>-0.61649292156562652</v>
      </c>
      <c r="F18" s="20">
        <f t="shared" si="0"/>
        <v>-0.13227998483035108</v>
      </c>
    </row>
    <row r="19" spans="1:6" x14ac:dyDescent="0.3">
      <c r="A19" s="21">
        <v>97</v>
      </c>
      <c r="B19" s="22">
        <v>12.019217472106591</v>
      </c>
      <c r="C19" s="20">
        <v>12.132038605032154</v>
      </c>
      <c r="D19" s="20">
        <f t="shared" si="1"/>
        <v>-0.57847456737701819</v>
      </c>
      <c r="E19" s="20">
        <f t="shared" si="2"/>
        <v>-0.59793341928180688</v>
      </c>
      <c r="F19" s="20">
        <f t="shared" si="0"/>
        <v>-0.1128211329255624</v>
      </c>
    </row>
    <row r="20" spans="1:6" x14ac:dyDescent="0.3">
      <c r="A20" s="21">
        <v>98</v>
      </c>
      <c r="B20" s="22">
        <v>11.440742904729568</v>
      </c>
      <c r="C20" s="20">
        <v>11.552788458748998</v>
      </c>
      <c r="D20" s="20">
        <f t="shared" si="1"/>
        <v>-0.57847456737702352</v>
      </c>
      <c r="E20" s="20">
        <f t="shared" si="2"/>
        <v>-0.5792501462831563</v>
      </c>
      <c r="F20" s="20">
        <f t="shared" si="0"/>
        <v>-0.11204555401942962</v>
      </c>
    </row>
    <row r="21" spans="1:6" x14ac:dyDescent="0.3">
      <c r="A21" s="21">
        <v>99</v>
      </c>
      <c r="B21" s="22">
        <v>10.862268337352548</v>
      </c>
      <c r="C21" s="20">
        <v>10.992295269717351</v>
      </c>
      <c r="D21" s="20">
        <f t="shared" si="1"/>
        <v>-0.57847456737701997</v>
      </c>
      <c r="E21" s="20">
        <f t="shared" si="2"/>
        <v>-0.56049318903164647</v>
      </c>
      <c r="F21" s="20">
        <f t="shared" si="0"/>
        <v>-0.13002693236480312</v>
      </c>
    </row>
    <row r="22" spans="1:6" x14ac:dyDescent="0.3">
      <c r="A22" s="21">
        <v>100</v>
      </c>
      <c r="B22" s="22">
        <v>10.283793769975523</v>
      </c>
      <c r="C22" s="20">
        <v>10.45058357218557</v>
      </c>
      <c r="D22" s="20">
        <f t="shared" si="1"/>
        <v>-0.57847456737702529</v>
      </c>
      <c r="E22" s="20">
        <f t="shared" si="2"/>
        <v>-0.54171169753178106</v>
      </c>
      <c r="F22" s="20">
        <f t="shared" si="0"/>
        <v>-0.16678980221004736</v>
      </c>
    </row>
    <row r="23" spans="1:6" x14ac:dyDescent="0.3">
      <c r="A23" s="21">
        <v>101</v>
      </c>
      <c r="B23" s="22">
        <v>9.7981908698382618</v>
      </c>
      <c r="C23" s="20">
        <v>9.9276300328769427</v>
      </c>
      <c r="D23" s="20">
        <f t="shared" si="1"/>
        <v>-0.48560290013726082</v>
      </c>
      <c r="E23" s="20">
        <f t="shared" si="2"/>
        <v>-0.52295353930862731</v>
      </c>
      <c r="F23" s="20">
        <f t="shared" si="0"/>
        <v>-0.12943916303868086</v>
      </c>
    </row>
    <row r="24" spans="1:6" x14ac:dyDescent="0.3">
      <c r="A24" s="21">
        <v>102</v>
      </c>
      <c r="B24" s="22">
        <v>9.3126828438824951</v>
      </c>
      <c r="C24" s="20">
        <v>9.4233650460651326</v>
      </c>
      <c r="D24" s="20">
        <f t="shared" si="1"/>
        <v>-0.4855080259557667</v>
      </c>
      <c r="E24" s="20">
        <f t="shared" si="2"/>
        <v>-0.50426498681181009</v>
      </c>
      <c r="F24" s="20">
        <f t="shared" si="0"/>
        <v>-0.11068220218263747</v>
      </c>
    </row>
    <row r="25" spans="1:6" x14ac:dyDescent="0.3">
      <c r="A25" s="21">
        <v>103</v>
      </c>
      <c r="B25" s="22">
        <v>8.8271748179267284</v>
      </c>
      <c r="C25" s="20">
        <v>8.9376746061685832</v>
      </c>
      <c r="D25" s="20">
        <f t="shared" si="1"/>
        <v>-0.4855080259557667</v>
      </c>
      <c r="E25" s="20">
        <f t="shared" si="2"/>
        <v>-0.48569043989654936</v>
      </c>
      <c r="F25" s="20">
        <f t="shared" si="0"/>
        <v>-0.1104997882418548</v>
      </c>
    </row>
    <row r="26" spans="1:6" x14ac:dyDescent="0.3">
      <c r="A26" s="21">
        <v>104</v>
      </c>
      <c r="B26" s="22">
        <v>8.3416667919709528</v>
      </c>
      <c r="C26" s="20">
        <v>8.4704024218311282</v>
      </c>
      <c r="D26" s="20">
        <f t="shared" si="1"/>
        <v>-0.48550802595577558</v>
      </c>
      <c r="E26" s="20">
        <f t="shared" si="2"/>
        <v>-0.46727218433745499</v>
      </c>
      <c r="F26" s="20">
        <f t="shared" si="0"/>
        <v>-0.12873562986017539</v>
      </c>
    </row>
    <row r="27" spans="1:6" x14ac:dyDescent="0.3">
      <c r="A27" s="21">
        <v>105</v>
      </c>
      <c r="B27" s="22">
        <v>7.8561587660151861</v>
      </c>
      <c r="C27" s="20">
        <v>8.0213522351431781</v>
      </c>
      <c r="D27" s="20">
        <f t="shared" si="1"/>
        <v>-0.4855080259557667</v>
      </c>
      <c r="E27" s="20">
        <f t="shared" si="2"/>
        <v>-0.44905018668795016</v>
      </c>
      <c r="F27" s="20">
        <f t="shared" si="0"/>
        <v>-0.16519346912799193</v>
      </c>
    </row>
    <row r="28" spans="1:6" x14ac:dyDescent="0.3">
      <c r="A28" s="21">
        <v>106</v>
      </c>
      <c r="B28" s="22">
        <v>7.4621275423418423</v>
      </c>
      <c r="C28" s="20">
        <v>7.5902903099255745</v>
      </c>
      <c r="D28" s="20">
        <f t="shared" si="1"/>
        <v>-0.39403122367334387</v>
      </c>
      <c r="E28" s="20">
        <f t="shared" si="2"/>
        <v>-0.43106192521760356</v>
      </c>
      <c r="F28" s="20">
        <f t="shared" si="0"/>
        <v>-0.12816276758373224</v>
      </c>
    </row>
    <row r="29" spans="1:6" x14ac:dyDescent="0.3">
      <c r="A29" s="21">
        <v>107</v>
      </c>
      <c r="B29" s="22">
        <v>7.0701574335963224</v>
      </c>
      <c r="C29" s="20">
        <v>7.1769480537820058</v>
      </c>
      <c r="D29" s="20">
        <f t="shared" si="1"/>
        <v>-0.39197010874551985</v>
      </c>
      <c r="E29" s="20">
        <f t="shared" si="2"/>
        <v>-0.41334225614356868</v>
      </c>
      <c r="F29" s="20">
        <f t="shared" si="0"/>
        <v>-0.10679062018568342</v>
      </c>
    </row>
    <row r="30" spans="1:6" x14ac:dyDescent="0.3">
      <c r="A30" s="21">
        <v>108</v>
      </c>
      <c r="B30" s="22">
        <v>6.6781873248508008</v>
      </c>
      <c r="C30" s="20">
        <v>6.7810247398570507</v>
      </c>
      <c r="D30" s="20">
        <f t="shared" si="1"/>
        <v>-0.39197010874552163</v>
      </c>
      <c r="E30" s="20">
        <f t="shared" si="2"/>
        <v>-0.39592331392495517</v>
      </c>
      <c r="F30" s="20">
        <f t="shared" si="0"/>
        <v>-0.10283741500624988</v>
      </c>
    </row>
    <row r="31" spans="1:6" x14ac:dyDescent="0.3">
      <c r="A31" s="21">
        <v>109</v>
      </c>
      <c r="B31" s="22">
        <v>6.2862172161052792</v>
      </c>
      <c r="C31" s="20">
        <v>6.4021902958462693</v>
      </c>
      <c r="D31" s="20">
        <f t="shared" si="1"/>
        <v>-0.39197010874552163</v>
      </c>
      <c r="E31" s="20">
        <f t="shared" si="2"/>
        <v>-0.37883444401078137</v>
      </c>
      <c r="F31" s="20">
        <f t="shared" si="0"/>
        <v>-0.11597307974099014</v>
      </c>
    </row>
    <row r="32" spans="1:6" x14ac:dyDescent="0.3">
      <c r="A32" s="21">
        <v>110</v>
      </c>
      <c r="B32" s="22">
        <v>5.8942471073597584</v>
      </c>
      <c r="C32" s="20">
        <v>6.040088129724241</v>
      </c>
      <c r="D32" s="20">
        <f t="shared" si="1"/>
        <v>-0.39197010874552074</v>
      </c>
      <c r="E32" s="20">
        <f t="shared" si="2"/>
        <v>-0.36210216612202828</v>
      </c>
      <c r="F32" s="20">
        <f t="shared" si="0"/>
        <v>-0.1458410223644826</v>
      </c>
    </row>
    <row r="33" spans="1:6" x14ac:dyDescent="0.3">
      <c r="A33" s="21">
        <v>111</v>
      </c>
      <c r="B33" s="22">
        <v>5.5646713935287906</v>
      </c>
      <c r="C33" s="20">
        <v>5.694337963819903</v>
      </c>
      <c r="D33" s="20">
        <f t="shared" si="1"/>
        <v>-0.32957571383096784</v>
      </c>
      <c r="E33" s="20">
        <f t="shared" si="2"/>
        <v>-0.34575016590433805</v>
      </c>
      <c r="F33" s="20">
        <f t="shared" si="0"/>
        <v>-0.12966657029111239</v>
      </c>
    </row>
    <row r="34" spans="1:6" x14ac:dyDescent="0.3">
      <c r="A34" s="21">
        <v>112</v>
      </c>
      <c r="B34" s="22">
        <v>5.2612231745919056</v>
      </c>
      <c r="C34" s="20">
        <v>5.3645386512139188</v>
      </c>
      <c r="D34" s="20">
        <f t="shared" si="1"/>
        <v>-0.30344821893688501</v>
      </c>
      <c r="E34" s="20">
        <f t="shared" si="2"/>
        <v>-0.32979931260598416</v>
      </c>
      <c r="F34" s="20">
        <f t="shared" si="0"/>
        <v>-0.10331547662201324</v>
      </c>
    </row>
    <row r="35" spans="1:6" x14ac:dyDescent="0.3">
      <c r="A35" s="21">
        <v>113</v>
      </c>
      <c r="B35" s="22">
        <v>4.9577749556550206</v>
      </c>
      <c r="C35" s="20">
        <v>5.0502709509006536</v>
      </c>
      <c r="D35" s="20">
        <f t="shared" si="1"/>
        <v>-0.30344821893688501</v>
      </c>
      <c r="E35" s="20">
        <f t="shared" si="2"/>
        <v>-0.31426770031326523</v>
      </c>
      <c r="F35" s="20">
        <f t="shared" si="0"/>
        <v>-9.2495995245633011E-2</v>
      </c>
    </row>
    <row r="36" spans="1:6" x14ac:dyDescent="0.3">
      <c r="A36" s="21">
        <v>114</v>
      </c>
      <c r="B36" s="22">
        <v>4.6543267367181373</v>
      </c>
      <c r="C36" s="20">
        <v>4.7511002406963243</v>
      </c>
      <c r="D36" s="20">
        <f t="shared" si="1"/>
        <v>-0.30344821893688323</v>
      </c>
      <c r="E36" s="20">
        <f t="shared" si="2"/>
        <v>-0.29917071020432928</v>
      </c>
      <c r="F36" s="20">
        <f t="shared" si="0"/>
        <v>-9.6773503978186959E-2</v>
      </c>
    </row>
    <row r="37" spans="1:6" x14ac:dyDescent="0.3">
      <c r="A37" s="21">
        <v>115</v>
      </c>
      <c r="B37" s="22">
        <v>4.3508785177812541</v>
      </c>
      <c r="C37" s="20">
        <v>4.4665791494349527</v>
      </c>
      <c r="D37" s="20">
        <f t="shared" si="1"/>
        <v>-0.30344821893688323</v>
      </c>
      <c r="E37" s="20">
        <f t="shared" si="2"/>
        <v>-0.28452109126137159</v>
      </c>
      <c r="F37" s="20">
        <f t="shared" si="0"/>
        <v>-0.11570063165369859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2024-10-12T17:52:44Z</dcterms:modified>
</cp:coreProperties>
</file>