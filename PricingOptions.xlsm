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C6973E48-6B4D-4276-B4DF-353947AB3CCE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<sst xmlns="http://schemas.openxmlformats.org/spreadsheetml/2006/main" count="68" uniqueCount="58">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</sst>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1" zoomScale="110" zoomScaleNormal="110" workbookViewId="0">
      <selection activeCell="E18" sqref="E18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36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10</v>
      </c>
      <c r="D6" s="11" t="s">
        <v>12</v>
      </c>
      <c r="E6" s="1">
        <v>100</v>
      </c>
      <c r="J6" s="41" t="s">
        <v>16</v>
      </c>
      <c r="K6" s="41"/>
      <c r="L6" s="41"/>
      <c r="M6" s="54" t="s">
        <v>47</v>
      </c>
      <c r="N6" s="54"/>
      <c r="O6" s="54"/>
    </row>
    <row r="7" spans="2:15" x14ac:dyDescent="0.3">
      <c r="B7" s="53"/>
      <c r="C7" s="46"/>
      <c r="D7" s="11" t="s">
        <v>22</v>
      </c>
      <c r="E7" s="2">
        <v>0.21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23</v>
      </c>
      <c r="E8" s="2">
        <v>0.03</v>
      </c>
      <c r="J8" s="41" t="s">
        <v>15</v>
      </c>
      <c r="K8" s="41"/>
      <c r="L8" s="41"/>
      <c r="M8" s="54" t="s">
        <v>47</v>
      </c>
      <c r="N8" s="54"/>
      <c r="O8" s="54"/>
    </row>
    <row r="9" spans="2:15" x14ac:dyDescent="0.3">
      <c r="B9" s="53"/>
      <c r="C9" s="46"/>
      <c r="D9" s="11" t="s">
        <v>13</v>
      </c>
      <c r="E9" s="1">
        <v>3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45646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11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46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24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14</v>
      </c>
      <c r="E14" s="1">
        <v>101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57</v>
      </c>
    </row>
    <row r="16" spans="2:15" ht="14.4" customHeight="1" x14ac:dyDescent="0.3">
      <c r="B16" s="53"/>
      <c r="C16" s="49"/>
      <c r="D16" s="11" t="s">
        <v>25</v>
      </c>
      <c r="E16" s="1" t="s">
        <v>5</v>
      </c>
      <c r="J16" s="28" t="s">
        <v>51</v>
      </c>
      <c r="K16" s="29"/>
      <c r="L16" s="30"/>
      <c r="M16" s="34">
        <v>0.50440077657173576</v>
      </c>
      <c r="N16" s="35"/>
      <c r="O16" s="36"/>
    </row>
    <row r="17" spans="2:15" ht="16.649999999999999" customHeight="1" x14ac:dyDescent="0.3">
      <c r="B17" s="53"/>
      <c r="C17" s="45" t="s">
        <v>26</v>
      </c>
      <c r="D17" s="11" t="s">
        <v>27</v>
      </c>
      <c r="E17" s="1">
        <v>10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28</v>
      </c>
      <c r="E18" s="4">
        <v>1E-8</v>
      </c>
      <c r="J18" s="28" t="s">
        <v>52</v>
      </c>
      <c r="K18" s="29"/>
      <c r="L18" s="30"/>
      <c r="M18" s="34">
        <v>1.9255066639796467E-2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17</v>
      </c>
      <c r="C20" s="42" t="s">
        <v>7</v>
      </c>
      <c r="D20" s="12" t="s">
        <v>30</v>
      </c>
      <c r="E20" s="13">
        <v>6.8773445502166322</v>
      </c>
      <c r="J20" s="28" t="s">
        <v>55</v>
      </c>
      <c r="K20" s="29"/>
      <c r="L20" s="30"/>
      <c r="M20" s="34">
        <v>36.161489893795995</v>
      </c>
      <c r="N20" s="35"/>
      <c r="O20" s="36"/>
    </row>
    <row r="21" spans="2:15" ht="18" customHeight="1" x14ac:dyDescent="0.3">
      <c r="B21" s="51"/>
      <c r="C21" s="43"/>
      <c r="D21" s="12" t="s">
        <v>31</v>
      </c>
      <c r="E21" s="13">
        <v>6.6699689812041543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41</v>
      </c>
      <c r="E22" s="16">
        <f>(3*IVol^2)/(INbSteps*8*SQRT(2*PI())*SQRT(EXP(IVol^2)-1))</f>
        <v>3.1070978871970949E-3</v>
      </c>
      <c r="J22" s="28" t="s">
        <v>53</v>
      </c>
      <c r="K22" s="29"/>
      <c r="L22" s="30"/>
      <c r="M22" s="34">
        <v>-5.5546233919358645</v>
      </c>
      <c r="N22" s="35"/>
      <c r="O22" s="36"/>
    </row>
    <row r="23" spans="2:15" ht="18" customHeight="1" x14ac:dyDescent="0.3">
      <c r="B23" s="51"/>
      <c r="C23" s="42" t="s">
        <v>29</v>
      </c>
      <c r="D23" s="12" t="s">
        <v>32</v>
      </c>
      <c r="E23" s="14">
        <v>3.90625E-3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33</v>
      </c>
      <c r="E24" s="14">
        <v>0</v>
      </c>
      <c r="J24" s="28" t="s">
        <v>54</v>
      </c>
      <c r="K24" s="29"/>
      <c r="L24" s="30"/>
      <c r="M24" s="34">
        <v>35.739690061396963</v>
      </c>
      <c r="N24" s="35"/>
      <c r="O24" s="36"/>
    </row>
    <row r="25" spans="2:15" ht="16.350000000000001" customHeight="1" x14ac:dyDescent="0.3">
      <c r="B25" s="51"/>
      <c r="C25" s="44"/>
      <c r="D25" s="12" t="s">
        <v>34</v>
      </c>
      <c r="E25" s="15">
        <f>ITimeTree+IPriceTime</f>
        <v>3.90625E-3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48</v>
      </c>
      <c r="D26" s="12" t="s">
        <v>30</v>
      </c>
      <c r="E26" s="13">
        <v>8.3960307172344102</v>
      </c>
    </row>
    <row r="27" spans="2:15" x14ac:dyDescent="0.3">
      <c r="B27" s="51"/>
      <c r="C27" s="43"/>
      <c r="D27" s="12" t="s">
        <v>32</v>
      </c>
      <c r="E27" s="14">
        <v>0.79475712776184082</v>
      </c>
    </row>
    <row r="28" spans="2:15" x14ac:dyDescent="0.3">
      <c r="B28" s="51"/>
      <c r="C28" s="43"/>
      <c r="D28" s="12" t="s">
        <v>33</v>
      </c>
      <c r="E28" s="14">
        <v>0.12913203239440918</v>
      </c>
    </row>
    <row r="29" spans="2:15" ht="15.6" x14ac:dyDescent="0.3">
      <c r="B29" s="52"/>
      <c r="C29" s="44"/>
      <c r="D29" s="12" t="s">
        <v>49</v>
      </c>
      <c r="E29" s="15">
        <f>IPythonTimeTree+IPythonPriceTime</f>
        <v>0.92388916015625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K48"/>
  <sheetViews>
    <sheetView topLeftCell="BX1" zoomScale="85" zoomScaleNormal="85" workbookViewId="0">
      <selection activeCell="BX2" sqref="BX2:BY6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11" x14ac:dyDescent="0.3">
      <c r="A1" s="56" t="s">
        <v>19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4" spans="1:11" x14ac:dyDescent="0.3">
      <c r="K4" s="23">
        <v>282.28153607864283</v>
      </c>
    </row>
    <row r="5" spans="1:11" x14ac:dyDescent="0.3">
      <c r="J5" s="23">
        <v>261.35170905848099</v>
      </c>
      <c r="K5" s="23">
        <v>254.32846117276395</v>
      </c>
    </row>
    <row r="6" spans="1:11" x14ac:dyDescent="0.3">
      <c r="I6" s="23">
        <v>234.89132235098799</v>
      </c>
      <c r="J6" s="23">
        <v>235.47122108332746</v>
      </c>
      <c r="K6" s="23">
        <v>229.14345394693336</v>
      </c>
    </row>
    <row r="7" spans="1:11" x14ac:dyDescent="0.3">
      <c r="H7" s="23">
        <v>211.1099005801789</v>
      </c>
      <c r="I7" s="23">
        <v>211.63108783607854</v>
      </c>
      <c r="J7" s="23">
        <v>212.15356179693597</v>
      </c>
      <c r="K7" s="23">
        <v>206.45240506945402</v>
      </c>
    </row>
    <row r="8" spans="1:11" x14ac:dyDescent="0.3">
      <c r="G8" s="23">
        <v>189.73621365363968</v>
      </c>
      <c r="H8" s="23">
        <v>190.20463363899881</v>
      </c>
      <c r="I8" s="23">
        <v>190.67421005769481</v>
      </c>
      <c r="J8" s="23">
        <v>191.14494576472558</v>
      </c>
      <c r="K8" s="23">
        <v>186.00834902677499</v>
      </c>
    </row>
    <row r="9" spans="1:11" x14ac:dyDescent="0.3">
      <c r="F9" s="23">
        <v>170.52649199627177</v>
      </c>
      <c r="G9" s="23">
        <v>170.94748709966333</v>
      </c>
      <c r="H9" s="23">
        <v>171.36952155403787</v>
      </c>
      <c r="I9" s="23">
        <v>171.7925979253408</v>
      </c>
      <c r="J9" s="23">
        <v>172.21671878585241</v>
      </c>
      <c r="K9" s="23">
        <v>167.58877619288006</v>
      </c>
    </row>
    <row r="10" spans="1:11" x14ac:dyDescent="0.3">
      <c r="E10" s="23">
        <v>153.26164632777113</v>
      </c>
      <c r="F10" s="23">
        <v>153.64001805105227</v>
      </c>
      <c r="G10" s="23">
        <v>154.01932389689057</v>
      </c>
      <c r="H10" s="23">
        <v>154.39956617144395</v>
      </c>
      <c r="I10" s="23">
        <v>154.78074718656373</v>
      </c>
      <c r="J10" s="23">
        <v>155.16286925980884</v>
      </c>
      <c r="K10" s="23">
        <v>150.99321107239331</v>
      </c>
    </row>
    <row r="11" spans="1:11" x14ac:dyDescent="0.3">
      <c r="D11" s="23">
        <v>137.74476892195932</v>
      </c>
      <c r="E11" s="23">
        <v>138.0848326420012</v>
      </c>
      <c r="F11" s="23">
        <v>138.42573590995909</v>
      </c>
      <c r="G11" s="23">
        <v>138.76748079850543</v>
      </c>
      <c r="H11" s="23">
        <v>139.11006938542971</v>
      </c>
      <c r="I11" s="23">
        <v>139.45350375365092</v>
      </c>
      <c r="J11" s="23">
        <v>139.79778599123057</v>
      </c>
      <c r="K11" s="23">
        <v>136.0410303594121</v>
      </c>
    </row>
    <row r="12" spans="1:11" x14ac:dyDescent="0.3">
      <c r="C12" s="23">
        <v>123.7988878495163</v>
      </c>
      <c r="D12" s="23">
        <v>124.10452203561745</v>
      </c>
      <c r="E12" s="23">
        <v>124.41091077014255</v>
      </c>
      <c r="F12" s="23">
        <v>124.71805591591767</v>
      </c>
      <c r="G12" s="23">
        <v>125.02595934036778</v>
      </c>
      <c r="H12" s="23">
        <v>125.33462291552816</v>
      </c>
      <c r="I12" s="23">
        <v>125.64404851805574</v>
      </c>
      <c r="J12" s="23">
        <v>125.9542380292406</v>
      </c>
      <c r="K12" s="23">
        <v>122.56949706419103</v>
      </c>
    </row>
    <row r="13" spans="1:11" x14ac:dyDescent="0.3">
      <c r="B13" s="23">
        <v>111.26494859097194</v>
      </c>
      <c r="C13" s="23">
        <v>111.5396390392862</v>
      </c>
      <c r="D13" s="23">
        <v>111.81500764225157</v>
      </c>
      <c r="E13" s="23">
        <v>112.0910560740935</v>
      </c>
      <c r="F13" s="23">
        <v>112.36778601317073</v>
      </c>
      <c r="G13" s="23">
        <v>112.64519914198551</v>
      </c>
      <c r="H13" s="23">
        <v>112.92329714719388</v>
      </c>
      <c r="I13" s="23">
        <v>113.20208171961583</v>
      </c>
      <c r="J13" s="23">
        <v>113.48155455424572</v>
      </c>
      <c r="K13" s="23">
        <v>110.43198931144624</v>
      </c>
    </row>
    <row r="14" spans="1:11" x14ac:dyDescent="0.3">
      <c r="A14" s="23">
        <v>100</v>
      </c>
      <c r="B14" s="23">
        <v>100.24687958947796</v>
      </c>
      <c r="C14" s="23">
        <v>100.49436867427292</v>
      </c>
      <c r="D14" s="23">
        <v>100.74246875910443</v>
      </c>
      <c r="E14" s="23">
        <v>100.99118135240685</v>
      </c>
      <c r="F14" s="23">
        <v>101.24050796633861</v>
      </c>
      <c r="G14" s="23">
        <v>101.49045011679131</v>
      </c>
      <c r="H14" s="23">
        <v>101.74100932339897</v>
      </c>
      <c r="I14" s="23">
        <v>101.9921871095473</v>
      </c>
      <c r="J14" s="23">
        <v>102.24398500238294</v>
      </c>
      <c r="K14" s="23">
        <v>99.496404532822723</v>
      </c>
    </row>
    <row r="15" spans="1:11" x14ac:dyDescent="0.3">
      <c r="B15" s="23">
        <v>90.319880561583304</v>
      </c>
      <c r="C15" s="23">
        <v>90.542861911930714</v>
      </c>
      <c r="D15" s="23">
        <v>90.766393757720479</v>
      </c>
      <c r="E15" s="23">
        <v>90.990477458013487</v>
      </c>
      <c r="F15" s="23">
        <v>91.215114375225852</v>
      </c>
      <c r="G15" s="23">
        <v>91.440305875137255</v>
      </c>
      <c r="H15" s="23">
        <v>91.666053326899188</v>
      </c>
      <c r="I15" s="23">
        <v>91.892358103043279</v>
      </c>
      <c r="J15" s="23">
        <v>92.119221579489675</v>
      </c>
      <c r="K15" s="23">
        <v>89.643721685026478</v>
      </c>
    </row>
    <row r="16" spans="1:11" x14ac:dyDescent="0.3">
      <c r="C16" s="23">
        <v>81.576808246586722</v>
      </c>
      <c r="D16" s="23">
        <v>81.778204735895116</v>
      </c>
      <c r="E16" s="23">
        <v>81.980098432029536</v>
      </c>
      <c r="F16" s="23">
        <v>82.182490562492148</v>
      </c>
      <c r="G16" s="23">
        <v>82.385382357815587</v>
      </c>
      <c r="H16" s="23">
        <v>82.588775051570408</v>
      </c>
      <c r="I16" s="23">
        <v>82.7926698803726</v>
      </c>
      <c r="J16" s="23">
        <v>82.997068083891094</v>
      </c>
      <c r="K16" s="23">
        <v>80.766705845048932</v>
      </c>
    </row>
    <row r="17" spans="4:11" x14ac:dyDescent="0.3">
      <c r="D17" s="23">
        <v>73.680075774268957</v>
      </c>
      <c r="E17" s="23">
        <v>73.86197684286752</v>
      </c>
      <c r="F17" s="23">
        <v>74.044326988077501</v>
      </c>
      <c r="G17" s="23">
        <v>74.227127318577374</v>
      </c>
      <c r="H17" s="23">
        <v>74.410378945782753</v>
      </c>
      <c r="I17" s="23">
        <v>74.594082983853099</v>
      </c>
      <c r="J17" s="23">
        <v>74.778240549698481</v>
      </c>
      <c r="K17" s="23">
        <v>72.76874108351825</v>
      </c>
    </row>
    <row r="18" spans="4:11" x14ac:dyDescent="0.3">
      <c r="E18" s="23">
        <v>66.547756437003798</v>
      </c>
      <c r="F18" s="23">
        <v>66.712049264902262</v>
      </c>
      <c r="G18" s="23">
        <v>66.876747698259777</v>
      </c>
      <c r="H18" s="23">
        <v>67.041852738433448</v>
      </c>
      <c r="I18" s="23">
        <v>67.207365389252516</v>
      </c>
      <c r="J18" s="23">
        <v>67.373286657024451</v>
      </c>
      <c r="K18" s="23">
        <v>65.562778913369812</v>
      </c>
    </row>
    <row r="19" spans="4:11" x14ac:dyDescent="0.3">
      <c r="F19" s="23">
        <v>60.105854130315194</v>
      </c>
      <c r="G19" s="23">
        <v>60.254243216244326</v>
      </c>
      <c r="H19" s="23">
        <v>60.402998644539636</v>
      </c>
      <c r="I19" s="23">
        <v>60.552121319625662</v>
      </c>
      <c r="J19" s="23">
        <v>60.701612148159747</v>
      </c>
      <c r="K19" s="23">
        <v>59.070390868930296</v>
      </c>
    </row>
    <row r="20" spans="4:11" x14ac:dyDescent="0.3">
      <c r="G20" s="23">
        <v>54.287535661020158</v>
      </c>
      <c r="H20" s="23">
        <v>54.421560506197778</v>
      </c>
      <c r="I20" s="23">
        <v>54.555916231362986</v>
      </c>
      <c r="J20" s="23">
        <v>54.690603653390916</v>
      </c>
      <c r="K20" s="23">
        <v>53.220914903847223</v>
      </c>
    </row>
    <row r="21" spans="4:11" x14ac:dyDescent="0.3">
      <c r="H21" s="23">
        <v>49.032437368860343</v>
      </c>
      <c r="I21" s="23">
        <v>49.153488448947627</v>
      </c>
      <c r="J21" s="23">
        <v>49.274838379444489</v>
      </c>
      <c r="K21" s="23">
        <v>47.950686317404426</v>
      </c>
    </row>
    <row r="22" spans="4:11" x14ac:dyDescent="0.3">
      <c r="I22" s="23">
        <v>44.286038867987806</v>
      </c>
      <c r="J22" s="23">
        <v>44.395372058941142</v>
      </c>
      <c r="K22" s="23">
        <v>43.202344838756368</v>
      </c>
    </row>
    <row r="23" spans="4:11" x14ac:dyDescent="0.3">
      <c r="J23" s="23">
        <v>39.999097411022944</v>
      </c>
      <c r="K23" s="23">
        <v>38.924210327504021</v>
      </c>
    </row>
    <row r="24" spans="4:11" x14ac:dyDescent="0.3">
      <c r="K24" s="23">
        <v>35.069720295843659</v>
      </c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K24"/>
  <sheetViews>
    <sheetView topLeftCell="BX1"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11" x14ac:dyDescent="0.3">
      <c r="A1" s="56" t="s">
        <v>18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4" spans="1:11" x14ac:dyDescent="0.3">
      <c r="K4" s="23">
        <v>181.28153607864283</v>
      </c>
    </row>
    <row r="5" spans="1:11" x14ac:dyDescent="0.3">
      <c r="J5" s="23">
        <v>157.60783151746278</v>
      </c>
      <c r="K5" s="23">
        <v>153.32846117276395</v>
      </c>
    </row>
    <row r="6" spans="1:11" x14ac:dyDescent="0.3">
      <c r="I6" s="23">
        <v>131.40293651208617</v>
      </c>
      <c r="J6" s="23">
        <v>131.72734354230923</v>
      </c>
      <c r="K6" s="23">
        <v>128.14345394693336</v>
      </c>
    </row>
    <row r="7" spans="1:11" x14ac:dyDescent="0.3">
      <c r="H7" s="23">
        <v>107.87637723990316</v>
      </c>
      <c r="I7" s="23">
        <v>108.14270199717676</v>
      </c>
      <c r="J7" s="23">
        <v>108.40968425591777</v>
      </c>
      <c r="K7" s="23">
        <v>105.45240506945402</v>
      </c>
    </row>
    <row r="8" spans="1:11" x14ac:dyDescent="0.3">
      <c r="G8" s="23">
        <v>86.756925158049171</v>
      </c>
      <c r="H8" s="23">
        <v>86.971110298723076</v>
      </c>
      <c r="I8" s="23">
        <v>87.185824218793002</v>
      </c>
      <c r="J8" s="23">
        <v>87.401068223707355</v>
      </c>
      <c r="K8" s="23">
        <v>85.008349026774994</v>
      </c>
    </row>
    <row r="9" spans="1:11" x14ac:dyDescent="0.3">
      <c r="F9" s="23">
        <v>67.801052951669249</v>
      </c>
      <c r="G9" s="23">
        <v>67.968198604072867</v>
      </c>
      <c r="H9" s="23">
        <v>68.135998213762178</v>
      </c>
      <c r="I9" s="23">
        <v>68.304212086439037</v>
      </c>
      <c r="J9" s="23">
        <v>68.4728412448342</v>
      </c>
      <c r="K9" s="23">
        <v>66.588776192880061</v>
      </c>
    </row>
    <row r="10" spans="1:11" x14ac:dyDescent="0.3">
      <c r="E10" s="23">
        <v>50.806741472567964</v>
      </c>
      <c r="F10" s="23">
        <v>50.920886572617995</v>
      </c>
      <c r="G10" s="23">
        <v>51.041410319497224</v>
      </c>
      <c r="H10" s="23">
        <v>51.166042831168248</v>
      </c>
      <c r="I10" s="23">
        <v>51.292361347661945</v>
      </c>
      <c r="J10" s="23">
        <v>51.4189917187906</v>
      </c>
      <c r="K10" s="23">
        <v>49.993211072393308</v>
      </c>
    </row>
    <row r="11" spans="1:11" x14ac:dyDescent="0.3">
      <c r="D11" s="23">
        <v>35.748063518616661</v>
      </c>
      <c r="E11" s="23">
        <v>35.753080753236283</v>
      </c>
      <c r="F11" s="23">
        <v>35.776594379148733</v>
      </c>
      <c r="G11" s="23">
        <v>35.820374648257285</v>
      </c>
      <c r="H11" s="23">
        <v>35.884399331800715</v>
      </c>
      <c r="I11" s="23">
        <v>35.965117914749136</v>
      </c>
      <c r="J11" s="23">
        <v>36.05390845021234</v>
      </c>
      <c r="K11" s="23">
        <v>35.041030359412105</v>
      </c>
    </row>
    <row r="12" spans="1:11" x14ac:dyDescent="0.3">
      <c r="C12" s="23">
        <v>23.028176770984377</v>
      </c>
      <c r="D12" s="23">
        <v>22.842112661494664</v>
      </c>
      <c r="E12" s="23">
        <v>22.664383040934439</v>
      </c>
      <c r="F12" s="23">
        <v>22.500922701431112</v>
      </c>
      <c r="G12" s="23">
        <v>22.360415456077202</v>
      </c>
      <c r="H12" s="23">
        <v>22.255102170399581</v>
      </c>
      <c r="I12" s="23">
        <v>22.200519246828073</v>
      </c>
      <c r="J12" s="23">
        <v>22.210360488222381</v>
      </c>
      <c r="K12" s="23">
        <v>21.569497064191026</v>
      </c>
    </row>
    <row r="13" spans="1:11" x14ac:dyDescent="0.3">
      <c r="B13" s="23">
        <v>13.321044947319686</v>
      </c>
      <c r="C13" s="23">
        <v>12.969335149260589</v>
      </c>
      <c r="D13" s="23">
        <v>12.598255839386281</v>
      </c>
      <c r="E13" s="23">
        <v>12.205770806197764</v>
      </c>
      <c r="F13" s="23">
        <v>11.790048785400362</v>
      </c>
      <c r="G13" s="23">
        <v>11.350422768262082</v>
      </c>
      <c r="H13" s="23">
        <v>10.89003729579041</v>
      </c>
      <c r="I13" s="23">
        <v>10.423020623335667</v>
      </c>
      <c r="J13" s="23">
        <v>9.9938896989496335</v>
      </c>
      <c r="K13" s="23">
        <v>9.4319893114462445</v>
      </c>
    </row>
    <row r="14" spans="1:11" x14ac:dyDescent="0.3">
      <c r="A14" s="23">
        <v>6.8773445502166322</v>
      </c>
      <c r="B14" s="23">
        <v>6.500214876201853</v>
      </c>
      <c r="C14" s="23">
        <v>6.0979132841090369</v>
      </c>
      <c r="D14" s="23">
        <v>5.6655553626677602</v>
      </c>
      <c r="E14" s="23">
        <v>5.1963259155776882</v>
      </c>
      <c r="F14" s="23">
        <v>4.6802002784737518</v>
      </c>
      <c r="G14" s="23">
        <v>4.1014271888345686</v>
      </c>
      <c r="H14" s="23">
        <v>3.4332289744731708</v>
      </c>
      <c r="I14" s="23">
        <v>2.6259269122045241</v>
      </c>
      <c r="J14" s="23">
        <v>1.5788602457074508</v>
      </c>
      <c r="K14" s="23">
        <v>0</v>
      </c>
    </row>
    <row r="15" spans="1:11" x14ac:dyDescent="0.3">
      <c r="B15" s="23">
        <v>2.6003540969159569</v>
      </c>
      <c r="C15" s="23">
        <v>2.2905890672435611</v>
      </c>
      <c r="D15" s="23">
        <v>1.9686152510925043</v>
      </c>
      <c r="E15" s="23">
        <v>1.6342441407101573</v>
      </c>
      <c r="F15" s="23">
        <v>1.2882599215907102</v>
      </c>
      <c r="G15" s="23">
        <v>0.93380854052155482</v>
      </c>
      <c r="H15" s="23">
        <v>0.57975738253297904</v>
      </c>
      <c r="I15" s="23">
        <v>0.2490471588082851</v>
      </c>
      <c r="J15" s="23">
        <v>0</v>
      </c>
      <c r="K15" s="23">
        <v>0</v>
      </c>
    </row>
    <row r="16" spans="1:11" x14ac:dyDescent="0.3">
      <c r="C16" s="23">
        <v>0.66183028584592718</v>
      </c>
      <c r="D16" s="23">
        <v>0.50451506053643669</v>
      </c>
      <c r="E16" s="23">
        <v>0.35775553385997499</v>
      </c>
      <c r="F16" s="23">
        <v>0.22652957032329527</v>
      </c>
      <c r="G16" s="23">
        <v>0.11756331508529989</v>
      </c>
      <c r="H16" s="23">
        <v>3.9284342917057208E-2</v>
      </c>
      <c r="I16" s="23">
        <v>0</v>
      </c>
      <c r="J16" s="23">
        <v>0</v>
      </c>
      <c r="K16" s="23">
        <v>0</v>
      </c>
    </row>
    <row r="17" spans="4:11" x14ac:dyDescent="0.3">
      <c r="D17" s="23">
        <v>9.1051364692542866E-2</v>
      </c>
      <c r="E17" s="23">
        <v>5.0968420018909867E-2</v>
      </c>
      <c r="F17" s="23">
        <v>2.2663330384888557E-2</v>
      </c>
      <c r="G17" s="23">
        <v>6.1966561104714003E-3</v>
      </c>
      <c r="H17" s="23">
        <v>0</v>
      </c>
      <c r="I17" s="23">
        <v>0</v>
      </c>
      <c r="J17" s="23">
        <v>0</v>
      </c>
      <c r="K17" s="23">
        <v>0</v>
      </c>
    </row>
    <row r="18" spans="4:11" x14ac:dyDescent="0.3">
      <c r="E18" s="23">
        <v>4.2246161538599053E-3</v>
      </c>
      <c r="F18" s="23">
        <v>9.7745167922281607E-4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</row>
    <row r="19" spans="4:11" x14ac:dyDescent="0.3"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</row>
    <row r="20" spans="4:11" x14ac:dyDescent="0.3">
      <c r="G20" s="23">
        <v>0</v>
      </c>
      <c r="H20" s="23">
        <v>0</v>
      </c>
      <c r="I20" s="23">
        <v>0</v>
      </c>
      <c r="J20" s="23">
        <v>0</v>
      </c>
      <c r="K20" s="23">
        <v>0</v>
      </c>
    </row>
    <row r="21" spans="4:11" x14ac:dyDescent="0.3">
      <c r="H21" s="23">
        <v>0</v>
      </c>
      <c r="I21" s="23">
        <v>0</v>
      </c>
      <c r="J21" s="23">
        <v>0</v>
      </c>
      <c r="K21" s="23">
        <v>0</v>
      </c>
    </row>
    <row r="22" spans="4:11" x14ac:dyDescent="0.3">
      <c r="I22" s="23">
        <v>0</v>
      </c>
      <c r="J22" s="23">
        <v>0</v>
      </c>
      <c r="K22" s="23">
        <v>0</v>
      </c>
    </row>
    <row r="23" spans="4:11" x14ac:dyDescent="0.3">
      <c r="J23" s="23">
        <v>0</v>
      </c>
      <c r="K23" s="23">
        <v>0</v>
      </c>
    </row>
    <row r="24" spans="4:11" x14ac:dyDescent="0.3">
      <c r="K24" s="23">
        <v>0</v>
      </c>
    </row>
  </sheetData>
  <mergeCells count="1">
    <mergeCell ref="A1:C3"/>
  </mergeCells>
  <conditionalFormatting sqref="A4:XFD1048576 A1 D1:XFD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K25"/>
  <sheetViews>
    <sheetView topLeftCell="BY1"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11" x14ac:dyDescent="0.3">
      <c r="A1" s="56" t="s">
        <v>21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5" spans="1:11" x14ac:dyDescent="0.3">
      <c r="K5" s="23">
        <v>1.6172461266304951E-8</v>
      </c>
    </row>
    <row r="6" spans="1:11" x14ac:dyDescent="0.3">
      <c r="J6" s="23">
        <v>6.1812866566633916E-8</v>
      </c>
      <c r="K6" s="23">
        <v>6.3472320690238575E-7</v>
      </c>
    </row>
    <row r="7" spans="1:11" x14ac:dyDescent="0.3">
      <c r="I7" s="23">
        <v>3.909040045336252E-7</v>
      </c>
      <c r="J7" s="23">
        <v>2.3443601368036032E-6</v>
      </c>
      <c r="K7" s="23">
        <v>1.1362953160041408E-5</v>
      </c>
    </row>
    <row r="8" spans="1:11" x14ac:dyDescent="0.3">
      <c r="H8" s="23">
        <v>2.4720733602559877E-6</v>
      </c>
      <c r="I8" s="23">
        <v>1.317841078076415E-5</v>
      </c>
      <c r="J8" s="23">
        <v>4.0134759163659683E-5</v>
      </c>
      <c r="K8" s="23">
        <v>1.2286918796568035E-4</v>
      </c>
    </row>
    <row r="9" spans="1:11" x14ac:dyDescent="0.3">
      <c r="G9" s="23">
        <v>1.5633369388932407E-5</v>
      </c>
      <c r="H9" s="23">
        <v>7.2922630910217886E-5</v>
      </c>
      <c r="I9" s="23">
        <v>1.9784308544217681E-4</v>
      </c>
      <c r="J9" s="23">
        <v>4.0938416515821728E-4</v>
      </c>
      <c r="K9" s="23">
        <v>8.9574596760806364E-4</v>
      </c>
    </row>
    <row r="10" spans="1:11" x14ac:dyDescent="0.3">
      <c r="F10" s="23">
        <v>9.886528546446646E-5</v>
      </c>
      <c r="G10" s="23">
        <v>3.9528175966226564E-4</v>
      </c>
      <c r="H10" s="23">
        <v>9.4111217857180721E-4</v>
      </c>
      <c r="I10" s="23">
        <v>1.7405879929856647E-3</v>
      </c>
      <c r="J10" s="23">
        <v>2.7659511541047377E-3</v>
      </c>
      <c r="K10" s="23">
        <v>4.6540027140188796E-3</v>
      </c>
    </row>
    <row r="11" spans="1:11" x14ac:dyDescent="0.3">
      <c r="E11" s="23">
        <v>6.2522316378519542E-4</v>
      </c>
      <c r="F11" s="23">
        <v>2.0831318698095419E-3</v>
      </c>
      <c r="G11" s="23">
        <v>4.2684836484137194E-3</v>
      </c>
      <c r="H11" s="23">
        <v>6.9606016322791365E-3</v>
      </c>
      <c r="I11" s="23">
        <v>9.9372822660389656E-3</v>
      </c>
      <c r="J11" s="23">
        <v>1.301908161953776E-2</v>
      </c>
      <c r="K11" s="23">
        <v>1.7764530083978457E-2</v>
      </c>
    </row>
    <row r="12" spans="1:11" x14ac:dyDescent="0.3">
      <c r="D12" s="23">
        <v>3.9539055867497258E-3</v>
      </c>
      <c r="E12" s="23">
        <v>1.0538965559895152E-2</v>
      </c>
      <c r="F12" s="23">
        <v>1.8105632618275507E-2</v>
      </c>
      <c r="G12" s="23">
        <v>2.5592316206923225E-2</v>
      </c>
      <c r="H12" s="23">
        <v>3.2466190422101082E-2</v>
      </c>
      <c r="I12" s="23">
        <v>3.8524140858716527E-2</v>
      </c>
      <c r="J12" s="23">
        <v>4.3738876060281422E-2</v>
      </c>
      <c r="K12" s="23">
        <v>5.0621286982205714E-2</v>
      </c>
    </row>
    <row r="13" spans="1:11" x14ac:dyDescent="0.3">
      <c r="C13" s="23">
        <v>2.5004462877358469E-2</v>
      </c>
      <c r="D13" s="23">
        <v>4.9986241576794585E-2</v>
      </c>
      <c r="E13" s="23">
        <v>6.9393854383260511E-2</v>
      </c>
      <c r="F13" s="23">
        <v>8.3234874697768441E-2</v>
      </c>
      <c r="G13" s="23">
        <v>9.2730155120081689E-2</v>
      </c>
      <c r="H13" s="23">
        <v>9.9085505124509657E-2</v>
      </c>
      <c r="I13" s="23">
        <v>0.10323090025600561</v>
      </c>
      <c r="J13" s="23">
        <v>0.10582965353552042</v>
      </c>
      <c r="K13" s="23">
        <v>0.1084240839510807</v>
      </c>
    </row>
    <row r="14" spans="1:11" x14ac:dyDescent="0.3">
      <c r="B14" s="23">
        <v>0.15812799523600654</v>
      </c>
      <c r="C14" s="23">
        <v>0.21074169062510781</v>
      </c>
      <c r="D14" s="23">
        <v>0.22381152794480344</v>
      </c>
      <c r="E14" s="23">
        <v>0.22224793182326211</v>
      </c>
      <c r="F14" s="23">
        <v>0.2155704960064582</v>
      </c>
      <c r="G14" s="23">
        <v>0.20743824549574036</v>
      </c>
      <c r="H14" s="23">
        <v>0.19924234616720898</v>
      </c>
      <c r="I14" s="23">
        <v>0.19148402932123582</v>
      </c>
      <c r="J14" s="23">
        <v>0.18431297821595885</v>
      </c>
      <c r="K14" s="23">
        <v>0.17471251260271814</v>
      </c>
    </row>
    <row r="15" spans="1:11" x14ac:dyDescent="0.3">
      <c r="A15" s="23">
        <v>1</v>
      </c>
      <c r="B15" s="23">
        <v>0.6663642649442858</v>
      </c>
      <c r="C15" s="23">
        <v>0.49954670768692921</v>
      </c>
      <c r="D15" s="23">
        <v>0.4068536702879389</v>
      </c>
      <c r="E15" s="23">
        <v>0.34967405777167943</v>
      </c>
      <c r="F15" s="23">
        <v>0.31102276086491643</v>
      </c>
      <c r="G15" s="23">
        <v>0.28292303447649741</v>
      </c>
      <c r="H15" s="23">
        <v>0.26134383514298459</v>
      </c>
      <c r="I15" s="23">
        <v>0.24408734030714072</v>
      </c>
      <c r="J15" s="23">
        <v>0.22986493950145048</v>
      </c>
      <c r="K15" s="23">
        <v>0.21146665838095469</v>
      </c>
    </row>
    <row r="16" spans="1:11" x14ac:dyDescent="0.3">
      <c r="B16" s="23">
        <v>0.17550773981970771</v>
      </c>
      <c r="C16" s="23">
        <v>0.23390417207398229</v>
      </c>
      <c r="D16" s="23">
        <v>0.24841050666936734</v>
      </c>
      <c r="E16" s="23">
        <v>0.24667505672027909</v>
      </c>
      <c r="F16" s="23">
        <v>0.2392637082980725</v>
      </c>
      <c r="G16" s="23">
        <v>0.23023764745000233</v>
      </c>
      <c r="H16" s="23">
        <v>0.22114094218416649</v>
      </c>
      <c r="I16" s="23">
        <v>0.21252991380547312</v>
      </c>
      <c r="J16" s="23">
        <v>0.20457069716113158</v>
      </c>
      <c r="K16" s="23">
        <v>0.19229284456470186</v>
      </c>
    </row>
    <row r="17" spans="3:11" x14ac:dyDescent="0.3">
      <c r="C17" s="23">
        <v>3.0802966736622202E-2</v>
      </c>
      <c r="D17" s="23">
        <v>6.1577988862659534E-2</v>
      </c>
      <c r="E17" s="23">
        <v>8.5486202954156071E-2</v>
      </c>
      <c r="F17" s="23">
        <v>0.10253693867441033</v>
      </c>
      <c r="G17" s="23">
        <v>0.11423416282347321</v>
      </c>
      <c r="H17" s="23">
        <v>0.1220633105938583</v>
      </c>
      <c r="I17" s="23">
        <v>0.12717001770338479</v>
      </c>
      <c r="J17" s="23">
        <v>0.13037141863801807</v>
      </c>
      <c r="K17" s="23">
        <v>0.13202550831507739</v>
      </c>
    </row>
    <row r="18" spans="3:11" x14ac:dyDescent="0.3">
      <c r="D18" s="23">
        <v>5.4061590716864578E-3</v>
      </c>
      <c r="E18" s="23">
        <v>1.4409884863904864E-2</v>
      </c>
      <c r="F18" s="23">
        <v>2.4755758042358782E-2</v>
      </c>
      <c r="G18" s="23">
        <v>3.4992270147060717E-2</v>
      </c>
      <c r="H18" s="23">
        <v>4.4390890480976469E-2</v>
      </c>
      <c r="I18" s="23">
        <v>5.2673901541859164E-2</v>
      </c>
      <c r="J18" s="23">
        <v>5.980398783194571E-2</v>
      </c>
      <c r="K18" s="23">
        <v>6.8921437900670471E-2</v>
      </c>
    </row>
    <row r="19" spans="3:11" x14ac:dyDescent="0.3">
      <c r="E19" s="23">
        <v>9.4882275977756496E-4</v>
      </c>
      <c r="F19" s="23">
        <v>3.1613079044077678E-3</v>
      </c>
      <c r="G19" s="23">
        <v>6.4777421406356358E-3</v>
      </c>
      <c r="H19" s="23">
        <v>1.056323187142758E-2</v>
      </c>
      <c r="I19" s="23">
        <v>1.5080566636827924E-2</v>
      </c>
      <c r="J19" s="23">
        <v>1.9757426895754184E-2</v>
      </c>
      <c r="K19" s="23">
        <v>2.7476730785365906E-2</v>
      </c>
    </row>
    <row r="20" spans="3:11" x14ac:dyDescent="0.3">
      <c r="F20" s="23">
        <v>1.6652573805805827E-4</v>
      </c>
      <c r="G20" s="23">
        <v>6.6580080621216195E-4</v>
      </c>
      <c r="H20" s="23">
        <v>1.5851812837621919E-3</v>
      </c>
      <c r="I20" s="23">
        <v>2.9317945002149226E-3</v>
      </c>
      <c r="J20" s="23">
        <v>4.6588856260910737E-3</v>
      </c>
      <c r="K20" s="23">
        <v>8.3461079453545032E-3</v>
      </c>
    </row>
    <row r="21" spans="3:11" x14ac:dyDescent="0.3">
      <c r="G21" s="23">
        <v>2.9226555908381503E-5</v>
      </c>
      <c r="H21" s="23">
        <v>1.363287271131825E-4</v>
      </c>
      <c r="I21" s="23">
        <v>3.698672918107384E-4</v>
      </c>
      <c r="J21" s="23">
        <v>7.6534295923893602E-4</v>
      </c>
      <c r="K21" s="23">
        <v>1.9064151120044112E-3</v>
      </c>
    </row>
    <row r="22" spans="3:11" x14ac:dyDescent="0.3">
      <c r="H22" s="23">
        <v>5.1294867701946328E-6</v>
      </c>
      <c r="I22" s="23">
        <v>2.7344853449295628E-5</v>
      </c>
      <c r="J22" s="23">
        <v>8.3278562628728964E-5</v>
      </c>
      <c r="K22" s="23">
        <v>3.1797029822027188E-4</v>
      </c>
    </row>
    <row r="23" spans="3:11" x14ac:dyDescent="0.3">
      <c r="I23" s="23">
        <v>9.0026462947196115E-7</v>
      </c>
      <c r="J23" s="23">
        <v>5.3991376026605997E-6</v>
      </c>
      <c r="K23" s="23">
        <v>3.65977789853581E-5</v>
      </c>
    </row>
    <row r="24" spans="3:11" x14ac:dyDescent="0.3">
      <c r="J24" s="23">
        <v>1.5800341035826211E-7</v>
      </c>
      <c r="K24" s="23">
        <v>2.5979558904747203E-6</v>
      </c>
    </row>
    <row r="25" spans="3:11" x14ac:dyDescent="0.3">
      <c r="K25" s="23">
        <v>8.5624371051169335E-8</v>
      </c>
    </row>
  </sheetData>
  <mergeCells count="1">
    <mergeCell ref="A1:C3"/>
  </mergeCells>
  <conditionalFormatting sqref="A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29" zoomScale="77" zoomScaleNormal="55" workbookViewId="0">
      <selection activeCell="G65" sqref="G65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2024-10-21T14:30:06Z</dcterms:modified>
</cp:coreProperties>
</file>