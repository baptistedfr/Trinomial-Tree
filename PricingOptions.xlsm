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3676BFB2-719E-4846-8135-4F0992D371F2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<sst xmlns="http://schemas.openxmlformats.org/spreadsheetml/2006/main" count="65" uniqueCount="55">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</sst>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topLeftCell="D4" zoomScale="110" zoomScaleNormal="110" workbookViewId="0">
      <selection activeCell="E17" sqref="E17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4" t="s">
        <v>43</v>
      </c>
      <c r="C1" s="44"/>
      <c r="D1" s="44"/>
      <c r="E1" s="44"/>
    </row>
    <row r="2" spans="2:15" ht="14.4" customHeight="1" x14ac:dyDescent="0.3">
      <c r="B2" s="44"/>
      <c r="C2" s="44"/>
      <c r="D2" s="44"/>
      <c r="E2" s="44"/>
    </row>
    <row r="3" spans="2:15" ht="14.4" customHeight="1" x14ac:dyDescent="0.3">
      <c r="B3" s="44"/>
      <c r="C3" s="44"/>
      <c r="D3" s="44"/>
      <c r="E3" s="44"/>
    </row>
    <row r="6" spans="2:15" ht="14.4" customHeight="1" x14ac:dyDescent="0.3">
      <c r="B6" s="42" t="s">
        <v>0</v>
      </c>
      <c r="C6" s="47" t="s">
        <v>11</v>
      </c>
      <c r="D6" s="11" t="s">
        <v>13</v>
      </c>
      <c r="E6" s="1">
        <v>100</v>
      </c>
      <c r="J6" s="40" t="s">
        <v>17</v>
      </c>
      <c r="K6" s="40"/>
      <c r="L6" s="40"/>
      <c r="M6" s="39" t="s">
        <v>53</v>
      </c>
      <c r="N6" s="39"/>
      <c r="O6" s="39"/>
    </row>
    <row r="7" spans="2:15" x14ac:dyDescent="0.3">
      <c r="B7" s="42"/>
      <c r="C7" s="47"/>
      <c r="D7" s="11" t="s">
        <v>28</v>
      </c>
      <c r="E7" s="2">
        <v>0.21</v>
      </c>
      <c r="J7" s="40"/>
      <c r="K7" s="40"/>
      <c r="L7" s="40"/>
      <c r="M7" s="39"/>
      <c r="N7" s="39"/>
      <c r="O7" s="39"/>
    </row>
    <row r="8" spans="2:15" x14ac:dyDescent="0.3">
      <c r="B8" s="42"/>
      <c r="C8" s="47"/>
      <c r="D8" s="11" t="s">
        <v>29</v>
      </c>
      <c r="E8" s="2">
        <v>0.03</v>
      </c>
      <c r="J8" s="40" t="s">
        <v>16</v>
      </c>
      <c r="K8" s="40"/>
      <c r="L8" s="40"/>
      <c r="M8" s="39" t="s">
        <v>53</v>
      </c>
      <c r="N8" s="39"/>
      <c r="O8" s="39"/>
    </row>
    <row r="9" spans="2:15" x14ac:dyDescent="0.3">
      <c r="B9" s="42"/>
      <c r="C9" s="47"/>
      <c r="D9" s="11" t="s">
        <v>14</v>
      </c>
      <c r="E9" s="1">
        <v>3</v>
      </c>
      <c r="J9" s="40"/>
      <c r="K9" s="40"/>
      <c r="L9" s="40"/>
      <c r="M9" s="39"/>
      <c r="N9" s="39"/>
      <c r="O9" s="39"/>
    </row>
    <row r="10" spans="2:15" x14ac:dyDescent="0.3">
      <c r="B10" s="42"/>
      <c r="C10" s="47"/>
      <c r="D10" s="11" t="s">
        <v>3</v>
      </c>
      <c r="E10" s="3">
        <v>45458</v>
      </c>
      <c r="I10" s="26"/>
      <c r="J10" s="41"/>
      <c r="K10" s="41"/>
      <c r="L10" s="41"/>
      <c r="M10" s="41"/>
      <c r="N10" s="41"/>
      <c r="O10" s="41"/>
    </row>
    <row r="11" spans="2:15" x14ac:dyDescent="0.3">
      <c r="B11" s="42"/>
      <c r="C11" s="47" t="s">
        <v>12</v>
      </c>
      <c r="D11" s="11" t="s">
        <v>30</v>
      </c>
      <c r="E11" s="1">
        <v>0.82189999999999996</v>
      </c>
      <c r="J11" s="41"/>
      <c r="K11" s="41"/>
      <c r="L11" s="41"/>
      <c r="M11" s="41"/>
      <c r="N11" s="41"/>
      <c r="O11" s="41"/>
    </row>
    <row r="12" spans="2:15" x14ac:dyDescent="0.3">
      <c r="B12" s="42"/>
      <c r="C12" s="47"/>
      <c r="D12" s="11" t="s">
        <v>15</v>
      </c>
      <c r="E12" s="1">
        <v>101</v>
      </c>
      <c r="J12" s="41"/>
      <c r="K12" s="41"/>
      <c r="L12" s="41"/>
      <c r="M12" s="41"/>
      <c r="N12" s="41"/>
      <c r="O12" s="41"/>
    </row>
    <row r="13" spans="2:15" x14ac:dyDescent="0.3">
      <c r="B13" s="42"/>
      <c r="C13" s="47"/>
      <c r="D13" s="11" t="s">
        <v>4</v>
      </c>
      <c r="E13" s="3">
        <v>45352</v>
      </c>
      <c r="J13" s="41"/>
      <c r="K13" s="41"/>
      <c r="L13" s="41"/>
      <c r="M13" s="41"/>
      <c r="N13" s="41"/>
      <c r="O13" s="41"/>
    </row>
    <row r="14" spans="2:15" x14ac:dyDescent="0.3">
      <c r="B14" s="42"/>
      <c r="C14" s="47"/>
      <c r="D14" s="11" t="s">
        <v>1</v>
      </c>
      <c r="E14" s="1" t="s">
        <v>5</v>
      </c>
    </row>
    <row r="15" spans="2:15" x14ac:dyDescent="0.3">
      <c r="B15" s="42"/>
      <c r="C15" s="47"/>
      <c r="D15" s="11" t="s">
        <v>31</v>
      </c>
      <c r="E15" s="1" t="s">
        <v>6</v>
      </c>
      <c r="J15" s="33" t="s">
        <v>19</v>
      </c>
      <c r="K15" s="34"/>
      <c r="L15" s="35"/>
      <c r="M15" s="27" t="s">
        <v>54</v>
      </c>
      <c r="N15" s="28"/>
      <c r="O15" s="29"/>
    </row>
    <row r="16" spans="2:15" ht="16.649999999999999" customHeight="1" x14ac:dyDescent="0.3">
      <c r="B16" s="42"/>
      <c r="C16" s="46" t="s">
        <v>32</v>
      </c>
      <c r="D16" s="11" t="s">
        <v>33</v>
      </c>
      <c r="E16" s="1">
        <v>1000</v>
      </c>
      <c r="J16" s="36"/>
      <c r="K16" s="37"/>
      <c r="L16" s="38"/>
      <c r="M16" s="30"/>
      <c r="N16" s="31"/>
      <c r="O16" s="32"/>
    </row>
    <row r="17" spans="2:15" x14ac:dyDescent="0.3">
      <c r="B17" s="42"/>
      <c r="C17" s="46"/>
      <c r="D17" s="11" t="s">
        <v>34</v>
      </c>
      <c r="E17" s="4">
        <v>1E-8</v>
      </c>
      <c r="J17" s="33" t="s">
        <v>20</v>
      </c>
      <c r="K17" s="34"/>
      <c r="L17" s="35"/>
      <c r="M17" s="27" t="s">
        <v>54</v>
      </c>
      <c r="N17" s="28"/>
      <c r="O17" s="29"/>
    </row>
    <row r="18" spans="2:15" ht="18.75" customHeight="1" x14ac:dyDescent="0.3">
      <c r="J18" s="36"/>
      <c r="K18" s="37"/>
      <c r="L18" s="38"/>
      <c r="M18" s="30"/>
      <c r="N18" s="31"/>
      <c r="O18" s="32"/>
    </row>
    <row r="19" spans="2:15" ht="15.6" x14ac:dyDescent="0.3">
      <c r="B19" s="45" t="s">
        <v>18</v>
      </c>
      <c r="C19" s="43" t="s">
        <v>8</v>
      </c>
      <c r="D19" s="12" t="s">
        <v>36</v>
      </c>
      <c r="E19" s="13">
        <v>6.7648537978019343</v>
      </c>
      <c r="J19" s="33" t="s">
        <v>21</v>
      </c>
      <c r="K19" s="34"/>
      <c r="L19" s="35"/>
      <c r="M19" s="27" t="s">
        <v>54</v>
      </c>
      <c r="N19" s="28"/>
      <c r="O19" s="29"/>
    </row>
    <row r="20" spans="2:15" ht="18" customHeight="1" x14ac:dyDescent="0.3">
      <c r="B20" s="45"/>
      <c r="C20" s="43"/>
      <c r="D20" s="12" t="s">
        <v>37</v>
      </c>
      <c r="E20" s="13">
        <v>6.6698665682485014</v>
      </c>
      <c r="J20" s="36"/>
      <c r="K20" s="37"/>
      <c r="L20" s="38"/>
      <c r="M20" s="30"/>
      <c r="N20" s="31"/>
      <c r="O20" s="32"/>
    </row>
    <row r="21" spans="2:15" ht="18.75" customHeight="1" x14ac:dyDescent="0.3">
      <c r="B21" s="45"/>
      <c r="C21" s="43"/>
      <c r="D21" s="12" t="s">
        <v>48</v>
      </c>
      <c r="E21" s="16">
        <f>(3*IVol^2)/(INbSteps*8*SQRT(2*PI())*SQRT(EXP(IVol^2)-1))</f>
        <v>3.1070978871970953E-5</v>
      </c>
      <c r="J21" s="33" t="s">
        <v>22</v>
      </c>
      <c r="K21" s="34"/>
      <c r="L21" s="35"/>
      <c r="M21" s="27" t="s">
        <v>54</v>
      </c>
      <c r="N21" s="28"/>
      <c r="O21" s="29"/>
    </row>
    <row r="22" spans="2:15" ht="18" customHeight="1" x14ac:dyDescent="0.3">
      <c r="B22" s="45"/>
      <c r="C22" s="43" t="s">
        <v>35</v>
      </c>
      <c r="D22" s="12" t="s">
        <v>38</v>
      </c>
      <c r="E22" s="14">
        <v>1.140625</v>
      </c>
      <c r="J22" s="36"/>
      <c r="K22" s="37"/>
      <c r="L22" s="38"/>
      <c r="M22" s="30"/>
      <c r="N22" s="31"/>
      <c r="O22" s="32"/>
    </row>
    <row r="23" spans="2:15" ht="16.350000000000001" customHeight="1" x14ac:dyDescent="0.3">
      <c r="B23" s="45"/>
      <c r="C23" s="43"/>
      <c r="D23" s="12" t="s">
        <v>39</v>
      </c>
      <c r="E23" s="14">
        <v>0.20703125</v>
      </c>
      <c r="J23" s="33" t="s">
        <v>23</v>
      </c>
      <c r="K23" s="34"/>
      <c r="L23" s="35"/>
      <c r="M23" s="27" t="s">
        <v>54</v>
      </c>
      <c r="N23" s="28"/>
      <c r="O23" s="29"/>
    </row>
    <row r="24" spans="2:15" ht="16.350000000000001" customHeight="1" x14ac:dyDescent="0.3">
      <c r="B24" s="45"/>
      <c r="C24" s="43"/>
      <c r="D24" s="12" t="s">
        <v>40</v>
      </c>
      <c r="E24" s="15">
        <f>ITimeTree+IPriceTime</f>
        <v>1.34765625</v>
      </c>
      <c r="J24" s="36"/>
      <c r="K24" s="37"/>
      <c r="L24" s="38"/>
      <c r="M24" s="30"/>
      <c r="N24" s="31"/>
      <c r="O24" s="32"/>
    </row>
    <row r="27" spans="2:15" x14ac:dyDescent="0.3">
      <c r="B27" s="17" t="s">
        <v>41</v>
      </c>
      <c r="C27" s="17"/>
      <c r="D27" s="17"/>
      <c r="E27" s="17"/>
    </row>
    <row r="28" spans="2:15" x14ac:dyDescent="0.3">
      <c r="B28" s="17"/>
      <c r="C28" s="17"/>
      <c r="D28" s="17"/>
      <c r="E28" s="17"/>
    </row>
    <row r="29" spans="2:15" x14ac:dyDescent="0.3">
      <c r="B29" s="17"/>
      <c r="C29" s="17"/>
      <c r="D29" s="17"/>
      <c r="E29" s="17"/>
    </row>
  </sheetData>
  <mergeCells count="23">
    <mergeCell ref="B6:B17"/>
    <mergeCell ref="C22:C24"/>
    <mergeCell ref="B1:E3"/>
    <mergeCell ref="J6:L7"/>
    <mergeCell ref="B19:B24"/>
    <mergeCell ref="C19:C21"/>
    <mergeCell ref="C16:C17"/>
    <mergeCell ref="C6:C10"/>
    <mergeCell ref="C11:C15"/>
    <mergeCell ref="M6:O7"/>
    <mergeCell ref="J8:L9"/>
    <mergeCell ref="M8:O9"/>
    <mergeCell ref="J10:O13"/>
    <mergeCell ref="J15:L16"/>
    <mergeCell ref="M15:O16"/>
    <mergeCell ref="M17:O18"/>
    <mergeCell ref="M19:O20"/>
    <mergeCell ref="M21:O22"/>
    <mergeCell ref="M23:O24"/>
    <mergeCell ref="J17:L18"/>
    <mergeCell ref="J19:L20"/>
    <mergeCell ref="J21:L22"/>
    <mergeCell ref="J23:L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L15" sqref="L15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48" t="s">
        <v>25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48" t="s">
        <v>24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48" t="s">
        <v>27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49" t="s">
        <v>42</v>
      </c>
      <c r="B1" s="49"/>
      <c r="C1" s="49"/>
      <c r="H1" s="49" t="s">
        <v>45</v>
      </c>
      <c r="I1" s="49"/>
      <c r="J1" s="49"/>
    </row>
    <row r="2" spans="1:10" x14ac:dyDescent="0.3">
      <c r="A2" s="49"/>
      <c r="B2" s="49"/>
      <c r="C2" s="49"/>
      <c r="H2" s="49"/>
      <c r="I2" s="49"/>
      <c r="J2" s="49"/>
    </row>
    <row r="3" spans="1:10" x14ac:dyDescent="0.3">
      <c r="A3" s="49"/>
      <c r="B3" s="49"/>
      <c r="C3" s="49"/>
      <c r="H3" s="49"/>
      <c r="I3" s="49"/>
      <c r="J3" s="49"/>
    </row>
    <row r="4" spans="1:10" ht="12.45" customHeight="1" x14ac:dyDescent="0.3">
      <c r="A4" s="18"/>
      <c r="B4" s="18"/>
      <c r="C4" s="18"/>
    </row>
    <row r="5" spans="1:10" ht="16.2" thickBot="1" x14ac:dyDescent="0.35">
      <c r="A5" s="50" t="s">
        <v>44</v>
      </c>
      <c r="B5" s="50"/>
      <c r="C5" s="50"/>
      <c r="D5" s="50"/>
      <c r="E5" s="50"/>
      <c r="F5" s="50"/>
    </row>
    <row r="6" spans="1:10" ht="14.4" customHeight="1" x14ac:dyDescent="0.3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" customHeight="1" thickBot="1" x14ac:dyDescent="0.35">
      <c r="A7" s="54"/>
      <c r="B7" s="54"/>
      <c r="C7" s="54"/>
      <c r="D7" s="54"/>
      <c r="E7" s="54"/>
      <c r="F7" s="54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5" t="s">
        <v>49</v>
      </c>
      <c r="B1" s="55"/>
      <c r="C1" s="55"/>
    </row>
    <row r="2" spans="1:8" x14ac:dyDescent="0.3">
      <c r="A2" s="55"/>
      <c r="B2" s="55"/>
      <c r="C2" s="55"/>
    </row>
    <row r="3" spans="1:8" x14ac:dyDescent="0.3">
      <c r="A3" s="55"/>
      <c r="B3" s="55"/>
      <c r="C3" s="55"/>
    </row>
    <row r="4" spans="1:8" x14ac:dyDescent="0.3">
      <c r="H4" s="24"/>
    </row>
    <row r="5" spans="1:8" ht="16.2" thickBot="1" x14ac:dyDescent="0.35">
      <c r="A5" s="50" t="s">
        <v>44</v>
      </c>
      <c r="B5" s="50"/>
      <c r="C5" s="50"/>
      <c r="D5" s="50"/>
      <c r="E5" s="50"/>
      <c r="F5" s="50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2024-10-11T12:44:24Z</dcterms:modified>
</cp:coreProperties>
</file>