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DB5E1C15-F944-4D82-B9DC-420E41EB44EE}" xr6:coauthVersionLast="47" xr6:coauthVersionMax="47" xr10:uidLastSave="{00000000-0000-0000-0000-000000000000}"/>
  <bookViews>
    <workbookView xWindow="-120" yWindow="-12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BSDelta">Interface!$N$19</definedName>
    <definedName name="BSGamma">Interface!$N$21</definedName>
    <definedName name="BSRho">Interface!$N$27</definedName>
    <definedName name="BSTheta">Interface!$N$25</definedName>
    <definedName name="BSVega">Interface!$N$23</definedName>
    <definedName name="IBSPrice">Interface!$E$21</definedName>
    <definedName name="IDelta">Interface!$L$19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Interface!$L$21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PriceTreeMemory">Interface!$E$30</definedName>
    <definedName name="IPythonTimeTree">Interface!$E$27</definedName>
    <definedName name="IPythonTimeTreeMemory">Interface!$E$31</definedName>
    <definedName name="IPythonTotalTime">Interface!$E$29</definedName>
    <definedName name="IRate">Interface!$E$8</definedName>
    <definedName name="IRho">Interface!$L$27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Interface!$L$25</definedName>
    <definedName name="ITimeTree">Interface!$E$23</definedName>
    <definedName name="ITotalTime">Interface!$E$25</definedName>
    <definedName name="ITreePrice">Interface!$E$20</definedName>
    <definedName name="IVega">Interface!$L$23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<sst xmlns="http://schemas.openxmlformats.org/spreadsheetml/2006/main" count="72" uniqueCount="63">
  <si>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</si>
  <si>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</si>
  <si>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</si>
  <si>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</si>
  <si>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</si>
  <si>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</si>
  <si>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</si>
  <si>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</si>
  <si>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</si>
  <si>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</si>
  <si>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</si>
  <si>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</si>
  <si>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</si>
  <si>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</si>
  <si>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</si>
  <si>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</si>
  <si>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</si>
  <si>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</si>
  <si>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</si>
  <si>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</si>
  <si>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</si>
  <si>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</si>
  <si>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</si>
  <si>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</si>
  <si>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</si>
  <si>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</si>
  <si>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</si>
  <si>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</si>
  <si>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</si>
  <si>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</si>
  <si>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</si>
  <si>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</si>
  <si>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</si>
  <si>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</si>
  <si>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</si>
  <si>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</si>
  <si>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</si>
  <si>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</si>
  <si>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</si>
  <si>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</si>
  <si>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</si>
  <si>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</si>
  <si>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</si>
  <si>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</si>
  <si>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</si>
  <si>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</si>
  <si>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</si>
  <si>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</si>
  <si>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</si>
  <si>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</si>
  <si>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</si>
  <si>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</si>
  <si>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</si>
  <si>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</si>
  <si>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</si>
  <si>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</si>
  <si>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</si>
  <si>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</si>
  <si>
    <t>Memory Alloc Time</t>
  </si>
  <si>
    <t>Memory Alloc Price</t>
  </si>
  <si>
    <t>No</t>
  </si>
  <si>
    <t>Greeks Tree</t>
  </si>
  <si>
    <t>Greeks B&amp;S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</si>
</sst>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12" borderId="0" xfId="0" applyFill="1"/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right"/>
    </xf>
    <xf numFmtId="9" fontId="0" fillId="5" borderId="17" xfId="1" applyFont="1" applyFill="1" applyBorder="1" applyAlignment="1">
      <alignment horizontal="right"/>
    </xf>
    <xf numFmtId="0" fontId="0" fillId="5" borderId="17" xfId="0" applyFill="1" applyBorder="1" applyAlignment="1">
      <alignment horizontal="right"/>
    </xf>
    <xf numFmtId="14" fontId="0" fillId="5" borderId="17" xfId="0" applyNumberFormat="1" applyFill="1" applyBorder="1" applyAlignment="1">
      <alignment horizontal="right"/>
    </xf>
    <xf numFmtId="164" fontId="0" fillId="12" borderId="17" xfId="0" applyNumberFormat="1" applyFill="1" applyBorder="1" applyAlignment="1">
      <alignment horizontal="right"/>
    </xf>
    <xf numFmtId="0" fontId="0" fillId="7" borderId="5" xfId="0" applyFill="1" applyBorder="1" applyAlignment="1">
      <alignment horizontal="center" vertical="center"/>
    </xf>
    <xf numFmtId="11" fontId="0" fillId="5" borderId="18" xfId="0" applyNumberFormat="1" applyFill="1" applyBorder="1" applyAlignment="1">
      <alignment horizontal="right"/>
    </xf>
    <xf numFmtId="0" fontId="0" fillId="10" borderId="0" xfId="0" applyFill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167" fontId="1" fillId="3" borderId="16" xfId="0" applyNumberFormat="1" applyFont="1" applyFill="1" applyBorder="1" applyAlignment="1">
      <alignment vertical="center"/>
    </xf>
    <xf numFmtId="167" fontId="1" fillId="3" borderId="17" xfId="0" applyNumberFormat="1" applyFont="1" applyFill="1" applyBorder="1" applyAlignment="1">
      <alignment vertical="center"/>
    </xf>
    <xf numFmtId="165" fontId="0" fillId="5" borderId="17" xfId="1" applyNumberFormat="1" applyFont="1" applyFill="1" applyBorder="1" applyAlignment="1">
      <alignment horizontal="right" vertical="center"/>
    </xf>
    <xf numFmtId="2" fontId="0" fillId="5" borderId="17" xfId="0" applyNumberFormat="1" applyFill="1" applyBorder="1" applyAlignment="1">
      <alignment vertical="center"/>
    </xf>
    <xf numFmtId="2" fontId="1" fillId="3" borderId="17" xfId="0" applyNumberFormat="1" applyFont="1" applyFill="1" applyBorder="1" applyAlignment="1">
      <alignment vertical="center"/>
    </xf>
    <xf numFmtId="0" fontId="0" fillId="10" borderId="5" xfId="0" applyFill="1" applyBorder="1" applyAlignment="1">
      <alignment horizontal="center" vertical="center"/>
    </xf>
    <xf numFmtId="2" fontId="1" fillId="3" borderId="18" xfId="0" applyNumberFormat="1" applyFont="1" applyFill="1" applyBorder="1" applyAlignment="1">
      <alignment vertical="center"/>
    </xf>
    <xf numFmtId="0" fontId="0" fillId="11" borderId="15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167" fontId="0" fillId="5" borderId="0" xfId="0" applyNumberFormat="1" applyFill="1" applyAlignment="1">
      <alignment horizontal="center" vertical="center"/>
    </xf>
    <xf numFmtId="167" fontId="0" fillId="5" borderId="17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167" fontId="0" fillId="5" borderId="18" xfId="0" applyNumberFormat="1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1.5625E-2</c:v>
                </c:pt>
                <c:pt idx="4">
                  <c:v>3.90625E-3</c:v>
                </c:pt>
                <c:pt idx="5">
                  <c:v>3.90625E-3</c:v>
                </c:pt>
                <c:pt idx="6">
                  <c:v>7.8125E-3</c:v>
                </c:pt>
                <c:pt idx="7">
                  <c:v>1.953125E-2</c:v>
                </c:pt>
                <c:pt idx="8">
                  <c:v>3.125E-2</c:v>
                </c:pt>
                <c:pt idx="9">
                  <c:v>3.90625E-2</c:v>
                </c:pt>
                <c:pt idx="10">
                  <c:v>6.640625E-2</c:v>
                </c:pt>
                <c:pt idx="11">
                  <c:v>7.03125E-2</c:v>
                </c:pt>
                <c:pt idx="12">
                  <c:v>8.59375E-2</c:v>
                </c:pt>
                <c:pt idx="13">
                  <c:v>9.375E-2</c:v>
                </c:pt>
                <c:pt idx="14">
                  <c:v>0.125</c:v>
                </c:pt>
                <c:pt idx="15">
                  <c:v>0.14453125</c:v>
                </c:pt>
                <c:pt idx="16">
                  <c:v>0.1484375</c:v>
                </c:pt>
                <c:pt idx="17">
                  <c:v>0.171875</c:v>
                </c:pt>
                <c:pt idx="18">
                  <c:v>0.1875</c:v>
                </c:pt>
                <c:pt idx="19">
                  <c:v>0.22265625</c:v>
                </c:pt>
                <c:pt idx="20">
                  <c:v>0.25390625</c:v>
                </c:pt>
                <c:pt idx="21">
                  <c:v>0.26953125</c:v>
                </c:pt>
                <c:pt idx="22">
                  <c:v>0.2890625</c:v>
                </c:pt>
                <c:pt idx="23">
                  <c:v>0.3125</c:v>
                </c:pt>
                <c:pt idx="24">
                  <c:v>0.33984375</c:v>
                </c:pt>
                <c:pt idx="25">
                  <c:v>0.3828125</c:v>
                </c:pt>
                <c:pt idx="26">
                  <c:v>0.4375</c:v>
                </c:pt>
                <c:pt idx="27">
                  <c:v>0.48828125</c:v>
                </c:pt>
                <c:pt idx="28">
                  <c:v>0.55078125</c:v>
                </c:pt>
                <c:pt idx="29">
                  <c:v>0.609375</c:v>
                </c:pt>
                <c:pt idx="30">
                  <c:v>0.66796875</c:v>
                </c:pt>
                <c:pt idx="31">
                  <c:v>0.7421875</c:v>
                </c:pt>
                <c:pt idx="32">
                  <c:v>0.84375</c:v>
                </c:pt>
                <c:pt idx="33">
                  <c:v>0.9375</c:v>
                </c:pt>
                <c:pt idx="34">
                  <c:v>0.984375</c:v>
                </c:pt>
                <c:pt idx="35">
                  <c:v>1.10546875</c:v>
                </c:pt>
                <c:pt idx="36">
                  <c:v>1.2734375</c:v>
                </c:pt>
                <c:pt idx="37">
                  <c:v>1.5</c:v>
                </c:pt>
                <c:pt idx="38">
                  <c:v>1.55078125</c:v>
                </c:pt>
                <c:pt idx="39">
                  <c:v>1.66015625</c:v>
                </c:pt>
                <c:pt idx="40">
                  <c:v>2</c:v>
                </c:pt>
                <c:pt idx="41">
                  <c:v>2.5859375</c:v>
                </c:pt>
                <c:pt idx="42">
                  <c:v>2.515625</c:v>
                </c:pt>
                <c:pt idx="43">
                  <c:v>3.078125</c:v>
                </c:pt>
                <c:pt idx="44">
                  <c:v>3.8203125</c:v>
                </c:pt>
                <c:pt idx="45">
                  <c:v>3.4765625</c:v>
                </c:pt>
                <c:pt idx="46">
                  <c:v>3.53515625</c:v>
                </c:pt>
                <c:pt idx="47">
                  <c:v>5.84765625</c:v>
                </c:pt>
                <c:pt idx="48">
                  <c:v>7.3125</c:v>
                </c:pt>
                <c:pt idx="49">
                  <c:v>7.515625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-6.2149144325154282E-3</c:v>
                </c:pt>
                <c:pt idx="6">
                  <c:v>-1.0910937408738164E-2</c:v>
                </c:pt>
                <c:pt idx="7">
                  <c:v>-1.0494281578505849E-2</c:v>
                </c:pt>
                <c:pt idx="8">
                  <c:v>-9.0173137437705719E-3</c:v>
                </c:pt>
                <c:pt idx="9">
                  <c:v>-7.4856986118927438E-3</c:v>
                </c:pt>
                <c:pt idx="10">
                  <c:v>-6.0824459269994691E-3</c:v>
                </c:pt>
                <c:pt idx="11">
                  <c:v>-4.8322303457730698E-3</c:v>
                </c:pt>
                <c:pt idx="12">
                  <c:v>-3.7230883550876115E-3</c:v>
                </c:pt>
                <c:pt idx="13">
                  <c:v>-2.7363800225508328E-3</c:v>
                </c:pt>
                <c:pt idx="14">
                  <c:v>-1.8519524749915917E-3</c:v>
                </c:pt>
                <c:pt idx="15">
                  <c:v>-1.0560950112132872E-3</c:v>
                </c:pt>
                <c:pt idx="16">
                  <c:v>-3.3463166724345683E-4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-3.150387102834884E-5</c:v>
                </c:pt>
                <c:pt idx="30">
                  <c:v>-3.1260449460113193E-4</c:v>
                </c:pt>
                <c:pt idx="31">
                  <c:v>-5.1143283102028647E-4</c:v>
                </c:pt>
                <c:pt idx="32">
                  <c:v>-6.448123674740458E-4</c:v>
                </c:pt>
                <c:pt idx="33">
                  <c:v>-7.2809759606684565E-4</c:v>
                </c:pt>
                <c:pt idx="34">
                  <c:v>-7.6956361200331003E-4</c:v>
                </c:pt>
                <c:pt idx="35">
                  <c:v>-7.6132301040843231E-4</c:v>
                </c:pt>
                <c:pt idx="36">
                  <c:v>-6.6549511135605144E-4</c:v>
                </c:pt>
                <c:pt idx="37">
                  <c:v>-5.148109354120578E-4</c:v>
                </c:pt>
                <c:pt idx="38">
                  <c:v>-3.2344790195715234E-4</c:v>
                </c:pt>
                <c:pt idx="39">
                  <c:v>-1.121518932905019E-4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-0.18644743297546285</c:v>
                </c:pt>
                <c:pt idx="6">
                  <c:v>-0.54554687043690819</c:v>
                </c:pt>
                <c:pt idx="7">
                  <c:v>-0.78707111838793864</c:v>
                </c:pt>
                <c:pt idx="8">
                  <c:v>-0.90173137437705719</c:v>
                </c:pt>
                <c:pt idx="9">
                  <c:v>-0.93571232648659297</c:v>
                </c:pt>
                <c:pt idx="10">
                  <c:v>-0.91236688904992036</c:v>
                </c:pt>
                <c:pt idx="11">
                  <c:v>-0.84564031051028721</c:v>
                </c:pt>
                <c:pt idx="12">
                  <c:v>-0.7446176710175223</c:v>
                </c:pt>
                <c:pt idx="13">
                  <c:v>-0.61568550507393738</c:v>
                </c:pt>
                <c:pt idx="14">
                  <c:v>-0.46298811874789791</c:v>
                </c:pt>
                <c:pt idx="15">
                  <c:v>-0.29042612808365398</c:v>
                </c:pt>
                <c:pt idx="16">
                  <c:v>-0.10038950017303705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-2.362790327126163E-2</c:v>
                </c:pt>
                <c:pt idx="30">
                  <c:v>-0.25008359568090555</c:v>
                </c:pt>
                <c:pt idx="31">
                  <c:v>-0.4347179063672435</c:v>
                </c:pt>
                <c:pt idx="32">
                  <c:v>-0.58033113072664122</c:v>
                </c:pt>
                <c:pt idx="33">
                  <c:v>-0.69169271626350337</c:v>
                </c:pt>
                <c:pt idx="34">
                  <c:v>-0.76956361200331003</c:v>
                </c:pt>
                <c:pt idx="35">
                  <c:v>-0.83745531144927554</c:v>
                </c:pt>
                <c:pt idx="36">
                  <c:v>-0.79859413362726173</c:v>
                </c:pt>
                <c:pt idx="37">
                  <c:v>-0.66925421603567514</c:v>
                </c:pt>
                <c:pt idx="38">
                  <c:v>-0.45282706274001328</c:v>
                </c:pt>
                <c:pt idx="39">
                  <c:v>-0.16822783993575285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239858</xdr:colOff>
      <xdr:row>32</xdr:row>
      <xdr:rowOff>865</xdr:rowOff>
    </xdr:from>
    <xdr:to>
      <xdr:col>3</xdr:col>
      <xdr:colOff>513345</xdr:colOff>
      <xdr:row>34</xdr:row>
      <xdr:rowOff>137680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9933" y="6420715"/>
          <a:ext cx="1883212" cy="51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25</xdr:row>
          <xdr:rowOff>114300</xdr:rowOff>
        </xdr:from>
        <xdr:to>
          <xdr:col>7</xdr:col>
          <xdr:colOff>285750</xdr:colOff>
          <xdr:row>28</xdr:row>
          <xdr:rowOff>57150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28</xdr:row>
          <xdr:rowOff>200025</xdr:rowOff>
        </xdr:from>
        <xdr:to>
          <xdr:col>7</xdr:col>
          <xdr:colOff>323850</xdr:colOff>
          <xdr:row>31</xdr:row>
          <xdr:rowOff>28575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Tree Memory Allocation Price (No div)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3</xdr:row>
          <xdr:rowOff>95250</xdr:rowOff>
        </xdr:from>
        <xdr:to>
          <xdr:col>20</xdr:col>
          <xdr:colOff>542925</xdr:colOff>
          <xdr:row>10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205840</xdr:colOff>
      <xdr:row>1</xdr:row>
      <xdr:rowOff>116773</xdr:rowOff>
    </xdr:from>
    <xdr:to>
      <xdr:col>7</xdr:col>
      <xdr:colOff>469076</xdr:colOff>
      <xdr:row>18</xdr:row>
      <xdr:rowOff>35664</xdr:rowOff>
    </xdr:to>
    <xdr:pic>
      <xdr:nvPicPr>
        <xdr:cNvPr id="18" name="Chart 1">
          <a:extLst>
            <a:ext uri="{FF2B5EF4-FFF2-40B4-BE49-F238E27FC236}">
              <a16:creationId xmlns:a16="http://schemas.microsoft.com/office/drawing/2014/main" id="{BC82FBF7-C18E-2B82-1197-AD1ACA2F2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40" y="294903"/>
          <a:ext cx="4558145" cy="2947099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20" name="Chart 2">
          <a:extLst>
            <a:ext uri="{FF2B5EF4-FFF2-40B4-BE49-F238E27FC236}">
              <a16:creationId xmlns:a16="http://schemas.microsoft.com/office/drawing/2014/main" id="{A8FE128D-28EC-7B6D-3BDF-E2C6178A7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22" name="Chart 3">
          <a:extLst>
            <a:ext uri="{FF2B5EF4-FFF2-40B4-BE49-F238E27FC236}">
              <a16:creationId xmlns:a16="http://schemas.microsoft.com/office/drawing/2014/main" id="{68704C06-A4FB-7054-E3E4-58F602948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562332</xdr:colOff>
      <xdr:row>19</xdr:row>
      <xdr:rowOff>26890</xdr:rowOff>
    </xdr:from>
    <xdr:to>
      <xdr:col>16</xdr:col>
      <xdr:colOff>243677</xdr:colOff>
      <xdr:row>36</xdr:row>
      <xdr:rowOff>20727</xdr:rowOff>
    </xdr:to>
    <xdr:pic>
      <xdr:nvPicPr>
        <xdr:cNvPr id="24" name="Chart 4">
          <a:extLst>
            <a:ext uri="{FF2B5EF4-FFF2-40B4-BE49-F238E27FC236}">
              <a16:creationId xmlns:a16="http://schemas.microsoft.com/office/drawing/2014/main" id="{A27D3987-708E-E34E-0D72-FC138D55E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132" y="3433478"/>
          <a:ext cx="4558145" cy="304183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26" name="Chart 5">
          <a:extLst>
            <a:ext uri="{FF2B5EF4-FFF2-40B4-BE49-F238E27FC236}">
              <a16:creationId xmlns:a16="http://schemas.microsoft.com/office/drawing/2014/main" id="{A2AAD92A-4C99-A994-2228-2B6192332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31</xdr:row>
          <xdr:rowOff>19050</xdr:rowOff>
        </xdr:from>
        <xdr:to>
          <xdr:col>19</xdr:col>
          <xdr:colOff>257175</xdr:colOff>
          <xdr:row>33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96E9383-DB49-0E27-41D3-BA8796280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BDE2CB78-99E7-611C-196C-9B8AC7B19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1" name="Picture 7">
          <a:extLst>
            <a:ext uri="{FF2B5EF4-FFF2-40B4-BE49-F238E27FC236}">
              <a16:creationId xmlns:a16="http://schemas.microsoft.com/office/drawing/2014/main" id="{6C05C941-E9BB-748B-D28E-2CEA9E81B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D1927187-AA73-0218-1276-687CE9E25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4"/>
  <sheetViews>
    <sheetView tabSelected="1" zoomScaleNormal="100" workbookViewId="0">
      <selection activeCell="H19" sqref="H19"/>
    </sheetView>
  </sheetViews>
  <sheetFormatPr baseColWidth="10" defaultColWidth="9" defaultRowHeight="15" x14ac:dyDescent="0.25"/>
  <cols>
    <col min="1" max="1" width="9" style="6" customWidth="1"/>
    <col min="2" max="2" width="10.28515625" style="6" customWidth="1"/>
    <col min="3" max="3" width="13.85546875" style="6" customWidth="1"/>
    <col min="4" max="4" width="21.7109375" style="6" customWidth="1"/>
    <col min="5" max="5" width="13.140625" style="6" customWidth="1"/>
    <col min="6" max="11" width="9" style="6"/>
    <col min="12" max="12" width="8.28515625" style="6" customWidth="1"/>
    <col min="13" max="13" width="9" style="6"/>
    <col min="14" max="14" width="8" style="6" customWidth="1"/>
    <col min="15" max="16384" width="9" style="6"/>
  </cols>
  <sheetData>
    <row r="1" spans="2:15" ht="14.45" customHeight="1" x14ac:dyDescent="0.25">
      <c r="B1" s="58" t="s">
        <v>36</v>
      </c>
      <c r="C1" s="59"/>
      <c r="D1" s="59"/>
      <c r="E1" s="60"/>
    </row>
    <row r="2" spans="2:15" ht="14.45" customHeight="1" x14ac:dyDescent="0.25">
      <c r="B2" s="61"/>
      <c r="C2" s="62"/>
      <c r="D2" s="62"/>
      <c r="E2" s="63"/>
    </row>
    <row r="3" spans="2:15" ht="14.45" customHeight="1" thickBot="1" x14ac:dyDescent="0.3">
      <c r="B3" s="64"/>
      <c r="C3" s="65"/>
      <c r="D3" s="65"/>
      <c r="E3" s="66"/>
    </row>
    <row r="5" spans="2:15" ht="15.75" thickBot="1" x14ac:dyDescent="0.3"/>
    <row r="6" spans="2:15" ht="14.45" customHeight="1" x14ac:dyDescent="0.25">
      <c r="B6" s="79" t="s">
        <v>0</v>
      </c>
      <c r="C6" s="73" t="s">
        <v>10</v>
      </c>
      <c r="D6" s="17" t="s">
        <v>12</v>
      </c>
      <c r="E6" s="18">
        <v>100</v>
      </c>
      <c r="J6" s="67" t="s">
        <v>16</v>
      </c>
      <c r="K6" s="68"/>
      <c r="L6" s="68"/>
      <c r="M6" s="46" t="s">
        <v>60</v>
      </c>
      <c r="N6" s="46"/>
      <c r="O6" s="47"/>
    </row>
    <row r="7" spans="2:15" x14ac:dyDescent="0.25">
      <c r="B7" s="80"/>
      <c r="C7" s="74"/>
      <c r="D7" s="16" t="s">
        <v>22</v>
      </c>
      <c r="E7" s="19">
        <v>0.21</v>
      </c>
      <c r="J7" s="50"/>
      <c r="K7" s="51"/>
      <c r="L7" s="51"/>
      <c r="M7" s="48"/>
      <c r="N7" s="48"/>
      <c r="O7" s="49"/>
    </row>
    <row r="8" spans="2:15" x14ac:dyDescent="0.25">
      <c r="B8" s="80"/>
      <c r="C8" s="74"/>
      <c r="D8" s="16" t="s">
        <v>23</v>
      </c>
      <c r="E8" s="19">
        <v>0.03</v>
      </c>
      <c r="J8" s="50" t="s">
        <v>15</v>
      </c>
      <c r="K8" s="51"/>
      <c r="L8" s="51"/>
      <c r="M8" s="48" t="s">
        <v>47</v>
      </c>
      <c r="N8" s="48"/>
      <c r="O8" s="49"/>
    </row>
    <row r="9" spans="2:15" x14ac:dyDescent="0.25">
      <c r="B9" s="80"/>
      <c r="C9" s="74"/>
      <c r="D9" s="16" t="s">
        <v>13</v>
      </c>
      <c r="E9" s="20">
        <v>0</v>
      </c>
      <c r="J9" s="50"/>
      <c r="K9" s="51"/>
      <c r="L9" s="51"/>
      <c r="M9" s="48"/>
      <c r="N9" s="48"/>
      <c r="O9" s="49"/>
    </row>
    <row r="10" spans="2:15" x14ac:dyDescent="0.25">
      <c r="B10" s="80"/>
      <c r="C10" s="74"/>
      <c r="D10" s="16" t="s">
        <v>3</v>
      </c>
      <c r="E10" s="21">
        <v>45458</v>
      </c>
      <c r="I10" s="15"/>
      <c r="J10" s="52"/>
      <c r="K10" s="53"/>
      <c r="L10" s="53"/>
      <c r="M10" s="53"/>
      <c r="N10" s="53"/>
      <c r="O10" s="54"/>
    </row>
    <row r="11" spans="2:15" ht="15.6" customHeight="1" x14ac:dyDescent="0.25">
      <c r="B11" s="80"/>
      <c r="C11" s="74" t="s">
        <v>11</v>
      </c>
      <c r="D11" s="16" t="s">
        <v>4</v>
      </c>
      <c r="E11" s="21">
        <v>45352</v>
      </c>
      <c r="I11" s="15"/>
      <c r="J11" s="52"/>
      <c r="K11" s="53"/>
      <c r="L11" s="53"/>
      <c r="M11" s="53"/>
      <c r="N11" s="53"/>
      <c r="O11" s="54"/>
    </row>
    <row r="12" spans="2:15" ht="15.6" customHeight="1" x14ac:dyDescent="0.25">
      <c r="B12" s="80"/>
      <c r="C12" s="74"/>
      <c r="D12" s="16" t="s">
        <v>46</v>
      </c>
      <c r="E12" s="21">
        <v>45652</v>
      </c>
      <c r="I12" s="15"/>
      <c r="J12" s="52"/>
      <c r="K12" s="53"/>
      <c r="L12" s="53"/>
      <c r="M12" s="53"/>
      <c r="N12" s="53"/>
      <c r="O12" s="54"/>
    </row>
    <row r="13" spans="2:15" ht="15.6" customHeight="1" x14ac:dyDescent="0.25">
      <c r="B13" s="80"/>
      <c r="C13" s="74"/>
      <c r="D13" s="16" t="s">
        <v>24</v>
      </c>
      <c r="E13" s="22">
        <f>(IEndDate-IStartDate)/365</f>
        <v>0.82191780821917804</v>
      </c>
      <c r="J13" s="52"/>
      <c r="K13" s="53"/>
      <c r="L13" s="53"/>
      <c r="M13" s="53"/>
      <c r="N13" s="53"/>
      <c r="O13" s="54"/>
    </row>
    <row r="14" spans="2:15" ht="14.45" customHeight="1" thickBot="1" x14ac:dyDescent="0.3">
      <c r="B14" s="80"/>
      <c r="C14" s="74"/>
      <c r="D14" s="16" t="s">
        <v>14</v>
      </c>
      <c r="E14" s="20">
        <v>101</v>
      </c>
      <c r="J14" s="55"/>
      <c r="K14" s="56"/>
      <c r="L14" s="56"/>
      <c r="M14" s="56"/>
      <c r="N14" s="56"/>
      <c r="O14" s="57"/>
    </row>
    <row r="15" spans="2:15" ht="14.45" customHeight="1" x14ac:dyDescent="0.25">
      <c r="B15" s="80"/>
      <c r="C15" s="74"/>
      <c r="D15" s="16" t="s">
        <v>1</v>
      </c>
      <c r="E15" s="20" t="s">
        <v>57</v>
      </c>
    </row>
    <row r="16" spans="2:15" ht="14.45" customHeight="1" thickBot="1" x14ac:dyDescent="0.3">
      <c r="B16" s="80"/>
      <c r="C16" s="74"/>
      <c r="D16" s="16" t="s">
        <v>25</v>
      </c>
      <c r="E16" s="20" t="s">
        <v>5</v>
      </c>
    </row>
    <row r="17" spans="2:15" ht="16.7" customHeight="1" x14ac:dyDescent="0.25">
      <c r="B17" s="80"/>
      <c r="C17" s="71" t="s">
        <v>26</v>
      </c>
      <c r="D17" s="16" t="s">
        <v>27</v>
      </c>
      <c r="E17" s="20">
        <v>100</v>
      </c>
      <c r="L17" s="42" t="s">
        <v>61</v>
      </c>
      <c r="M17" s="34"/>
      <c r="N17" s="34" t="s">
        <v>62</v>
      </c>
      <c r="O17" s="35"/>
    </row>
    <row r="18" spans="2:15" ht="15.75" thickBot="1" x14ac:dyDescent="0.3">
      <c r="B18" s="81"/>
      <c r="C18" s="72"/>
      <c r="D18" s="23" t="s">
        <v>28</v>
      </c>
      <c r="E18" s="24">
        <v>1E-8</v>
      </c>
      <c r="L18" s="45"/>
      <c r="M18" s="36"/>
      <c r="N18" s="36"/>
      <c r="O18" s="37"/>
    </row>
    <row r="19" spans="2:15" ht="18.75" customHeight="1" thickBot="1" x14ac:dyDescent="0.3">
      <c r="J19" s="42" t="s">
        <v>51</v>
      </c>
      <c r="K19" s="35"/>
      <c r="L19" s="38">
        <v>0.64588180648498916</v>
      </c>
      <c r="M19" s="38"/>
      <c r="N19" s="38">
        <v>0.5</v>
      </c>
      <c r="O19" s="39"/>
    </row>
    <row r="20" spans="2:15" ht="15.75" x14ac:dyDescent="0.25">
      <c r="B20" s="75" t="s">
        <v>17</v>
      </c>
      <c r="C20" s="69" t="s">
        <v>7</v>
      </c>
      <c r="D20" s="26" t="s">
        <v>30</v>
      </c>
      <c r="E20" s="27">
        <v>8.2815925319382213</v>
      </c>
      <c r="J20" s="43"/>
      <c r="K20" s="44"/>
      <c r="L20" s="38"/>
      <c r="M20" s="38"/>
      <c r="N20" s="38"/>
      <c r="O20" s="39"/>
    </row>
    <row r="21" spans="2:15" ht="18" customHeight="1" x14ac:dyDescent="0.25">
      <c r="B21" s="76"/>
      <c r="C21" s="70"/>
      <c r="D21" s="25" t="s">
        <v>31</v>
      </c>
      <c r="E21" s="28">
        <v>8.2808229683262233</v>
      </c>
      <c r="J21" s="43" t="s">
        <v>52</v>
      </c>
      <c r="K21" s="44"/>
      <c r="L21" s="38">
        <v>3.0850826753375884E-2</v>
      </c>
      <c r="M21" s="38"/>
      <c r="N21" s="38">
        <v>2.0954464944797919E-2</v>
      </c>
      <c r="O21" s="39"/>
    </row>
    <row r="22" spans="2:15" ht="18.75" customHeight="1" x14ac:dyDescent="0.25">
      <c r="B22" s="76"/>
      <c r="C22" s="70"/>
      <c r="D22" s="25" t="s">
        <v>41</v>
      </c>
      <c r="E22" s="29">
        <f>(3*IVol^2)/(INbSteps*8*SQRT(2*PI())*SQRT(EXP(IVol^2)-1))</f>
        <v>3.1070978871970955E-4</v>
      </c>
      <c r="J22" s="43"/>
      <c r="K22" s="44"/>
      <c r="L22" s="38"/>
      <c r="M22" s="38"/>
      <c r="N22" s="38"/>
      <c r="O22" s="39"/>
    </row>
    <row r="23" spans="2:15" ht="18" customHeight="1" x14ac:dyDescent="0.25">
      <c r="B23" s="76"/>
      <c r="C23" s="70" t="s">
        <v>29</v>
      </c>
      <c r="D23" s="25" t="s">
        <v>32</v>
      </c>
      <c r="E23" s="30">
        <v>1.015625</v>
      </c>
      <c r="J23" s="43" t="s">
        <v>55</v>
      </c>
      <c r="K23" s="44"/>
      <c r="L23" s="38">
        <v>34.823782326472632</v>
      </c>
      <c r="M23" s="38"/>
      <c r="N23" s="38">
        <v>36.167980589651208</v>
      </c>
      <c r="O23" s="39"/>
    </row>
    <row r="24" spans="2:15" ht="16.350000000000001" customHeight="1" x14ac:dyDescent="0.25">
      <c r="B24" s="76"/>
      <c r="C24" s="70"/>
      <c r="D24" s="25" t="s">
        <v>33</v>
      </c>
      <c r="E24" s="30">
        <v>0.171875</v>
      </c>
      <c r="J24" s="43"/>
      <c r="K24" s="44"/>
      <c r="L24" s="38"/>
      <c r="M24" s="38"/>
      <c r="N24" s="38"/>
      <c r="O24" s="39"/>
    </row>
    <row r="25" spans="2:15" ht="19.5" customHeight="1" x14ac:dyDescent="0.25">
      <c r="B25" s="76"/>
      <c r="C25" s="70"/>
      <c r="D25" s="25" t="s">
        <v>34</v>
      </c>
      <c r="E25" s="31">
        <f>ITimeTree+IPriceTime</f>
        <v>1.1875</v>
      </c>
      <c r="J25" s="43" t="s">
        <v>53</v>
      </c>
      <c r="K25" s="44"/>
      <c r="L25" s="38">
        <v>-6.1397510441612901</v>
      </c>
      <c r="M25" s="38"/>
      <c r="N25" s="38">
        <v>-6.0985601492283896</v>
      </c>
      <c r="O25" s="39"/>
    </row>
    <row r="26" spans="2:15" ht="15.75" x14ac:dyDescent="0.25">
      <c r="B26" s="76"/>
      <c r="C26" s="70" t="s">
        <v>48</v>
      </c>
      <c r="D26" s="25" t="s">
        <v>30</v>
      </c>
      <c r="E26" s="28">
        <v>8.2815925319416568</v>
      </c>
      <c r="J26" s="43"/>
      <c r="K26" s="44"/>
      <c r="L26" s="38"/>
      <c r="M26" s="38"/>
      <c r="N26" s="38"/>
      <c r="O26" s="39"/>
    </row>
    <row r="27" spans="2:15" ht="14.45" customHeight="1" x14ac:dyDescent="0.25">
      <c r="B27" s="76"/>
      <c r="C27" s="70"/>
      <c r="D27" s="25" t="s">
        <v>32</v>
      </c>
      <c r="E27" s="30">
        <v>0.77037501335144043</v>
      </c>
      <c r="J27" s="43" t="s">
        <v>54</v>
      </c>
      <c r="K27" s="44"/>
      <c r="L27" s="38">
        <v>46.326923388213224</v>
      </c>
      <c r="M27" s="38"/>
      <c r="N27" s="38">
        <v>40.49590764110814</v>
      </c>
      <c r="O27" s="39"/>
    </row>
    <row r="28" spans="2:15" ht="14.45" customHeight="1" thickBot="1" x14ac:dyDescent="0.3">
      <c r="B28" s="76"/>
      <c r="C28" s="70"/>
      <c r="D28" s="25" t="s">
        <v>33</v>
      </c>
      <c r="E28" s="30">
        <v>0.12703585624694824</v>
      </c>
      <c r="J28" s="45"/>
      <c r="K28" s="37"/>
      <c r="L28" s="40"/>
      <c r="M28" s="40"/>
      <c r="N28" s="40"/>
      <c r="O28" s="41"/>
    </row>
    <row r="29" spans="2:15" ht="15.75" x14ac:dyDescent="0.25">
      <c r="B29" s="76"/>
      <c r="C29" s="70"/>
      <c r="D29" s="25" t="s">
        <v>49</v>
      </c>
      <c r="E29" s="31">
        <f>IPythonTimeTree+IPythonPriceTime</f>
        <v>0.89741086959838867</v>
      </c>
    </row>
    <row r="30" spans="2:15" ht="19.5" customHeight="1" x14ac:dyDescent="0.25">
      <c r="B30" s="76"/>
      <c r="C30" s="70"/>
      <c r="D30" s="25" t="s">
        <v>59</v>
      </c>
      <c r="E30" s="28">
        <v>8.2816675495525747</v>
      </c>
    </row>
    <row r="31" spans="2:15" ht="18.75" customHeight="1" thickBot="1" x14ac:dyDescent="0.3">
      <c r="B31" s="77"/>
      <c r="C31" s="78"/>
      <c r="D31" s="32" t="s">
        <v>58</v>
      </c>
      <c r="E31" s="33">
        <v>0.76878000000000002</v>
      </c>
    </row>
    <row r="34" spans="2:2" x14ac:dyDescent="0.25">
      <c r="B34" s="6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L19 N19:O28 L21 M20 L23 M22 L25 M24 L27 M26 M28" name="Greeks"/>
  </protectedRanges>
  <mergeCells count="31">
    <mergeCell ref="L17:M18"/>
    <mergeCell ref="C20:C22"/>
    <mergeCell ref="C17:C18"/>
    <mergeCell ref="C6:C10"/>
    <mergeCell ref="C11:C16"/>
    <mergeCell ref="B20:B31"/>
    <mergeCell ref="C26:C31"/>
    <mergeCell ref="B6:B18"/>
    <mergeCell ref="C23:C25"/>
    <mergeCell ref="M6:O7"/>
    <mergeCell ref="J8:L9"/>
    <mergeCell ref="M8:O9"/>
    <mergeCell ref="J10:O14"/>
    <mergeCell ref="B1:E3"/>
    <mergeCell ref="J6:L7"/>
    <mergeCell ref="N27:O28"/>
    <mergeCell ref="J19:K20"/>
    <mergeCell ref="J21:K22"/>
    <mergeCell ref="J23:K24"/>
    <mergeCell ref="J25:K26"/>
    <mergeCell ref="J27:K28"/>
    <mergeCell ref="L19:M20"/>
    <mergeCell ref="L21:M22"/>
    <mergeCell ref="L23:M24"/>
    <mergeCell ref="L25:M26"/>
    <mergeCell ref="L27:M28"/>
    <mergeCell ref="N17:O18"/>
    <mergeCell ref="N19:O20"/>
    <mergeCell ref="N21:O22"/>
    <mergeCell ref="N23:O24"/>
    <mergeCell ref="N25:O2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_price">
                <anchor moveWithCells="1" sizeWithCells="1">
                  <from>
                    <xdr:col>5</xdr:col>
                    <xdr:colOff>85725</xdr:colOff>
                    <xdr:row>25</xdr:row>
                    <xdr:rowOff>114300</xdr:rowOff>
                  </from>
                  <to>
                    <xdr:col>7</xdr:col>
                    <xdr:colOff>285750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python_tree_memory_price">
                <anchor moveWithCells="1" sizeWithCells="1">
                  <from>
                    <xdr:col>5</xdr:col>
                    <xdr:colOff>85725</xdr:colOff>
                    <xdr:row>28</xdr:row>
                    <xdr:rowOff>200025</xdr:rowOff>
                  </from>
                  <to>
                    <xdr:col>7</xdr:col>
                    <xdr:colOff>323850</xdr:colOff>
                    <xdr:row>31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J36" sqref="J36:J37"/>
    </sheetView>
  </sheetViews>
  <sheetFormatPr baseColWidth="10" defaultColWidth="9.140625" defaultRowHeight="15" x14ac:dyDescent="0.25"/>
  <cols>
    <col min="1" max="1" width="14.28515625" style="12" customWidth="1"/>
    <col min="2" max="16384" width="9.140625" style="12"/>
  </cols>
  <sheetData>
    <row r="1" spans="1:3" x14ac:dyDescent="0.25">
      <c r="A1" s="82" t="s">
        <v>19</v>
      </c>
      <c r="B1" s="82"/>
      <c r="C1" s="82"/>
    </row>
    <row r="2" spans="1:3" x14ac:dyDescent="0.25">
      <c r="A2" s="82"/>
      <c r="B2" s="82"/>
      <c r="C2" s="82"/>
    </row>
    <row r="3" spans="1:3" x14ac:dyDescent="0.25">
      <c r="A3" s="82"/>
      <c r="B3" s="82"/>
      <c r="C3" s="82"/>
    </row>
    <row r="48" spans="10:10" x14ac:dyDescent="0.25">
      <c r="J48" s="14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C6" sqref="C6"/>
    </sheetView>
  </sheetViews>
  <sheetFormatPr baseColWidth="10" defaultColWidth="9.140625" defaultRowHeight="15" x14ac:dyDescent="0.25"/>
  <cols>
    <col min="1" max="1" width="14.5703125" style="12" customWidth="1"/>
    <col min="2" max="16384" width="9.140625" style="12"/>
  </cols>
  <sheetData>
    <row r="1" spans="1:3" x14ac:dyDescent="0.25">
      <c r="A1" s="82" t="s">
        <v>18</v>
      </c>
      <c r="B1" s="82"/>
      <c r="C1" s="82"/>
    </row>
    <row r="2" spans="1:3" x14ac:dyDescent="0.25">
      <c r="A2" s="82"/>
      <c r="B2" s="82"/>
      <c r="C2" s="82"/>
    </row>
    <row r="3" spans="1:3" x14ac:dyDescent="0.25">
      <c r="A3" s="82"/>
      <c r="B3" s="82"/>
      <c r="C3" s="82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C43" sqref="C43"/>
    </sheetView>
  </sheetViews>
  <sheetFormatPr baseColWidth="10" defaultColWidth="11.42578125" defaultRowHeight="15" x14ac:dyDescent="0.25"/>
  <cols>
    <col min="1" max="1" width="13.85546875" style="12" customWidth="1"/>
    <col min="2" max="16384" width="11.42578125" style="12"/>
  </cols>
  <sheetData>
    <row r="1" spans="1:3" x14ac:dyDescent="0.25">
      <c r="A1" s="82" t="s">
        <v>21</v>
      </c>
      <c r="B1" s="82"/>
      <c r="C1" s="82"/>
    </row>
    <row r="2" spans="1:3" x14ac:dyDescent="0.25">
      <c r="A2" s="82"/>
      <c r="B2" s="82"/>
      <c r="C2" s="82"/>
    </row>
    <row r="3" spans="1:3" x14ac:dyDescent="0.25">
      <c r="A3" s="82"/>
      <c r="B3" s="82"/>
      <c r="C3" s="82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zoomScale="85" zoomScaleNormal="85" workbookViewId="0">
      <selection activeCell="R31" sqref="R31"/>
    </sheetView>
  </sheetViews>
  <sheetFormatPr baseColWidth="10" defaultColWidth="8.85546875" defaultRowHeight="15" x14ac:dyDescent="0.25"/>
  <cols>
    <col min="1" max="16384" width="8.85546875" style="3"/>
  </cols>
  <sheetData>
    <row r="16" spans="22:22" x14ac:dyDescent="0.25">
      <c r="V16" s="3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57150</xdr:colOff>
                    <xdr:row>3</xdr:row>
                    <xdr:rowOff>95250</xdr:rowOff>
                  </from>
                  <to>
                    <xdr:col>20</xdr:col>
                    <xdr:colOff>542925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24" zoomScale="85" zoomScaleNormal="85" workbookViewId="0">
      <selection activeCell="E36" sqref="E36"/>
    </sheetView>
  </sheetViews>
  <sheetFormatPr baseColWidth="10" defaultColWidth="9.140625" defaultRowHeight="15" x14ac:dyDescent="0.25"/>
  <cols>
    <col min="1" max="2" width="9.140625" style="3"/>
    <col min="3" max="4" width="13.28515625" style="3" customWidth="1"/>
    <col min="5" max="5" width="15.7109375" style="3" customWidth="1"/>
    <col min="6" max="6" width="17.140625" style="3" customWidth="1"/>
    <col min="7" max="7" width="9.140625" style="3" customWidth="1"/>
    <col min="8" max="9" width="9.140625" style="3"/>
    <col min="10" max="10" width="9" style="3" customWidth="1"/>
    <col min="11" max="16384" width="9.140625" style="3"/>
  </cols>
  <sheetData>
    <row r="1" spans="1:10" x14ac:dyDescent="0.25">
      <c r="A1" s="83" t="s">
        <v>35</v>
      </c>
      <c r="B1" s="83"/>
      <c r="C1" s="83"/>
      <c r="H1" s="83" t="s">
        <v>38</v>
      </c>
      <c r="I1" s="83"/>
      <c r="J1" s="83"/>
    </row>
    <row r="2" spans="1:10" x14ac:dyDescent="0.25">
      <c r="A2" s="83"/>
      <c r="B2" s="83"/>
      <c r="C2" s="83"/>
      <c r="H2" s="83"/>
      <c r="I2" s="83"/>
      <c r="J2" s="83"/>
    </row>
    <row r="3" spans="1:10" x14ac:dyDescent="0.25">
      <c r="A3" s="83"/>
      <c r="B3" s="83"/>
      <c r="C3" s="83"/>
      <c r="H3" s="83"/>
      <c r="I3" s="83"/>
      <c r="J3" s="83"/>
    </row>
    <row r="4" spans="1:10" ht="12.4" customHeight="1" x14ac:dyDescent="0.25">
      <c r="A4" s="7"/>
      <c r="B4" s="7"/>
      <c r="C4" s="7"/>
    </row>
    <row r="5" spans="1:10" ht="16.5" thickBot="1" x14ac:dyDescent="0.3">
      <c r="A5" s="84" t="s">
        <v>37</v>
      </c>
      <c r="B5" s="84"/>
      <c r="C5" s="84"/>
      <c r="D5" s="84"/>
      <c r="E5" s="84"/>
      <c r="F5" s="84"/>
    </row>
    <row r="6" spans="1:10" ht="14.45" customHeight="1" x14ac:dyDescent="0.25">
      <c r="A6" s="87" t="s">
        <v>6</v>
      </c>
      <c r="B6" s="87" t="s">
        <v>7</v>
      </c>
      <c r="C6" s="87" t="s">
        <v>2</v>
      </c>
      <c r="D6" s="87" t="s">
        <v>20</v>
      </c>
      <c r="E6" s="87" t="s">
        <v>8</v>
      </c>
      <c r="F6" s="87" t="s">
        <v>9</v>
      </c>
    </row>
    <row r="7" spans="1:10" ht="14.45" customHeight="1" thickBot="1" x14ac:dyDescent="0.3">
      <c r="A7" s="88"/>
      <c r="B7" s="88"/>
      <c r="C7" s="88"/>
      <c r="D7" s="88"/>
      <c r="E7" s="88"/>
      <c r="F7" s="88"/>
    </row>
    <row r="8" spans="1:10" x14ac:dyDescent="0.25">
      <c r="A8" s="4">
        <f>1</f>
        <v>1</v>
      </c>
      <c r="B8" s="4">
        <v>6.6708878553784512</v>
      </c>
      <c r="C8" s="4">
        <v>0</v>
      </c>
      <c r="D8" s="4">
        <v>8.280822968326218</v>
      </c>
      <c r="E8" s="5">
        <f>IF(D8&lt;&gt;"" &amp; B8&lt;&gt;"",D8-B8,"")</f>
        <v>1.6099351129477668</v>
      </c>
      <c r="F8" s="5">
        <f>IF($E8&lt;&gt;"", $E8*$A8, "")</f>
        <v>1.6099351129477668</v>
      </c>
    </row>
    <row r="9" spans="1:10" x14ac:dyDescent="0.25">
      <c r="A9" s="2">
        <v>5</v>
      </c>
      <c r="B9" s="4">
        <v>8.0823177908755763</v>
      </c>
      <c r="C9" s="2">
        <v>0</v>
      </c>
      <c r="D9" s="4">
        <v>8.280822968326218</v>
      </c>
      <c r="E9" s="5">
        <f t="shared" ref="E9:E56" si="0">IF(D9&lt;&gt;"" &amp; B9&lt;&gt;"",D9-B9,"")</f>
        <v>0.19850517745064167</v>
      </c>
      <c r="F9" s="1">
        <f t="shared" ref="F9:F56" si="1">IF($E9&lt;&gt;"", $E9*$A9, "")</f>
        <v>0.99252588725320834</v>
      </c>
    </row>
    <row r="10" spans="1:10" x14ac:dyDescent="0.25">
      <c r="A10" s="2">
        <v>10</v>
      </c>
      <c r="B10" s="4">
        <v>8.2243918032271512</v>
      </c>
      <c r="C10" s="2">
        <v>1.5625E-2</v>
      </c>
      <c r="D10" s="4">
        <v>8.280822968326218</v>
      </c>
      <c r="E10" s="5">
        <f t="shared" si="0"/>
        <v>5.643116509906676E-2</v>
      </c>
      <c r="F10" s="1">
        <f t="shared" si="1"/>
        <v>0.5643116509906676</v>
      </c>
    </row>
    <row r="11" spans="1:10" x14ac:dyDescent="0.25">
      <c r="A11" s="2">
        <v>20</v>
      </c>
      <c r="B11" s="4">
        <v>8.2756850519386091</v>
      </c>
      <c r="C11" s="2">
        <v>3.90625E-3</v>
      </c>
      <c r="D11" s="4">
        <v>8.280822968326218</v>
      </c>
      <c r="E11" s="5">
        <f t="shared" si="0"/>
        <v>5.1379163876088541E-3</v>
      </c>
      <c r="F11" s="1">
        <f t="shared" si="1"/>
        <v>0.10275832775217708</v>
      </c>
    </row>
    <row r="12" spans="1:10" x14ac:dyDescent="0.25">
      <c r="A12" s="2">
        <v>30</v>
      </c>
      <c r="B12" s="4">
        <v>8.2870378827587334</v>
      </c>
      <c r="C12" s="2">
        <v>3.90625E-3</v>
      </c>
      <c r="D12" s="4">
        <v>8.280822968326218</v>
      </c>
      <c r="E12" s="5">
        <f t="shared" si="0"/>
        <v>-6.2149144325154282E-3</v>
      </c>
      <c r="F12" s="1">
        <f t="shared" si="1"/>
        <v>-0.18644743297546285</v>
      </c>
    </row>
    <row r="13" spans="1:10" x14ac:dyDescent="0.25">
      <c r="A13" s="2">
        <v>50</v>
      </c>
      <c r="B13" s="4">
        <v>8.2917339057349562</v>
      </c>
      <c r="C13" s="2">
        <v>7.8125E-3</v>
      </c>
      <c r="D13" s="4">
        <v>8.280822968326218</v>
      </c>
      <c r="E13" s="5">
        <f t="shared" si="0"/>
        <v>-1.0910937408738164E-2</v>
      </c>
      <c r="F13" s="1">
        <f t="shared" si="1"/>
        <v>-0.54554687043690819</v>
      </c>
    </row>
    <row r="14" spans="1:10" x14ac:dyDescent="0.25">
      <c r="A14" s="2">
        <v>75</v>
      </c>
      <c r="B14" s="4">
        <v>8.2913172499047239</v>
      </c>
      <c r="C14" s="2">
        <v>1.953125E-2</v>
      </c>
      <c r="D14" s="4">
        <v>8.280822968326218</v>
      </c>
      <c r="E14" s="5">
        <f t="shared" si="0"/>
        <v>-1.0494281578505849E-2</v>
      </c>
      <c r="F14" s="1">
        <f t="shared" si="1"/>
        <v>-0.78707111838793864</v>
      </c>
    </row>
    <row r="15" spans="1:10" x14ac:dyDescent="0.25">
      <c r="A15" s="2">
        <v>100</v>
      </c>
      <c r="B15" s="4">
        <v>8.2898402820699886</v>
      </c>
      <c r="C15" s="2">
        <v>3.125E-2</v>
      </c>
      <c r="D15" s="4">
        <v>8.280822968326218</v>
      </c>
      <c r="E15" s="5">
        <f t="shared" si="0"/>
        <v>-9.0173137437705719E-3</v>
      </c>
      <c r="F15" s="1">
        <f t="shared" si="1"/>
        <v>-0.90173137437705719</v>
      </c>
    </row>
    <row r="16" spans="1:10" x14ac:dyDescent="0.25">
      <c r="A16" s="2">
        <v>125</v>
      </c>
      <c r="B16" s="4">
        <v>8.2883086669381107</v>
      </c>
      <c r="C16" s="2">
        <v>3.90625E-2</v>
      </c>
      <c r="D16" s="4">
        <v>8.280822968326218</v>
      </c>
      <c r="E16" s="5">
        <f t="shared" si="0"/>
        <v>-7.4856986118927438E-3</v>
      </c>
      <c r="F16" s="1">
        <f t="shared" si="1"/>
        <v>-0.93571232648659297</v>
      </c>
    </row>
    <row r="17" spans="1:10" x14ac:dyDescent="0.25">
      <c r="A17" s="2">
        <f>A16+25</f>
        <v>150</v>
      </c>
      <c r="B17" s="4">
        <v>8.2869054142532175</v>
      </c>
      <c r="C17" s="2">
        <v>6.640625E-2</v>
      </c>
      <c r="D17" s="4">
        <v>8.280822968326218</v>
      </c>
      <c r="E17" s="5">
        <f t="shared" si="0"/>
        <v>-6.0824459269994691E-3</v>
      </c>
      <c r="F17" s="1">
        <f t="shared" si="1"/>
        <v>-0.91236688904992036</v>
      </c>
    </row>
    <row r="18" spans="1:10" x14ac:dyDescent="0.25">
      <c r="A18" s="2">
        <f t="shared" ref="A18:A31" si="2">A17+25</f>
        <v>175</v>
      </c>
      <c r="B18" s="4">
        <v>8.2856551986719911</v>
      </c>
      <c r="C18" s="2">
        <v>7.03125E-2</v>
      </c>
      <c r="D18" s="4">
        <v>8.280822968326218</v>
      </c>
      <c r="E18" s="5">
        <f t="shared" si="0"/>
        <v>-4.8322303457730698E-3</v>
      </c>
      <c r="F18" s="1">
        <f t="shared" si="1"/>
        <v>-0.84564031051028721</v>
      </c>
    </row>
    <row r="19" spans="1:10" ht="14.45" customHeight="1" x14ac:dyDescent="0.25">
      <c r="A19" s="2">
        <f t="shared" si="2"/>
        <v>200</v>
      </c>
      <c r="B19" s="4">
        <v>8.2845460566813056</v>
      </c>
      <c r="C19" s="2">
        <v>8.59375E-2</v>
      </c>
      <c r="D19" s="4">
        <v>8.280822968326218</v>
      </c>
      <c r="E19" s="5">
        <f t="shared" si="0"/>
        <v>-3.7230883550876115E-3</v>
      </c>
      <c r="F19" s="1">
        <f t="shared" si="1"/>
        <v>-0.7446176710175223</v>
      </c>
    </row>
    <row r="20" spans="1:10" ht="14.45" customHeight="1" x14ac:dyDescent="0.25">
      <c r="A20" s="2">
        <f t="shared" si="2"/>
        <v>225</v>
      </c>
      <c r="B20" s="4">
        <v>8.2835593483487688</v>
      </c>
      <c r="C20" s="2">
        <v>9.375E-2</v>
      </c>
      <c r="D20" s="4">
        <v>8.280822968326218</v>
      </c>
      <c r="E20" s="5">
        <f t="shared" si="0"/>
        <v>-2.7363800225508328E-3</v>
      </c>
      <c r="F20" s="1">
        <f t="shared" si="1"/>
        <v>-0.61568550507393738</v>
      </c>
    </row>
    <row r="21" spans="1:10" ht="15" customHeight="1" x14ac:dyDescent="0.25">
      <c r="A21" s="2">
        <f>A20+25</f>
        <v>250</v>
      </c>
      <c r="B21" s="4">
        <v>8.2826749208012096</v>
      </c>
      <c r="C21" s="2">
        <v>0.125</v>
      </c>
      <c r="D21" s="4">
        <v>8.280822968326218</v>
      </c>
      <c r="E21" s="5">
        <f t="shared" si="0"/>
        <v>-1.8519524749915917E-3</v>
      </c>
      <c r="F21" s="1">
        <f>IF($E21&lt;&gt;"", $E21*$A21, "")</f>
        <v>-0.46298811874789791</v>
      </c>
    </row>
    <row r="22" spans="1:10" x14ac:dyDescent="0.25">
      <c r="A22" s="2">
        <f>A21+25</f>
        <v>275</v>
      </c>
      <c r="B22" s="4">
        <v>8.2818790633374313</v>
      </c>
      <c r="C22" s="2">
        <v>0.14453125</v>
      </c>
      <c r="D22" s="4">
        <v>8.280822968326218</v>
      </c>
      <c r="E22" s="5">
        <f t="shared" si="0"/>
        <v>-1.0560950112132872E-3</v>
      </c>
      <c r="F22" s="1">
        <f t="shared" si="1"/>
        <v>-0.29042612808365398</v>
      </c>
    </row>
    <row r="23" spans="1:10" x14ac:dyDescent="0.25">
      <c r="A23" s="2">
        <f t="shared" si="2"/>
        <v>300</v>
      </c>
      <c r="B23" s="4">
        <v>8.2811575999934615</v>
      </c>
      <c r="C23" s="2">
        <v>0.1484375</v>
      </c>
      <c r="D23" s="4">
        <v>8.280822968326218</v>
      </c>
      <c r="E23" s="5">
        <f t="shared" si="0"/>
        <v>-3.3463166724345683E-4</v>
      </c>
      <c r="F23" s="1">
        <f t="shared" si="1"/>
        <v>-0.10038950017303705</v>
      </c>
    </row>
    <row r="24" spans="1:10" x14ac:dyDescent="0.25">
      <c r="A24" s="2">
        <f t="shared" si="2"/>
        <v>325</v>
      </c>
      <c r="B24" s="4">
        <v>8.2805002611490313</v>
      </c>
      <c r="C24" s="2">
        <v>0.171875</v>
      </c>
      <c r="D24" s="4">
        <v>8.280822968326218</v>
      </c>
      <c r="E24" s="5">
        <f t="shared" si="0"/>
        <v>3.2270717718674291E-4</v>
      </c>
      <c r="F24" s="1">
        <f t="shared" si="1"/>
        <v>0.10487983258569145</v>
      </c>
    </row>
    <row r="25" spans="1:10" x14ac:dyDescent="0.25">
      <c r="A25" s="2">
        <f t="shared" si="2"/>
        <v>350</v>
      </c>
      <c r="B25" s="4">
        <v>8.2798986069773335</v>
      </c>
      <c r="C25" s="2">
        <v>0.1875</v>
      </c>
      <c r="D25" s="4">
        <v>8.280822968326218</v>
      </c>
      <c r="E25" s="5">
        <f t="shared" si="0"/>
        <v>9.2436134888451704E-4</v>
      </c>
      <c r="F25" s="1">
        <f t="shared" si="1"/>
        <v>0.32352647210958096</v>
      </c>
    </row>
    <row r="26" spans="1:10" x14ac:dyDescent="0.25">
      <c r="A26" s="2">
        <f t="shared" si="2"/>
        <v>375</v>
      </c>
      <c r="B26" s="4">
        <v>8.2793451052809388</v>
      </c>
      <c r="C26" s="2">
        <v>0.22265625</v>
      </c>
      <c r="D26" s="4">
        <v>8.280822968326218</v>
      </c>
      <c r="E26" s="5">
        <f t="shared" si="0"/>
        <v>1.477863045279193E-3</v>
      </c>
      <c r="F26" s="1">
        <f t="shared" si="1"/>
        <v>0.55419864197969737</v>
      </c>
    </row>
    <row r="27" spans="1:10" x14ac:dyDescent="0.25">
      <c r="A27" s="2">
        <f t="shared" si="2"/>
        <v>400</v>
      </c>
      <c r="B27" s="4">
        <v>8.2788324984013748</v>
      </c>
      <c r="C27" s="2">
        <v>0.25390625</v>
      </c>
      <c r="D27" s="4">
        <v>8.280822968326218</v>
      </c>
      <c r="E27" s="5">
        <f t="shared" si="0"/>
        <v>1.9904699248431967E-3</v>
      </c>
      <c r="F27" s="1">
        <f t="shared" si="1"/>
        <v>0.79618796993727869</v>
      </c>
    </row>
    <row r="28" spans="1:10" x14ac:dyDescent="0.25">
      <c r="A28" s="2">
        <f t="shared" si="2"/>
        <v>425</v>
      </c>
      <c r="B28" s="4">
        <v>8.2783570602199479</v>
      </c>
      <c r="C28" s="2">
        <v>0.26953125</v>
      </c>
      <c r="D28" s="4">
        <v>8.280822968326218</v>
      </c>
      <c r="E28" s="5">
        <f t="shared" si="0"/>
        <v>2.4659081062701205E-3</v>
      </c>
      <c r="F28" s="1">
        <f t="shared" si="1"/>
        <v>1.0480109451648012</v>
      </c>
    </row>
    <row r="29" spans="1:10" x14ac:dyDescent="0.25">
      <c r="A29" s="2">
        <f t="shared" si="2"/>
        <v>450</v>
      </c>
      <c r="B29" s="4">
        <v>8.2779143948831582</v>
      </c>
      <c r="C29" s="2">
        <v>0.2890625</v>
      </c>
      <c r="D29" s="4">
        <v>8.280822968326218</v>
      </c>
      <c r="E29" s="5">
        <f t="shared" si="0"/>
        <v>2.9085734430598364E-3</v>
      </c>
      <c r="F29" s="1">
        <f t="shared" si="1"/>
        <v>1.3088580493769264</v>
      </c>
    </row>
    <row r="30" spans="1:10" x14ac:dyDescent="0.25">
      <c r="A30" s="2">
        <f t="shared" si="2"/>
        <v>475</v>
      </c>
      <c r="B30" s="4">
        <v>8.2775011851181866</v>
      </c>
      <c r="C30" s="2">
        <v>0.3125</v>
      </c>
      <c r="D30" s="4">
        <v>8.280822968326218</v>
      </c>
      <c r="E30" s="5">
        <f t="shared" si="0"/>
        <v>3.321783208031448E-3</v>
      </c>
      <c r="F30" s="1">
        <f t="shared" si="1"/>
        <v>1.5778470238149378</v>
      </c>
    </row>
    <row r="31" spans="1:10" x14ac:dyDescent="0.25">
      <c r="A31" s="2">
        <f t="shared" si="2"/>
        <v>500</v>
      </c>
      <c r="B31" s="4">
        <v>8.2771121016200997</v>
      </c>
      <c r="C31" s="2">
        <v>0.33984375</v>
      </c>
      <c r="D31" s="4">
        <v>8.280822968326218</v>
      </c>
      <c r="E31" s="5">
        <f t="shared" si="0"/>
        <v>3.7108667061183098E-3</v>
      </c>
      <c r="F31" s="1">
        <f t="shared" si="1"/>
        <v>1.8554333530591549</v>
      </c>
    </row>
    <row r="32" spans="1:10" x14ac:dyDescent="0.25">
      <c r="A32" s="2">
        <f>A31+50</f>
        <v>550</v>
      </c>
      <c r="B32" s="4">
        <v>8.278280627731645</v>
      </c>
      <c r="C32" s="2">
        <v>0.3828125</v>
      </c>
      <c r="D32" s="4">
        <v>8.280822968326218</v>
      </c>
      <c r="E32" s="5">
        <f t="shared" si="0"/>
        <v>2.5423405945730337E-3</v>
      </c>
      <c r="F32" s="1">
        <f t="shared" si="1"/>
        <v>1.3982873270151686</v>
      </c>
      <c r="H32" s="83" t="s">
        <v>39</v>
      </c>
      <c r="I32" s="83"/>
      <c r="J32" s="83"/>
    </row>
    <row r="33" spans="1:15" x14ac:dyDescent="0.25">
      <c r="A33" s="2">
        <f t="shared" ref="A33:A41" si="3">A32+50</f>
        <v>600</v>
      </c>
      <c r="B33" s="4">
        <v>8.2792340292222608</v>
      </c>
      <c r="C33" s="2">
        <v>0.4375</v>
      </c>
      <c r="D33" s="4">
        <v>8.280822968326218</v>
      </c>
      <c r="E33" s="5">
        <f t="shared" si="0"/>
        <v>1.5889391039571876E-3</v>
      </c>
      <c r="F33" s="1">
        <f t="shared" si="1"/>
        <v>0.95336346237431258</v>
      </c>
      <c r="H33" s="83"/>
      <c r="I33" s="83"/>
      <c r="J33" s="83"/>
      <c r="K33" s="85" t="s">
        <v>40</v>
      </c>
      <c r="L33" s="86"/>
      <c r="M33" s="86"/>
      <c r="N33" s="86"/>
      <c r="O33" s="86"/>
    </row>
    <row r="34" spans="1:15" x14ac:dyDescent="0.25">
      <c r="A34" s="2">
        <f t="shared" si="3"/>
        <v>650</v>
      </c>
      <c r="B34" s="4">
        <v>8.2799429743084811</v>
      </c>
      <c r="C34" s="2">
        <v>0.48828125</v>
      </c>
      <c r="D34" s="4">
        <v>8.280822968326218</v>
      </c>
      <c r="E34" s="5">
        <f t="shared" si="0"/>
        <v>8.7999401773686259E-4</v>
      </c>
      <c r="F34" s="1">
        <f t="shared" si="1"/>
        <v>0.57199611152896068</v>
      </c>
      <c r="H34" s="83"/>
      <c r="I34" s="83"/>
      <c r="J34" s="83"/>
    </row>
    <row r="35" spans="1:15" x14ac:dyDescent="0.25">
      <c r="A35" s="2">
        <f t="shared" si="3"/>
        <v>700</v>
      </c>
      <c r="B35" s="4">
        <v>8.2804673406733436</v>
      </c>
      <c r="C35" s="2">
        <v>0.55078125</v>
      </c>
      <c r="D35" s="4">
        <v>8.280822968326218</v>
      </c>
      <c r="E35" s="5">
        <f t="shared" si="0"/>
        <v>3.556276528744462E-4</v>
      </c>
      <c r="F35" s="1">
        <f t="shared" si="1"/>
        <v>0.24893935701211234</v>
      </c>
      <c r="H35" s="3" t="s">
        <v>50</v>
      </c>
    </row>
    <row r="36" spans="1:15" x14ac:dyDescent="0.25">
      <c r="A36" s="2">
        <f t="shared" si="3"/>
        <v>750</v>
      </c>
      <c r="B36" s="4">
        <v>8.2808544721972464</v>
      </c>
      <c r="C36" s="2">
        <v>0.609375</v>
      </c>
      <c r="D36" s="4">
        <v>8.280822968326218</v>
      </c>
      <c r="E36" s="5">
        <f t="shared" si="0"/>
        <v>-3.150387102834884E-5</v>
      </c>
      <c r="F36" s="1">
        <f t="shared" si="1"/>
        <v>-2.362790327126163E-2</v>
      </c>
    </row>
    <row r="37" spans="1:15" x14ac:dyDescent="0.25">
      <c r="A37" s="2">
        <f t="shared" si="3"/>
        <v>800</v>
      </c>
      <c r="B37" s="4">
        <v>8.2811355728208191</v>
      </c>
      <c r="C37" s="2">
        <v>0.66796875</v>
      </c>
      <c r="D37" s="4">
        <v>8.280822968326218</v>
      </c>
      <c r="E37" s="5">
        <f t="shared" si="0"/>
        <v>-3.1260449460113193E-4</v>
      </c>
      <c r="F37" s="1">
        <f t="shared" si="1"/>
        <v>-0.25008359568090555</v>
      </c>
    </row>
    <row r="38" spans="1:15" x14ac:dyDescent="0.25">
      <c r="A38" s="2">
        <f t="shared" si="3"/>
        <v>850</v>
      </c>
      <c r="B38" s="4">
        <v>8.2813344011572383</v>
      </c>
      <c r="C38" s="2">
        <v>0.7421875</v>
      </c>
      <c r="D38" s="4">
        <v>8.280822968326218</v>
      </c>
      <c r="E38" s="5">
        <f t="shared" si="0"/>
        <v>-5.1143283102028647E-4</v>
      </c>
      <c r="F38" s="1">
        <f t="shared" si="1"/>
        <v>-0.4347179063672435</v>
      </c>
    </row>
    <row r="39" spans="1:15" x14ac:dyDescent="0.25">
      <c r="A39" s="2">
        <f t="shared" si="3"/>
        <v>900</v>
      </c>
      <c r="B39" s="4">
        <v>8.281467780693692</v>
      </c>
      <c r="C39" s="2">
        <v>0.84375</v>
      </c>
      <c r="D39" s="4">
        <v>8.280822968326218</v>
      </c>
      <c r="E39" s="5">
        <f t="shared" si="0"/>
        <v>-6.448123674740458E-4</v>
      </c>
      <c r="F39" s="1">
        <f t="shared" si="1"/>
        <v>-0.58033113072664122</v>
      </c>
    </row>
    <row r="40" spans="1:15" x14ac:dyDescent="0.25">
      <c r="A40" s="2">
        <f>A39+50</f>
        <v>950</v>
      </c>
      <c r="B40" s="4">
        <v>8.2815510659222848</v>
      </c>
      <c r="C40" s="2">
        <v>0.9375</v>
      </c>
      <c r="D40" s="4">
        <v>8.280822968326218</v>
      </c>
      <c r="E40" s="5">
        <f t="shared" si="0"/>
        <v>-7.2809759606684565E-4</v>
      </c>
      <c r="F40" s="1">
        <f t="shared" si="1"/>
        <v>-0.69169271626350337</v>
      </c>
    </row>
    <row r="41" spans="1:15" x14ac:dyDescent="0.25">
      <c r="A41" s="2">
        <f t="shared" si="3"/>
        <v>1000</v>
      </c>
      <c r="B41" s="4">
        <v>8.2815925319382213</v>
      </c>
      <c r="C41" s="2">
        <v>0.984375</v>
      </c>
      <c r="D41" s="4">
        <v>8.280822968326218</v>
      </c>
      <c r="E41" s="5">
        <f t="shared" si="0"/>
        <v>-7.6956361200331003E-4</v>
      </c>
      <c r="F41" s="1">
        <f t="shared" si="1"/>
        <v>-0.76956361200331003</v>
      </c>
    </row>
    <row r="42" spans="1:15" x14ac:dyDescent="0.25">
      <c r="A42" s="2">
        <f>A41+100</f>
        <v>1100</v>
      </c>
      <c r="B42" s="4">
        <v>8.2815842913366264</v>
      </c>
      <c r="C42" s="2">
        <v>1.10546875</v>
      </c>
      <c r="D42" s="4">
        <v>8.280822968326218</v>
      </c>
      <c r="E42" s="5">
        <f t="shared" si="0"/>
        <v>-7.6132301040843231E-4</v>
      </c>
      <c r="F42" s="1">
        <f t="shared" si="1"/>
        <v>-0.83745531144927554</v>
      </c>
    </row>
    <row r="43" spans="1:15" x14ac:dyDescent="0.25">
      <c r="A43" s="2">
        <f t="shared" ref="A43:A56" si="4">A42+100</f>
        <v>1200</v>
      </c>
      <c r="B43" s="4">
        <v>8.2814884634375741</v>
      </c>
      <c r="C43" s="2">
        <v>1.2734375</v>
      </c>
      <c r="D43" s="4">
        <v>8.280822968326218</v>
      </c>
      <c r="E43" s="5">
        <f t="shared" si="0"/>
        <v>-6.6549511135605144E-4</v>
      </c>
      <c r="F43" s="1">
        <f t="shared" si="1"/>
        <v>-0.79859413362726173</v>
      </c>
    </row>
    <row r="44" spans="1:15" x14ac:dyDescent="0.25">
      <c r="A44" s="2">
        <f t="shared" si="4"/>
        <v>1300</v>
      </c>
      <c r="B44" s="4">
        <v>8.2813377792616301</v>
      </c>
      <c r="C44" s="2">
        <v>1.5</v>
      </c>
      <c r="D44" s="4">
        <v>8.280822968326218</v>
      </c>
      <c r="E44" s="5">
        <f t="shared" si="0"/>
        <v>-5.148109354120578E-4</v>
      </c>
      <c r="F44" s="1">
        <f t="shared" si="1"/>
        <v>-0.66925421603567514</v>
      </c>
    </row>
    <row r="45" spans="1:15" x14ac:dyDescent="0.25">
      <c r="A45" s="2">
        <f t="shared" si="4"/>
        <v>1400</v>
      </c>
      <c r="B45" s="4">
        <v>8.2811464162281752</v>
      </c>
      <c r="C45" s="2">
        <v>1.55078125</v>
      </c>
      <c r="D45" s="4">
        <v>8.280822968326218</v>
      </c>
      <c r="E45" s="5">
        <f t="shared" si="0"/>
        <v>-3.2344790195715234E-4</v>
      </c>
      <c r="F45" s="1">
        <f t="shared" si="1"/>
        <v>-0.45282706274001328</v>
      </c>
    </row>
    <row r="46" spans="1:15" x14ac:dyDescent="0.25">
      <c r="A46" s="2">
        <f t="shared" si="4"/>
        <v>1500</v>
      </c>
      <c r="B46" s="4">
        <v>8.2809351202195085</v>
      </c>
      <c r="C46" s="2">
        <v>1.66015625</v>
      </c>
      <c r="D46" s="4">
        <v>8.280822968326218</v>
      </c>
      <c r="E46" s="5">
        <f t="shared" si="0"/>
        <v>-1.121518932905019E-4</v>
      </c>
      <c r="F46" s="1">
        <f t="shared" si="1"/>
        <v>-0.16822783993575285</v>
      </c>
    </row>
    <row r="47" spans="1:15" x14ac:dyDescent="0.25">
      <c r="A47" s="2">
        <f t="shared" si="4"/>
        <v>1600</v>
      </c>
      <c r="B47" s="4">
        <v>8.2807066724992691</v>
      </c>
      <c r="C47" s="2">
        <v>2</v>
      </c>
      <c r="D47" s="4">
        <v>8.280822968326218</v>
      </c>
      <c r="E47" s="5">
        <f t="shared" si="0"/>
        <v>1.1629582694894225E-4</v>
      </c>
      <c r="F47" s="1">
        <f t="shared" si="1"/>
        <v>0.1860733231183076</v>
      </c>
    </row>
    <row r="48" spans="1:15" x14ac:dyDescent="0.25">
      <c r="A48" s="2">
        <f t="shared" si="4"/>
        <v>1700</v>
      </c>
      <c r="B48" s="4">
        <v>8.2804690898514774</v>
      </c>
      <c r="C48" s="2">
        <v>2.5859375</v>
      </c>
      <c r="D48" s="4">
        <v>8.280822968326218</v>
      </c>
      <c r="E48" s="5">
        <f t="shared" si="0"/>
        <v>3.5387847474055434E-4</v>
      </c>
      <c r="F48" s="1">
        <f t="shared" si="1"/>
        <v>0.60159340705894238</v>
      </c>
    </row>
    <row r="49" spans="1:6" x14ac:dyDescent="0.25">
      <c r="A49" s="2">
        <f t="shared" si="4"/>
        <v>1800</v>
      </c>
      <c r="B49" s="4">
        <v>8.2802262780156219</v>
      </c>
      <c r="C49" s="2">
        <v>2.515625</v>
      </c>
      <c r="D49" s="4">
        <v>8.280822968326218</v>
      </c>
      <c r="E49" s="5">
        <f t="shared" si="0"/>
        <v>5.966903105960597E-4</v>
      </c>
      <c r="F49" s="1">
        <f t="shared" si="1"/>
        <v>1.0740425590729075</v>
      </c>
    </row>
    <row r="50" spans="1:6" x14ac:dyDescent="0.25">
      <c r="A50" s="2">
        <f t="shared" si="4"/>
        <v>1900</v>
      </c>
      <c r="B50" s="2">
        <v>8.2799839558016046</v>
      </c>
      <c r="C50" s="2">
        <v>3.078125</v>
      </c>
      <c r="D50" s="4">
        <v>8.280822968326218</v>
      </c>
      <c r="E50" s="5">
        <f t="shared" si="0"/>
        <v>8.3901252461338061E-4</v>
      </c>
      <c r="F50" s="1">
        <f t="shared" si="1"/>
        <v>1.5941237967654232</v>
      </c>
    </row>
    <row r="51" spans="1:6" x14ac:dyDescent="0.25">
      <c r="A51" s="2">
        <f t="shared" si="4"/>
        <v>2000</v>
      </c>
      <c r="B51" s="2">
        <v>8.2797401600079148</v>
      </c>
      <c r="C51" s="2">
        <v>3.8203125</v>
      </c>
      <c r="D51" s="4">
        <v>8.280822968326218</v>
      </c>
      <c r="E51" s="5">
        <f t="shared" si="0"/>
        <v>1.0828083183032078E-3</v>
      </c>
      <c r="F51" s="1">
        <f t="shared" si="1"/>
        <v>2.1656166366064156</v>
      </c>
    </row>
    <row r="52" spans="1:6" x14ac:dyDescent="0.25">
      <c r="A52" s="2">
        <f t="shared" si="4"/>
        <v>2100</v>
      </c>
      <c r="B52" s="2">
        <v>8.2799676081270164</v>
      </c>
      <c r="C52" s="2">
        <v>3.4765625</v>
      </c>
      <c r="D52" s="4">
        <v>8.280822968326218</v>
      </c>
      <c r="E52" s="5">
        <f t="shared" si="0"/>
        <v>8.5536019920162687E-4</v>
      </c>
      <c r="F52" s="1">
        <f t="shared" si="1"/>
        <v>1.7962564183234164</v>
      </c>
    </row>
    <row r="53" spans="1:6" x14ac:dyDescent="0.25">
      <c r="A53" s="2">
        <f t="shared" si="4"/>
        <v>2200</v>
      </c>
      <c r="B53" s="2">
        <v>8.2801986175162945</v>
      </c>
      <c r="C53" s="2">
        <v>3.53515625</v>
      </c>
      <c r="D53" s="4">
        <v>8.280822968326218</v>
      </c>
      <c r="E53" s="5">
        <f t="shared" si="0"/>
        <v>6.2435080992351288E-4</v>
      </c>
      <c r="F53" s="1">
        <f t="shared" si="1"/>
        <v>1.3735717818317283</v>
      </c>
    </row>
    <row r="54" spans="1:6" x14ac:dyDescent="0.25">
      <c r="A54" s="2">
        <f t="shared" si="4"/>
        <v>2300</v>
      </c>
      <c r="B54" s="2">
        <v>8.2803816493856388</v>
      </c>
      <c r="C54" s="2">
        <v>5.84765625</v>
      </c>
      <c r="D54" s="4">
        <v>8.280822968326218</v>
      </c>
      <c r="E54" s="5">
        <f t="shared" si="0"/>
        <v>4.4131894057919396E-4</v>
      </c>
      <c r="F54" s="1">
        <f t="shared" si="1"/>
        <v>1.0150335633321461</v>
      </c>
    </row>
    <row r="55" spans="1:6" x14ac:dyDescent="0.25">
      <c r="A55" s="2">
        <f t="shared" si="4"/>
        <v>2400</v>
      </c>
      <c r="B55" s="2">
        <v>8.2805270746438673</v>
      </c>
      <c r="C55" s="2">
        <v>7.3125</v>
      </c>
      <c r="D55" s="4">
        <v>8.280822968326218</v>
      </c>
      <c r="E55" s="5">
        <f t="shared" si="0"/>
        <v>2.95893682350723E-4</v>
      </c>
      <c r="F55" s="1">
        <f t="shared" si="1"/>
        <v>0.71014483764173519</v>
      </c>
    </row>
    <row r="56" spans="1:6" x14ac:dyDescent="0.25">
      <c r="A56" s="2">
        <f t="shared" si="4"/>
        <v>2500</v>
      </c>
      <c r="B56" s="2">
        <v>8.280638401097983</v>
      </c>
      <c r="C56" s="2">
        <v>7.515625</v>
      </c>
      <c r="D56" s="4">
        <v>8.280822968326218</v>
      </c>
      <c r="E56" s="5">
        <f t="shared" si="0"/>
        <v>1.8456722823501082E-4</v>
      </c>
      <c r="F56" s="1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400050</xdr:colOff>
                    <xdr:row>31</xdr:row>
                    <xdr:rowOff>19050</xdr:rowOff>
                  </from>
                  <to>
                    <xdr:col>19</xdr:col>
                    <xdr:colOff>257175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baseColWidth="10" defaultColWidth="9" defaultRowHeight="15" x14ac:dyDescent="0.25"/>
  <cols>
    <col min="1" max="1" width="16" style="3" customWidth="1"/>
    <col min="2" max="2" width="14.7109375" style="3" customWidth="1"/>
    <col min="3" max="3" width="13" style="3" customWidth="1"/>
    <col min="4" max="4" width="15.140625" style="3" customWidth="1"/>
    <col min="5" max="5" width="15.42578125" style="3" customWidth="1"/>
    <col min="6" max="6" width="15.140625" style="3" customWidth="1"/>
    <col min="7" max="16384" width="9" style="3"/>
  </cols>
  <sheetData>
    <row r="1" spans="1:8" x14ac:dyDescent="0.25">
      <c r="A1" s="89" t="s">
        <v>42</v>
      </c>
      <c r="B1" s="89"/>
      <c r="C1" s="89"/>
    </row>
    <row r="2" spans="1:8" x14ac:dyDescent="0.25">
      <c r="A2" s="89"/>
      <c r="B2" s="89"/>
      <c r="C2" s="89"/>
    </row>
    <row r="3" spans="1:8" x14ac:dyDescent="0.25">
      <c r="A3" s="89"/>
      <c r="B3" s="89"/>
      <c r="C3" s="89"/>
    </row>
    <row r="4" spans="1:8" x14ac:dyDescent="0.25">
      <c r="H4" s="13"/>
    </row>
    <row r="5" spans="1:8" ht="16.5" thickBot="1" x14ac:dyDescent="0.3">
      <c r="A5" s="84" t="s">
        <v>37</v>
      </c>
      <c r="B5" s="84"/>
      <c r="C5" s="84"/>
      <c r="D5" s="84"/>
      <c r="E5" s="84"/>
      <c r="F5" s="84"/>
    </row>
    <row r="6" spans="1:8" ht="27.75" customHeight="1" x14ac:dyDescent="0.25">
      <c r="A6" s="8" t="s">
        <v>14</v>
      </c>
      <c r="B6" s="8" t="s">
        <v>30</v>
      </c>
      <c r="C6" s="8" t="s">
        <v>31</v>
      </c>
      <c r="D6" s="8" t="s">
        <v>43</v>
      </c>
      <c r="E6" s="8" t="s">
        <v>44</v>
      </c>
      <c r="F6" s="8" t="s">
        <v>45</v>
      </c>
    </row>
    <row r="7" spans="1:8" x14ac:dyDescent="0.25">
      <c r="A7" s="10">
        <v>85</v>
      </c>
      <c r="B7" s="11">
        <v>18.537831183939122</v>
      </c>
      <c r="C7" s="9">
        <v>18.557453520816349</v>
      </c>
      <c r="D7" s="9"/>
      <c r="E7" s="9"/>
      <c r="F7" s="9">
        <f t="shared" ref="F7:F37" si="0">B7-C7</f>
        <v>-1.9622336877226587E-2</v>
      </c>
    </row>
    <row r="8" spans="1:8" x14ac:dyDescent="0.25">
      <c r="A8" s="10">
        <v>86</v>
      </c>
      <c r="B8" s="11">
        <v>17.775688155512995</v>
      </c>
      <c r="C8" s="9">
        <v>17.772753824089548</v>
      </c>
      <c r="D8" s="9">
        <f t="shared" ref="D8:D37" si="1">(B8-B7)/(A8-A7)</f>
        <v>-0.76214302842612724</v>
      </c>
      <c r="E8" s="9">
        <f t="shared" ref="E8:E37" si="2">(C8-C7)/(A8-A7)</f>
        <v>-0.78469969672680051</v>
      </c>
      <c r="F8" s="9">
        <f t="shared" si="0"/>
        <v>2.9343314234466789E-3</v>
      </c>
    </row>
    <row r="9" spans="1:8" x14ac:dyDescent="0.25">
      <c r="A9" s="10">
        <v>87</v>
      </c>
      <c r="B9" s="11">
        <v>17.017040564180359</v>
      </c>
      <c r="C9" s="9">
        <v>17.004944224057656</v>
      </c>
      <c r="D9" s="9">
        <f t="shared" si="1"/>
        <v>-0.75864759133263604</v>
      </c>
      <c r="E9" s="9">
        <f t="shared" si="2"/>
        <v>-0.76780960003189236</v>
      </c>
      <c r="F9" s="9">
        <f t="shared" si="0"/>
        <v>1.2096340122702998E-2</v>
      </c>
    </row>
    <row r="10" spans="1:8" x14ac:dyDescent="0.25">
      <c r="A10" s="10">
        <v>88</v>
      </c>
      <c r="B10" s="11">
        <v>16.258392972847737</v>
      </c>
      <c r="C10" s="9">
        <v>16.254657341687196</v>
      </c>
      <c r="D10" s="9">
        <f t="shared" si="1"/>
        <v>-0.75864759133262183</v>
      </c>
      <c r="E10" s="9">
        <f t="shared" si="2"/>
        <v>-0.75028688237046026</v>
      </c>
      <c r="F10" s="9">
        <f t="shared" si="0"/>
        <v>3.7356311605414305E-3</v>
      </c>
    </row>
    <row r="11" spans="1:8" x14ac:dyDescent="0.25">
      <c r="A11" s="10">
        <v>89</v>
      </c>
      <c r="B11" s="11">
        <v>15.499745381515105</v>
      </c>
      <c r="C11" s="9">
        <v>15.522476166772192</v>
      </c>
      <c r="D11" s="9">
        <f t="shared" si="1"/>
        <v>-0.75864759133263249</v>
      </c>
      <c r="E11" s="9">
        <f t="shared" si="2"/>
        <v>-0.73218117491500401</v>
      </c>
      <c r="F11" s="9">
        <f t="shared" si="0"/>
        <v>-2.2730785257087049E-2</v>
      </c>
    </row>
    <row r="12" spans="1:8" x14ac:dyDescent="0.25">
      <c r="A12" s="10">
        <v>90</v>
      </c>
      <c r="B12" s="11">
        <v>14.809890283291388</v>
      </c>
      <c r="C12" s="9">
        <v>14.808930082533323</v>
      </c>
      <c r="D12" s="9">
        <f t="shared" si="1"/>
        <v>-0.68985509822371682</v>
      </c>
      <c r="E12" s="9">
        <f t="shared" si="2"/>
        <v>-0.71354608423886923</v>
      </c>
      <c r="F12" s="9">
        <f t="shared" si="0"/>
        <v>9.6020075806535488E-4</v>
      </c>
    </row>
    <row r="13" spans="1:8" x14ac:dyDescent="0.25">
      <c r="A13" s="10">
        <v>91</v>
      </c>
      <c r="B13" s="11">
        <v>14.128942815622574</v>
      </c>
      <c r="C13" s="9">
        <v>14.11449152425075</v>
      </c>
      <c r="D13" s="9">
        <f t="shared" si="1"/>
        <v>-0.68094746766881364</v>
      </c>
      <c r="E13" s="9">
        <f t="shared" si="2"/>
        <v>-0.69443855828257206</v>
      </c>
      <c r="F13" s="9">
        <f t="shared" si="0"/>
        <v>1.4451291371823771E-2</v>
      </c>
    </row>
    <row r="14" spans="1:8" x14ac:dyDescent="0.25">
      <c r="A14" s="10">
        <v>92</v>
      </c>
      <c r="B14" s="11">
        <v>13.447995347953755</v>
      </c>
      <c r="C14" s="9">
        <v>13.439573293972</v>
      </c>
      <c r="D14" s="9">
        <f t="shared" si="1"/>
        <v>-0.68094746766881897</v>
      </c>
      <c r="E14" s="9">
        <f t="shared" si="2"/>
        <v>-0.67491823027875064</v>
      </c>
      <c r="F14" s="9">
        <f t="shared" si="0"/>
        <v>8.4220539817554396E-3</v>
      </c>
    </row>
    <row r="15" spans="1:8" x14ac:dyDescent="0.25">
      <c r="A15" s="10">
        <v>93</v>
      </c>
      <c r="B15" s="11">
        <v>12.767047880284938</v>
      </c>
      <c r="C15" s="9">
        <v>12.784526540860206</v>
      </c>
      <c r="D15" s="9">
        <f t="shared" si="1"/>
        <v>-0.6809474676688172</v>
      </c>
      <c r="E15" s="9">
        <f t="shared" si="2"/>
        <v>-0.65504675311179383</v>
      </c>
      <c r="F15" s="9">
        <f t="shared" si="0"/>
        <v>-1.7478660575267924E-2</v>
      </c>
    </row>
    <row r="16" spans="1:8" x14ac:dyDescent="0.25">
      <c r="A16" s="10">
        <v>94</v>
      </c>
      <c r="B16" s="11">
        <v>12.141761458292354</v>
      </c>
      <c r="C16" s="9">
        <v>12.149639404976437</v>
      </c>
      <c r="D16" s="9">
        <f t="shared" si="1"/>
        <v>-0.625286421992584</v>
      </c>
      <c r="E16" s="9">
        <f t="shared" si="2"/>
        <v>-0.6348871358837691</v>
      </c>
      <c r="F16" s="9">
        <f t="shared" si="0"/>
        <v>-7.877946684082815E-3</v>
      </c>
    </row>
    <row r="17" spans="1:6" x14ac:dyDescent="0.25">
      <c r="A17" s="10">
        <v>95</v>
      </c>
      <c r="B17" s="11">
        <v>11.549011154645457</v>
      </c>
      <c r="C17" s="9">
        <v>11.535136311442656</v>
      </c>
      <c r="D17" s="9">
        <f t="shared" si="1"/>
        <v>-0.59275030364689663</v>
      </c>
      <c r="E17" s="9">
        <f t="shared" si="2"/>
        <v>-0.61450309353378074</v>
      </c>
      <c r="F17" s="9">
        <f t="shared" si="0"/>
        <v>1.3874843202801301E-2</v>
      </c>
    </row>
    <row r="18" spans="1:6" x14ac:dyDescent="0.25">
      <c r="A18" s="10">
        <v>96</v>
      </c>
      <c r="B18" s="11">
        <v>10.956260850998561</v>
      </c>
      <c r="C18" s="9">
        <v>10.94117789217942</v>
      </c>
      <c r="D18" s="9">
        <f t="shared" si="1"/>
        <v>-0.59275030364689663</v>
      </c>
      <c r="E18" s="9">
        <f t="shared" si="2"/>
        <v>-0.59395841926323634</v>
      </c>
      <c r="F18" s="9">
        <f t="shared" si="0"/>
        <v>1.5082958819141012E-2</v>
      </c>
    </row>
    <row r="19" spans="1:6" x14ac:dyDescent="0.25">
      <c r="A19" s="10">
        <v>97</v>
      </c>
      <c r="B19" s="11">
        <v>10.36351054735167</v>
      </c>
      <c r="C19" s="9">
        <v>10.367861503876265</v>
      </c>
      <c r="D19" s="9">
        <f t="shared" si="1"/>
        <v>-0.5927503036468913</v>
      </c>
      <c r="E19" s="9">
        <f t="shared" si="2"/>
        <v>-0.57331638830315512</v>
      </c>
      <c r="F19" s="9">
        <f t="shared" si="0"/>
        <v>-4.350956524595162E-3</v>
      </c>
    </row>
    <row r="20" spans="1:6" x14ac:dyDescent="0.25">
      <c r="A20" s="10">
        <v>98</v>
      </c>
      <c r="B20" s="11">
        <v>9.7871408656996124</v>
      </c>
      <c r="C20" s="9">
        <v>9.8152223036131776</v>
      </c>
      <c r="D20" s="9">
        <f t="shared" si="1"/>
        <v>-0.57636968165205715</v>
      </c>
      <c r="E20" s="9">
        <f t="shared" si="2"/>
        <v>-0.5526392002630871</v>
      </c>
      <c r="F20" s="9">
        <f t="shared" si="0"/>
        <v>-2.808143791356521E-2</v>
      </c>
    </row>
    <row r="21" spans="1:6" x14ac:dyDescent="0.25">
      <c r="A21" s="10">
        <v>99</v>
      </c>
      <c r="B21" s="11">
        <v>9.2886718790468965</v>
      </c>
      <c r="C21" s="9">
        <v>9.2832348376403964</v>
      </c>
      <c r="D21" s="9">
        <f t="shared" si="1"/>
        <v>-0.49846898665271588</v>
      </c>
      <c r="E21" s="9">
        <f t="shared" si="2"/>
        <v>-0.53198746597278124</v>
      </c>
      <c r="F21" s="9">
        <f t="shared" si="0"/>
        <v>5.4370414065001427E-3</v>
      </c>
    </row>
    <row r="22" spans="1:6" x14ac:dyDescent="0.25">
      <c r="A22" s="10">
        <v>100</v>
      </c>
      <c r="B22" s="11">
        <v>8.7902028923941913</v>
      </c>
      <c r="C22" s="9">
        <v>8.7718150942428643</v>
      </c>
      <c r="D22" s="9">
        <f t="shared" si="1"/>
        <v>-0.49846898665270523</v>
      </c>
      <c r="E22" s="9">
        <f t="shared" si="2"/>
        <v>-0.51141974339753205</v>
      </c>
      <c r="F22" s="9">
        <f t="shared" si="0"/>
        <v>1.8387798151326962E-2</v>
      </c>
    </row>
    <row r="23" spans="1:6" x14ac:dyDescent="0.25">
      <c r="A23" s="10">
        <v>101</v>
      </c>
      <c r="B23" s="11">
        <v>8.2917339057414825</v>
      </c>
      <c r="C23" s="9">
        <v>8.280822968326218</v>
      </c>
      <c r="D23" s="9">
        <f t="shared" si="1"/>
        <v>-0.49846898665270878</v>
      </c>
      <c r="E23" s="9">
        <f t="shared" si="2"/>
        <v>-0.49099212591664632</v>
      </c>
      <c r="F23" s="9">
        <f t="shared" si="0"/>
        <v>1.0910937415264499E-2</v>
      </c>
    </row>
    <row r="24" spans="1:6" x14ac:dyDescent="0.25">
      <c r="A24" s="10">
        <v>102</v>
      </c>
      <c r="B24" s="11">
        <v>7.7932649190887728</v>
      </c>
      <c r="C24" s="9">
        <v>7.8100650833030807</v>
      </c>
      <c r="D24" s="9">
        <f t="shared" si="1"/>
        <v>-0.49846898665270967</v>
      </c>
      <c r="E24" s="9">
        <f t="shared" si="2"/>
        <v>-0.47075788502313731</v>
      </c>
      <c r="F24" s="9">
        <f t="shared" si="0"/>
        <v>-1.6800164214307856E-2</v>
      </c>
    </row>
    <row r="25" spans="1:6" x14ac:dyDescent="0.25">
      <c r="A25" s="10">
        <v>103</v>
      </c>
      <c r="B25" s="11">
        <v>7.342594373028267</v>
      </c>
      <c r="C25" s="9">
        <v>7.3592979149446602</v>
      </c>
      <c r="D25" s="9">
        <f t="shared" si="1"/>
        <v>-0.45067054606050583</v>
      </c>
      <c r="E25" s="9">
        <f t="shared" si="2"/>
        <v>-0.45076716835842046</v>
      </c>
      <c r="F25" s="9">
        <f t="shared" si="0"/>
        <v>-1.6703541916393227E-2</v>
      </c>
    </row>
    <row r="26" spans="1:6" x14ac:dyDescent="0.25">
      <c r="A26" s="10">
        <v>104</v>
      </c>
      <c r="B26" s="11">
        <v>6.9390397446404135</v>
      </c>
      <c r="C26" s="9">
        <v>6.9282311619920769</v>
      </c>
      <c r="D26" s="9">
        <f t="shared" si="1"/>
        <v>-0.4035546283878535</v>
      </c>
      <c r="E26" s="9">
        <f t="shared" si="2"/>
        <v>-0.43106675295258334</v>
      </c>
      <c r="F26" s="9">
        <f t="shared" si="0"/>
        <v>1.0808582648336618E-2</v>
      </c>
    </row>
    <row r="27" spans="1:6" x14ac:dyDescent="0.25">
      <c r="A27" s="10">
        <v>105</v>
      </c>
      <c r="B27" s="11">
        <v>6.5354851162525591</v>
      </c>
      <c r="C27" s="9">
        <v>6.5165313093791717</v>
      </c>
      <c r="D27" s="9">
        <f t="shared" si="1"/>
        <v>-0.40355462838785439</v>
      </c>
      <c r="E27" s="9">
        <f t="shared" si="2"/>
        <v>-0.4116998526129052</v>
      </c>
      <c r="F27" s="9">
        <f t="shared" si="0"/>
        <v>1.8953806873387435E-2</v>
      </c>
    </row>
    <row r="28" spans="1:6" x14ac:dyDescent="0.25">
      <c r="A28" s="10">
        <v>106</v>
      </c>
      <c r="B28" s="11">
        <v>6.1319304878647047</v>
      </c>
      <c r="C28" s="9">
        <v>6.1238253317824922</v>
      </c>
      <c r="D28" s="9">
        <f t="shared" si="1"/>
        <v>-0.40355462838785439</v>
      </c>
      <c r="E28" s="9">
        <f t="shared" si="2"/>
        <v>-0.39270597759667947</v>
      </c>
      <c r="F28" s="9">
        <f t="shared" si="0"/>
        <v>8.1051560822125168E-3</v>
      </c>
    </row>
    <row r="29" spans="1:6" x14ac:dyDescent="0.25">
      <c r="A29" s="10">
        <v>107</v>
      </c>
      <c r="B29" s="11">
        <v>5.7283758594768539</v>
      </c>
      <c r="C29" s="9">
        <v>5.7497044877590886</v>
      </c>
      <c r="D29" s="9">
        <f t="shared" si="1"/>
        <v>-0.40355462838785083</v>
      </c>
      <c r="E29" s="9">
        <f t="shared" si="2"/>
        <v>-0.37412084402340362</v>
      </c>
      <c r="F29" s="9">
        <f t="shared" si="0"/>
        <v>-2.1328628282234696E-2</v>
      </c>
    </row>
    <row r="30" spans="1:6" x14ac:dyDescent="0.25">
      <c r="A30" s="10">
        <v>108</v>
      </c>
      <c r="B30" s="11">
        <v>5.3797573630513487</v>
      </c>
      <c r="C30" s="9">
        <v>5.3937281578338911</v>
      </c>
      <c r="D30" s="9">
        <f t="shared" si="1"/>
        <v>-0.34861849642550524</v>
      </c>
      <c r="E30" s="9">
        <f t="shared" si="2"/>
        <v>-0.35597632992519745</v>
      </c>
      <c r="F30" s="9">
        <f t="shared" si="0"/>
        <v>-1.3970794782542484E-2</v>
      </c>
    </row>
    <row r="31" spans="1:6" x14ac:dyDescent="0.25">
      <c r="A31" s="10">
        <v>109</v>
      </c>
      <c r="B31" s="11">
        <v>5.0661882174272455</v>
      </c>
      <c r="C31" s="9">
        <v>5.0554276834341563</v>
      </c>
      <c r="D31" s="9">
        <f t="shared" si="1"/>
        <v>-0.31356914562410321</v>
      </c>
      <c r="E31" s="9">
        <f t="shared" si="2"/>
        <v>-0.33830047439973487</v>
      </c>
      <c r="F31" s="9">
        <f t="shared" si="0"/>
        <v>1.0760533993089183E-2</v>
      </c>
    </row>
    <row r="32" spans="1:6" x14ac:dyDescent="0.25">
      <c r="A32" s="10">
        <v>110</v>
      </c>
      <c r="B32" s="11">
        <v>4.7526190718031458</v>
      </c>
      <c r="C32" s="9">
        <v>4.7343101674236507</v>
      </c>
      <c r="D32" s="9">
        <f t="shared" si="1"/>
        <v>-0.31356914562409965</v>
      </c>
      <c r="E32" s="9">
        <f t="shared" si="2"/>
        <v>-0.32111751601050553</v>
      </c>
      <c r="F32" s="9">
        <f t="shared" si="0"/>
        <v>1.8308904379495061E-2</v>
      </c>
    </row>
    <row r="33" spans="1:6" x14ac:dyDescent="0.25">
      <c r="A33" s="10">
        <v>111</v>
      </c>
      <c r="B33" s="11">
        <v>4.4390499261790444</v>
      </c>
      <c r="C33" s="9">
        <v>4.4298622010551449</v>
      </c>
      <c r="D33" s="9">
        <f t="shared" si="1"/>
        <v>-0.31356914562410143</v>
      </c>
      <c r="E33" s="9">
        <f t="shared" si="2"/>
        <v>-0.3044479663685058</v>
      </c>
      <c r="F33" s="9">
        <f t="shared" si="0"/>
        <v>9.1877251238994262E-3</v>
      </c>
    </row>
    <row r="34" spans="1:6" x14ac:dyDescent="0.25">
      <c r="A34" s="10">
        <v>112</v>
      </c>
      <c r="B34" s="11">
        <v>4.1254807805549438</v>
      </c>
      <c r="C34" s="9">
        <v>4.141553486339844</v>
      </c>
      <c r="D34" s="9">
        <f t="shared" si="1"/>
        <v>-0.31356914562410054</v>
      </c>
      <c r="E34" s="9">
        <f t="shared" si="2"/>
        <v>-0.28830871471530095</v>
      </c>
      <c r="F34" s="9">
        <f t="shared" si="0"/>
        <v>-1.6072705784900165E-2</v>
      </c>
    </row>
    <row r="35" spans="1:6" x14ac:dyDescent="0.25">
      <c r="A35" s="10">
        <v>113</v>
      </c>
      <c r="B35" s="11">
        <v>3.8507825592704514</v>
      </c>
      <c r="C35" s="9">
        <v>3.8688403270365046</v>
      </c>
      <c r="D35" s="9">
        <f t="shared" si="1"/>
        <v>-0.27469822128449239</v>
      </c>
      <c r="E35" s="9">
        <f t="shared" si="2"/>
        <v>-0.27271315930333939</v>
      </c>
      <c r="F35" s="9">
        <f t="shared" si="0"/>
        <v>-1.8057767766053168E-2</v>
      </c>
    </row>
    <row r="36" spans="1:6" x14ac:dyDescent="0.25">
      <c r="A36" s="10">
        <v>114</v>
      </c>
      <c r="B36" s="11">
        <v>3.6175564501647313</v>
      </c>
      <c r="C36" s="9">
        <v>3.6111689656168315</v>
      </c>
      <c r="D36" s="9">
        <f t="shared" si="1"/>
        <v>-0.23322610910572017</v>
      </c>
      <c r="E36" s="9">
        <f t="shared" si="2"/>
        <v>-0.25767136141967306</v>
      </c>
      <c r="F36" s="9">
        <f t="shared" si="0"/>
        <v>6.3874845478997244E-3</v>
      </c>
    </row>
    <row r="37" spans="1:6" x14ac:dyDescent="0.25">
      <c r="A37" s="10">
        <v>115</v>
      </c>
      <c r="B37" s="11">
        <v>3.3843303410590124</v>
      </c>
      <c r="C37" s="9">
        <v>3.3679787475987419</v>
      </c>
      <c r="D37" s="9">
        <f t="shared" si="1"/>
        <v>-0.23322610910571884</v>
      </c>
      <c r="E37" s="9">
        <f t="shared" si="2"/>
        <v>-0.2431902180180896</v>
      </c>
      <c r="F37" s="9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41</vt:i4>
      </vt:variant>
    </vt:vector>
  </HeadingPairs>
  <TitlesOfParts>
    <vt:vector size="48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BSDelta</vt:lpstr>
      <vt:lpstr>BSGamma</vt:lpstr>
      <vt:lpstr>BSRho</vt:lpstr>
      <vt:lpstr>BSTheta</vt:lpstr>
      <vt:lpstr>BSVega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IPythonPriceTreeMemory</vt:lpstr>
      <vt:lpstr>IPythonTimeTree</vt:lpstr>
      <vt:lpstr>IPythonTimeTreeMemory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2024-10-30T19:22:15Z</dcterms:modified>
</cp:coreProperties>
</file>