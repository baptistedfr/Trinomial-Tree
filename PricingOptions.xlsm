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evinci-my.sharepoint.com/personal/thibault_charbonnier_edu_devinci_fr/Documents/Dauphine/Cours/VBA-Python/Trinomial-Tree/"/>
    </mc:Choice>
  </mc:AlternateContent>
  <xr:revisionPtr revIDLastSave="975" documentId="13_ncr:1_{E89342AC-05DA-48F9-BBE9-9D93201D60CF}" xr6:coauthVersionLast="47" xr6:coauthVersionMax="47" xr10:uidLastSave="{40D5197F-0C2F-4982-8B2E-47A46932C02C}"/>
  <bookViews>
    <workbookView xWindow="-93" yWindow="-93" windowWidth="25786" windowHeight="13866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Convergence Study" sheetId="3" r:id="rId5"/>
  </sheets>
  <functionGroups builtInGroupCount="19">
    <functionGroup name="GPT for Excel Word"/>
  </functionGroups>
  <definedNames>
    <definedName name="begin_plot">OptionPricePlot!$A$3</definedName>
    <definedName name="begin_proba_plot">NodeProbaPlot!$A$4</definedName>
    <definedName name="begin_undl_plot">UnderlyingPlot!$A$3</definedName>
    <definedName name="GBSPrice">'Convergence Study'!#REF!</definedName>
    <definedName name="Gdiv">'Convergence Study'!#REF!</definedName>
    <definedName name="GexType">'Convergence Study'!#REF!</definedName>
    <definedName name="Gmat">'Convergence Study'!#REF!</definedName>
    <definedName name="Grate">'Convergence Study'!#REF!</definedName>
    <definedName name="Gspot">'Convergence Study'!#REF!</definedName>
    <definedName name="GstartDate">'Convergence Study'!#REF!</definedName>
    <definedName name="Gstrike">'Convergence Study'!#REF!</definedName>
    <definedName name="Gtype">'Convergence Study'!#REF!</definedName>
    <definedName name="Gvol">'Convergence Study'!#REF!</definedName>
    <definedName name="IBSPrice">Interface!$E$20</definedName>
    <definedName name="IDelta">Interface!$M$15</definedName>
    <definedName name="IDiv">Interface!$E$9</definedName>
    <definedName name="IDivDate">Interface!$E$10</definedName>
    <definedName name="IExerciseType">Interface!$E$15</definedName>
    <definedName name="IGamma">Interface!$M$17</definedName>
    <definedName name="IGreeks">Interface!$M$8</definedName>
    <definedName name="IMaturity">Interface!$E$11</definedName>
    <definedName name="INbSteps">Interface!$E$16</definedName>
    <definedName name="IOptionType">Interface!$E$14</definedName>
    <definedName name="IPriceTime">Interface!$E$23</definedName>
    <definedName name="IPrunning">Interface!$E$17</definedName>
    <definedName name="IRate">Interface!$E$8</definedName>
    <definedName name="IRho">Interface!$M$23</definedName>
    <definedName name="IShowTree">Interface!$M$6</definedName>
    <definedName name="ISpot">Interface!$E$6</definedName>
    <definedName name="IStartDate">Interface!$E$13</definedName>
    <definedName name="IStrike">Interface!$E$12</definedName>
    <definedName name="ITheta">Interface!$M$21</definedName>
    <definedName name="ITimeTree">Interface!$E$22</definedName>
    <definedName name="ITotalTime">Interface!$E$24</definedName>
    <definedName name="ITreePrice">Interface!$E$19</definedName>
    <definedName name="IVega">Interface!$M$19</definedName>
    <definedName name="IVol">Interface!$E$7</definedName>
    <definedName name="Spot">'Convergence Study'!#REF!</definedName>
    <definedName name="StepRange">'Convergence Study'!$A$8:$A$56</definedName>
  </definedName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3" l="1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8" i="3"/>
  <c r="E21" i="10"/>
  <c r="E24" i="10"/>
  <c r="A8" i="3"/>
  <c r="F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F56" i="3"/>
  <c r="F55" i="3"/>
  <c r="F54" i="3"/>
  <c r="F53" i="3"/>
  <c r="F52" i="3"/>
  <c r="F51" i="3"/>
  <c r="F50" i="3"/>
  <c r="F18" i="3"/>
  <c r="F30" i="3"/>
  <c r="F42" i="3"/>
  <c r="F44" i="3"/>
  <c r="F23" i="3"/>
  <c r="F35" i="3"/>
  <c r="F47" i="3"/>
  <c r="F10" i="3"/>
  <c r="F13" i="3"/>
  <c r="F16" i="3"/>
  <c r="F28" i="3"/>
  <c r="F40" i="3"/>
  <c r="F21" i="3"/>
  <c r="F33" i="3"/>
  <c r="F45" i="3"/>
  <c r="F9" i="3"/>
  <c r="F26" i="3"/>
  <c r="F38" i="3"/>
  <c r="F19" i="3"/>
  <c r="F31" i="3"/>
  <c r="F43" i="3"/>
  <c r="F11" i="3"/>
  <c r="F14" i="3"/>
  <c r="F24" i="3"/>
  <c r="F36" i="3"/>
  <c r="F48" i="3"/>
  <c r="F32" i="3"/>
  <c r="F17" i="3"/>
  <c r="F29" i="3"/>
  <c r="F41" i="3"/>
  <c r="F15" i="3"/>
  <c r="F22" i="3"/>
  <c r="F34" i="3"/>
  <c r="F46" i="3"/>
  <c r="F12" i="3"/>
  <c r="F27" i="3"/>
  <c r="F39" i="3"/>
  <c r="F20" i="3"/>
  <c r="F25" i="3"/>
  <c r="F37" i="3"/>
  <c r="F49" i="3"/>
</calcChain>
</file>

<file path=xl/sharedStrings.xml><?xml version="1.0" encoding="utf-8"?>
<sst xmlns="http://schemas.openxmlformats.org/spreadsheetml/2006/main" count="56" uniqueCount="50">
  <si>
    <t>Inputs</t>
  </si>
  <si>
    <t>Type</t>
  </si>
  <si>
    <t>Execution Time</t>
  </si>
  <si>
    <t>Div Date</t>
  </si>
  <si>
    <t>Start Date</t>
  </si>
  <si>
    <t>Call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</si>
  <si>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</si>
  <si>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</si>
  <si>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</si>
  <si>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</si>
  <si>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</si>
  <si>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</si>
  <si>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</si>
  <si>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</si>
  <si>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</si>
  <si>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</si>
  <si>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</si>
  <si>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</si>
  <si>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</si>
  <si>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Delta</t>
  </si>
  <si>
    <t>Gamma</t>
  </si>
  <si>
    <t>Vega</t>
  </si>
  <si>
    <t>Theta</t>
  </si>
  <si>
    <t>Rho</t>
  </si>
  <si>
    <t>No</t>
  </si>
  <si>
    <t>N/A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</si>
  <si>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</si>
  <si>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</si>
  <si>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</si>
  <si>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</si>
  <si>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</si>
  <si>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</si>
  <si>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</si>
  <si>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</si>
  <si>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</si>
  <si>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</si>
  <si>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</si>
  <si>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</si>
  <si>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</si>
  <si>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</si>
  <si>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</si>
  <si>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</si>
  <si>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</si>
  <si>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>Incertitude *</t>
  </si>
  <si>
    <t xml:space="preserve">*  : </t>
  </si>
  <si>
    <t>Convergence Study</t>
  </si>
  <si>
    <t>Trinomial Tree Option Pricer</t>
  </si>
  <si>
    <t>* The sheet uses the parameters from the "Interface" sheet</t>
  </si>
  <si>
    <t>VBA Graphs</t>
  </si>
  <si>
    <t>Python Graphs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</si>
</sst>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%"/>
  </numFmts>
  <fonts count="9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4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5" fillId="2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E2C5"/>
      <color rgb="FFFECBB4"/>
      <color rgb="FFFEDEFE"/>
      <color rgb="FFFECEFE"/>
      <color rgb="FFFDBBFD"/>
      <color rgb="FFFFFF99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0</c:v>
                </c:pt>
                <c:pt idx="2">
                  <c:v>10.334647473553273</c:v>
                </c:pt>
                <c:pt idx="3">
                  <c:v>11.496161123843871</c:v>
                </c:pt>
                <c:pt idx="4">
                  <c:v>12.003143044642707</c:v>
                </c:pt>
                <c:pt idx="5">
                  <c:v>12.158349669502936</c:v>
                </c:pt>
                <c:pt idx="6">
                  <c:v>12.274499741884528</c:v>
                </c:pt>
                <c:pt idx="7">
                  <c:v>12.328176497527366</c:v>
                </c:pt>
                <c:pt idx="8">
                  <c:v>12.353156210635536</c:v>
                </c:pt>
                <c:pt idx="9">
                  <c:v>12.367236716028813</c:v>
                </c:pt>
                <c:pt idx="10">
                  <c:v>12.376099890651201</c:v>
                </c:pt>
                <c:pt idx="11">
                  <c:v>12.382095767951904</c:v>
                </c:pt>
                <c:pt idx="12">
                  <c:v>12.386363087547856</c:v>
                </c:pt>
                <c:pt idx="13">
                  <c:v>12.389516607292421</c:v>
                </c:pt>
                <c:pt idx="14">
                  <c:v>12.391915440442265</c:v>
                </c:pt>
                <c:pt idx="15">
                  <c:v>12.39378239256833</c:v>
                </c:pt>
                <c:pt idx="16">
                  <c:v>12.395262440349432</c:v>
                </c:pt>
                <c:pt idx="17">
                  <c:v>12.396453631543507</c:v>
                </c:pt>
                <c:pt idx="18">
                  <c:v>12.397424429099154</c:v>
                </c:pt>
                <c:pt idx="19">
                  <c:v>12.39822394128176</c:v>
                </c:pt>
                <c:pt idx="20">
                  <c:v>12.398888211226174</c:v>
                </c:pt>
                <c:pt idx="21">
                  <c:v>12.399444222500335</c:v>
                </c:pt>
                <c:pt idx="22">
                  <c:v>12.399912528515626</c:v>
                </c:pt>
                <c:pt idx="23">
                  <c:v>12.400309024859643</c:v>
                </c:pt>
                <c:pt idx="24">
                  <c:v>12.400646171731562</c:v>
                </c:pt>
                <c:pt idx="25">
                  <c:v>12.401180002002722</c:v>
                </c:pt>
                <c:pt idx="26">
                  <c:v>12.401572197483258</c:v>
                </c:pt>
                <c:pt idx="27">
                  <c:v>12.401861465180154</c:v>
                </c:pt>
                <c:pt idx="28">
                  <c:v>12.40207438527262</c:v>
                </c:pt>
                <c:pt idx="29">
                  <c:v>12.403432409907126</c:v>
                </c:pt>
                <c:pt idx="30">
                  <c:v>12.404911205554665</c:v>
                </c:pt>
                <c:pt idx="31">
                  <c:v>12.406153088877668</c:v>
                </c:pt>
                <c:pt idx="32">
                  <c:v>12.407202728679936</c:v>
                </c:pt>
                <c:pt idx="33">
                  <c:v>12.408094715646888</c:v>
                </c:pt>
                <c:pt idx="34">
                  <c:v>12.408856198543228</c:v>
                </c:pt>
                <c:pt idx="35">
                  <c:v>12.410069662693783</c:v>
                </c:pt>
                <c:pt idx="36">
                  <c:v>12.410970233168381</c:v>
                </c:pt>
                <c:pt idx="37">
                  <c:v>12.41164267317531</c:v>
                </c:pt>
                <c:pt idx="38">
                  <c:v>12.412145319213776</c:v>
                </c:pt>
                <c:pt idx="39">
                  <c:v>12.41251939828849</c:v>
                </c:pt>
                <c:pt idx="40">
                  <c:v>12.412794709855611</c:v>
                </c:pt>
                <c:pt idx="41">
                  <c:v>12.412993215001887</c:v>
                </c:pt>
                <c:pt idx="42">
                  <c:v>12.413131372454158</c:v>
                </c:pt>
                <c:pt idx="43">
                  <c:v>12.413221700084515</c:v>
                </c:pt>
                <c:pt idx="44">
                  <c:v>12.413273842503573</c:v>
                </c:pt>
                <c:pt idx="45">
                  <c:v>12.413295316010965</c:v>
                </c:pt>
                <c:pt idx="46">
                  <c:v>12.413292038400241</c:v>
                </c:pt>
                <c:pt idx="47">
                  <c:v>12.413268711346323</c:v>
                </c:pt>
                <c:pt idx="48">
                  <c:v>12.413229100755458</c:v>
                </c:pt>
                <c:pt idx="49">
                  <c:v>12.413176245154677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12.416561846226472</c:v>
                </c:pt>
                <c:pt idx="2">
                  <c:v>12.416561846226472</c:v>
                </c:pt>
                <c:pt idx="3">
                  <c:v>12.416561846226472</c:v>
                </c:pt>
                <c:pt idx="4">
                  <c:v>12.416561846226472</c:v>
                </c:pt>
                <c:pt idx="5">
                  <c:v>12.416561846226472</c:v>
                </c:pt>
                <c:pt idx="6">
                  <c:v>12.416561846226472</c:v>
                </c:pt>
                <c:pt idx="7">
                  <c:v>12.416561846226472</c:v>
                </c:pt>
                <c:pt idx="8">
                  <c:v>12.416561846226472</c:v>
                </c:pt>
                <c:pt idx="9">
                  <c:v>12.416561846226472</c:v>
                </c:pt>
                <c:pt idx="10">
                  <c:v>12.416561846226472</c:v>
                </c:pt>
                <c:pt idx="11">
                  <c:v>12.416561846226472</c:v>
                </c:pt>
                <c:pt idx="12">
                  <c:v>12.416561846226472</c:v>
                </c:pt>
                <c:pt idx="13">
                  <c:v>12.416561846226472</c:v>
                </c:pt>
                <c:pt idx="14">
                  <c:v>12.416561846226472</c:v>
                </c:pt>
                <c:pt idx="15">
                  <c:v>12.416561846226472</c:v>
                </c:pt>
                <c:pt idx="16">
                  <c:v>12.416561846226472</c:v>
                </c:pt>
                <c:pt idx="17">
                  <c:v>12.416561846226472</c:v>
                </c:pt>
                <c:pt idx="18">
                  <c:v>12.416561846226472</c:v>
                </c:pt>
                <c:pt idx="19">
                  <c:v>12.416561846226472</c:v>
                </c:pt>
                <c:pt idx="20">
                  <c:v>12.416561846226472</c:v>
                </c:pt>
                <c:pt idx="21">
                  <c:v>12.416561846226472</c:v>
                </c:pt>
                <c:pt idx="22">
                  <c:v>12.416561846226472</c:v>
                </c:pt>
                <c:pt idx="23">
                  <c:v>12.416561846226472</c:v>
                </c:pt>
                <c:pt idx="24">
                  <c:v>12.416561846226472</c:v>
                </c:pt>
                <c:pt idx="25">
                  <c:v>12.416561846226472</c:v>
                </c:pt>
                <c:pt idx="26">
                  <c:v>12.416561846226472</c:v>
                </c:pt>
                <c:pt idx="27">
                  <c:v>12.416561846226472</c:v>
                </c:pt>
                <c:pt idx="28">
                  <c:v>12.416561846226472</c:v>
                </c:pt>
                <c:pt idx="29">
                  <c:v>12.416561846226472</c:v>
                </c:pt>
                <c:pt idx="30">
                  <c:v>12.416561846226472</c:v>
                </c:pt>
                <c:pt idx="31">
                  <c:v>12.416561846226472</c:v>
                </c:pt>
                <c:pt idx="32">
                  <c:v>12.416561846226472</c:v>
                </c:pt>
                <c:pt idx="33">
                  <c:v>12.416561846226472</c:v>
                </c:pt>
                <c:pt idx="34">
                  <c:v>12.416561846226472</c:v>
                </c:pt>
                <c:pt idx="35">
                  <c:v>12.416561846226472</c:v>
                </c:pt>
                <c:pt idx="36">
                  <c:v>12.416561846226472</c:v>
                </c:pt>
                <c:pt idx="37">
                  <c:v>12.416561846226472</c:v>
                </c:pt>
                <c:pt idx="38">
                  <c:v>12.416561846226472</c:v>
                </c:pt>
                <c:pt idx="39">
                  <c:v>12.416561846226472</c:v>
                </c:pt>
                <c:pt idx="40">
                  <c:v>12.416561846226472</c:v>
                </c:pt>
                <c:pt idx="41">
                  <c:v>12.416561846226472</c:v>
                </c:pt>
                <c:pt idx="42">
                  <c:v>12.416561846226472</c:v>
                </c:pt>
                <c:pt idx="43">
                  <c:v>12.416561846226472</c:v>
                </c:pt>
                <c:pt idx="44">
                  <c:v>12.416561846226472</c:v>
                </c:pt>
                <c:pt idx="45">
                  <c:v>12.416561846226472</c:v>
                </c:pt>
                <c:pt idx="46">
                  <c:v>12.416561846226472</c:v>
                </c:pt>
                <c:pt idx="47">
                  <c:v>12.416561846226472</c:v>
                </c:pt>
                <c:pt idx="48">
                  <c:v>12.416561846226472</c:v>
                </c:pt>
                <c:pt idx="49">
                  <c:v>12.416561846226472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3.90625E-3</c:v>
                      </c:pt>
                      <c:pt idx="4">
                        <c:v>0</c:v>
                      </c:pt>
                      <c:pt idx="5">
                        <c:v>3.90625E-3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6.25E-2</c:v>
                      </c:pt>
                      <c:pt idx="9">
                        <c:v>9.375E-2</c:v>
                      </c:pt>
                      <c:pt idx="10">
                        <c:v>0.1328125</c:v>
                      </c:pt>
                      <c:pt idx="11">
                        <c:v>0.17578125</c:v>
                      </c:pt>
                      <c:pt idx="12">
                        <c:v>0.2265625</c:v>
                      </c:pt>
                      <c:pt idx="13">
                        <c:v>0.28515625</c:v>
                      </c:pt>
                      <c:pt idx="14">
                        <c:v>0.36328125</c:v>
                      </c:pt>
                      <c:pt idx="15">
                        <c:v>0.43359375</c:v>
                      </c:pt>
                      <c:pt idx="16">
                        <c:v>0.51953125</c:v>
                      </c:pt>
                      <c:pt idx="17">
                        <c:v>0.63671875</c:v>
                      </c:pt>
                      <c:pt idx="18">
                        <c:v>0.73828125</c:v>
                      </c:pt>
                      <c:pt idx="19">
                        <c:v>0.8359375</c:v>
                      </c:pt>
                      <c:pt idx="20">
                        <c:v>0.91015625</c:v>
                      </c:pt>
                      <c:pt idx="21">
                        <c:v>1.03515625</c:v>
                      </c:pt>
                      <c:pt idx="22">
                        <c:v>1.15625</c:v>
                      </c:pt>
                      <c:pt idx="23">
                        <c:v>1.30078125</c:v>
                      </c:pt>
                      <c:pt idx="24">
                        <c:v>1.46875</c:v>
                      </c:pt>
                      <c:pt idx="25">
                        <c:v>1.703125</c:v>
                      </c:pt>
                      <c:pt idx="26">
                        <c:v>2.02734375</c:v>
                      </c:pt>
                      <c:pt idx="27">
                        <c:v>2.3046875</c:v>
                      </c:pt>
                      <c:pt idx="28">
                        <c:v>2.63671875</c:v>
                      </c:pt>
                      <c:pt idx="29">
                        <c:v>3.0078125</c:v>
                      </c:pt>
                      <c:pt idx="30">
                        <c:v>3.38671875</c:v>
                      </c:pt>
                      <c:pt idx="31">
                        <c:v>3.7890625</c:v>
                      </c:pt>
                      <c:pt idx="32">
                        <c:v>4.125</c:v>
                      </c:pt>
                      <c:pt idx="33">
                        <c:v>4.453125</c:v>
                      </c:pt>
                      <c:pt idx="34">
                        <c:v>4.90625</c:v>
                      </c:pt>
                      <c:pt idx="35">
                        <c:v>5.76171875</c:v>
                      </c:pt>
                      <c:pt idx="36">
                        <c:v>6.6640625</c:v>
                      </c:pt>
                      <c:pt idx="37">
                        <c:v>7.578125</c:v>
                      </c:pt>
                      <c:pt idx="38">
                        <c:v>8.73828125</c:v>
                      </c:pt>
                      <c:pt idx="39">
                        <c:v>9.71484375</c:v>
                      </c:pt>
                      <c:pt idx="40">
                        <c:v>10.921875</c:v>
                      </c:pt>
                      <c:pt idx="41">
                        <c:v>12.11328125</c:v>
                      </c:pt>
                      <c:pt idx="42">
                        <c:v>13.046875</c:v>
                      </c:pt>
                      <c:pt idx="43">
                        <c:v>14.421875</c:v>
                      </c:pt>
                      <c:pt idx="44">
                        <c:v>15.51171875</c:v>
                      </c:pt>
                      <c:pt idx="45">
                        <c:v>16.62109375</c:v>
                      </c:pt>
                      <c:pt idx="46">
                        <c:v>17.94140625</c:v>
                      </c:pt>
                      <c:pt idx="47">
                        <c:v>19.21484375</c:v>
                      </c:pt>
                      <c:pt idx="48">
                        <c:v>20.4921875</c:v>
                      </c:pt>
                      <c:pt idx="49">
                        <c:v>22.109375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12.416561846226472</c:v>
                      </c:pt>
                      <c:pt idx="2">
                        <c:v>2.0819143726731983</c:v>
                      </c:pt>
                      <c:pt idx="3">
                        <c:v>0.92040072238260073</c:v>
                      </c:pt>
                      <c:pt idx="4">
                        <c:v>0.41341880158376476</c:v>
                      </c:pt>
                      <c:pt idx="5">
                        <c:v>0.25821217672353569</c:v>
                      </c:pt>
                      <c:pt idx="6">
                        <c:v>0.14206210434194411</c:v>
                      </c:pt>
                      <c:pt idx="7">
                        <c:v>8.8385348699105748E-2</c:v>
                      </c:pt>
                      <c:pt idx="8">
                        <c:v>6.3405635590935816E-2</c:v>
                      </c:pt>
                      <c:pt idx="9">
                        <c:v>4.9325130197658495E-2</c:v>
                      </c:pt>
                      <c:pt idx="10">
                        <c:v>4.0461955575270991E-2</c:v>
                      </c:pt>
                      <c:pt idx="11">
                        <c:v>3.446607827456738E-2</c:v>
                      </c:pt>
                      <c:pt idx="12">
                        <c:v>3.0198758678615434E-2</c:v>
                      </c:pt>
                      <c:pt idx="13">
                        <c:v>2.7045238934050531E-2</c:v>
                      </c:pt>
                      <c:pt idx="14">
                        <c:v>2.4646405784206848E-2</c:v>
                      </c:pt>
                      <c:pt idx="15">
                        <c:v>2.2779453658142046E-2</c:v>
                      </c:pt>
                      <c:pt idx="16">
                        <c:v>2.129940587703949E-2</c:v>
                      </c:pt>
                      <c:pt idx="17">
                        <c:v>2.0108214682965198E-2</c:v>
                      </c:pt>
                      <c:pt idx="18">
                        <c:v>1.9137417127318201E-2</c:v>
                      </c:pt>
                      <c:pt idx="19">
                        <c:v>1.833790494471188E-2</c:v>
                      </c:pt>
                      <c:pt idx="20">
                        <c:v>1.7673635000297949E-2</c:v>
                      </c:pt>
                      <c:pt idx="21">
                        <c:v>1.7117623726136344E-2</c:v>
                      </c:pt>
                      <c:pt idx="22">
                        <c:v>1.6649317710845324E-2</c:v>
                      </c:pt>
                      <c:pt idx="23">
                        <c:v>1.6252821366828485E-2</c:v>
                      </c:pt>
                      <c:pt idx="24">
                        <c:v>1.5915674494909382E-2</c:v>
                      </c:pt>
                      <c:pt idx="25">
                        <c:v>1.5381844223750107E-2</c:v>
                      </c:pt>
                      <c:pt idx="26">
                        <c:v>1.4989648743213735E-2</c:v>
                      </c:pt>
                      <c:pt idx="27">
                        <c:v>1.4700381046317545E-2</c:v>
                      </c:pt>
                      <c:pt idx="28">
                        <c:v>1.4487460953851894E-2</c:v>
                      </c:pt>
                      <c:pt idx="29">
                        <c:v>1.3129436319346155E-2</c:v>
                      </c:pt>
                      <c:pt idx="30">
                        <c:v>1.1650640671806656E-2</c:v>
                      </c:pt>
                      <c:pt idx="31">
                        <c:v>1.0408757348804087E-2</c:v>
                      </c:pt>
                      <c:pt idx="32">
                        <c:v>9.3591175465359555E-3</c:v>
                      </c:pt>
                      <c:pt idx="33">
                        <c:v>8.4671305795840368E-3</c:v>
                      </c:pt>
                      <c:pt idx="34">
                        <c:v>7.705647683243555E-3</c:v>
                      </c:pt>
                      <c:pt idx="35">
                        <c:v>6.4921835326892108E-3</c:v>
                      </c:pt>
                      <c:pt idx="36">
                        <c:v>5.5916130580904166E-3</c:v>
                      </c:pt>
                      <c:pt idx="37">
                        <c:v>4.9191730511619625E-3</c:v>
                      </c:pt>
                      <c:pt idx="38">
                        <c:v>4.4165270126956813E-3</c:v>
                      </c:pt>
                      <c:pt idx="39">
                        <c:v>4.0424479379819189E-3</c:v>
                      </c:pt>
                      <c:pt idx="40">
                        <c:v>3.7671363708611239E-3</c:v>
                      </c:pt>
                      <c:pt idx="41">
                        <c:v>3.5686312245850615E-3</c:v>
                      </c:pt>
                      <c:pt idx="42">
                        <c:v>3.4304737723136469E-3</c:v>
                      </c:pt>
                      <c:pt idx="43">
                        <c:v>3.340146141956879E-3</c:v>
                      </c:pt>
                      <c:pt idx="44">
                        <c:v>3.2880037228988357E-3</c:v>
                      </c:pt>
                      <c:pt idx="45">
                        <c:v>3.2665302155070464E-3</c:v>
                      </c:pt>
                      <c:pt idx="46">
                        <c:v>3.2698078262303198E-3</c:v>
                      </c:pt>
                      <c:pt idx="47">
                        <c:v>3.2931348801490401E-3</c:v>
                      </c:pt>
                      <c:pt idx="48">
                        <c:v>3.3327454710132542E-3</c:v>
                      </c:pt>
                      <c:pt idx="49">
                        <c:v>3.3856010717947527E-3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12.416561846226472</c:v>
                      </c:pt>
                      <c:pt idx="2">
                        <c:v>10.409571863365992</c:v>
                      </c:pt>
                      <c:pt idx="3">
                        <c:v>9.2040072238260073</c:v>
                      </c:pt>
                      <c:pt idx="4">
                        <c:v>8.2683760316752952</c:v>
                      </c:pt>
                      <c:pt idx="5">
                        <c:v>7.7463653017060707</c:v>
                      </c:pt>
                      <c:pt idx="6">
                        <c:v>7.1031052170972053</c:v>
                      </c:pt>
                      <c:pt idx="7">
                        <c:v>6.6289011524329311</c:v>
                      </c:pt>
                      <c:pt idx="8">
                        <c:v>6.3405635590935816</c:v>
                      </c:pt>
                      <c:pt idx="9">
                        <c:v>6.1656412747073119</c:v>
                      </c:pt>
                      <c:pt idx="10">
                        <c:v>6.0692933362906487</c:v>
                      </c:pt>
                      <c:pt idx="11">
                        <c:v>6.0315636980492915</c:v>
                      </c:pt>
                      <c:pt idx="12">
                        <c:v>6.0397517357230868</c:v>
                      </c:pt>
                      <c:pt idx="13">
                        <c:v>6.0851787601613694</c:v>
                      </c:pt>
                      <c:pt idx="14">
                        <c:v>6.1616014460517121</c:v>
                      </c:pt>
                      <c:pt idx="15">
                        <c:v>6.2643497559890626</c:v>
                      </c:pt>
                      <c:pt idx="16">
                        <c:v>6.389821763111847</c:v>
                      </c:pt>
                      <c:pt idx="17">
                        <c:v>6.5351697719636892</c:v>
                      </c:pt>
                      <c:pt idx="18">
                        <c:v>6.6980959945613705</c:v>
                      </c:pt>
                      <c:pt idx="19">
                        <c:v>6.8767143542669551</c:v>
                      </c:pt>
                      <c:pt idx="20">
                        <c:v>7.0694540001191797</c:v>
                      </c:pt>
                      <c:pt idx="21">
                        <c:v>7.2749900836079462</c:v>
                      </c:pt>
                      <c:pt idx="22">
                        <c:v>7.4921929698803957</c:v>
                      </c:pt>
                      <c:pt idx="23">
                        <c:v>7.7200901492435303</c:v>
                      </c:pt>
                      <c:pt idx="24">
                        <c:v>7.957837247454691</c:v>
                      </c:pt>
                      <c:pt idx="25">
                        <c:v>8.4600143230625591</c:v>
                      </c:pt>
                      <c:pt idx="26">
                        <c:v>8.9937892459282409</c:v>
                      </c:pt>
                      <c:pt idx="27">
                        <c:v>9.5552476801064046</c:v>
                      </c:pt>
                      <c:pt idx="28">
                        <c:v>10.141222667696326</c:v>
                      </c:pt>
                      <c:pt idx="29">
                        <c:v>9.8470772395096162</c:v>
                      </c:pt>
                      <c:pt idx="30">
                        <c:v>9.3205125374453246</c:v>
                      </c:pt>
                      <c:pt idx="31">
                        <c:v>8.8474437464834743</c:v>
                      </c:pt>
                      <c:pt idx="32">
                        <c:v>8.42320579188236</c:v>
                      </c:pt>
                      <c:pt idx="33">
                        <c:v>8.043774050604835</c:v>
                      </c:pt>
                      <c:pt idx="34">
                        <c:v>7.705647683243555</c:v>
                      </c:pt>
                      <c:pt idx="35">
                        <c:v>7.1414018859581319</c:v>
                      </c:pt>
                      <c:pt idx="36">
                        <c:v>6.7099356697085</c:v>
                      </c:pt>
                      <c:pt idx="37">
                        <c:v>6.3949249665105512</c:v>
                      </c:pt>
                      <c:pt idx="38">
                        <c:v>6.1831378177739538</c:v>
                      </c:pt>
                      <c:pt idx="39">
                        <c:v>6.0636719069728784</c:v>
                      </c:pt>
                      <c:pt idx="40">
                        <c:v>6.0274181933777982</c:v>
                      </c:pt>
                      <c:pt idx="41">
                        <c:v>6.0666730817946046</c:v>
                      </c:pt>
                      <c:pt idx="42">
                        <c:v>6.1748527901645645</c:v>
                      </c:pt>
                      <c:pt idx="43">
                        <c:v>6.3462776697180701</c:v>
                      </c:pt>
                      <c:pt idx="44">
                        <c:v>6.5760074457976714</c:v>
                      </c:pt>
                      <c:pt idx="45">
                        <c:v>6.8597134525647974</c:v>
                      </c:pt>
                      <c:pt idx="46">
                        <c:v>7.1935772177067037</c:v>
                      </c:pt>
                      <c:pt idx="47">
                        <c:v>7.5742102243427922</c:v>
                      </c:pt>
                      <c:pt idx="48">
                        <c:v>7.9985891304318102</c:v>
                      </c:pt>
                      <c:pt idx="49">
                        <c:v>8.4640026794868817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3.90625E-3</c:v>
                </c:pt>
                <c:pt idx="4">
                  <c:v>0</c:v>
                </c:pt>
                <c:pt idx="5">
                  <c:v>3.90625E-3</c:v>
                </c:pt>
                <c:pt idx="6">
                  <c:v>1.5625E-2</c:v>
                </c:pt>
                <c:pt idx="7">
                  <c:v>3.125E-2</c:v>
                </c:pt>
                <c:pt idx="8">
                  <c:v>6.25E-2</c:v>
                </c:pt>
                <c:pt idx="9">
                  <c:v>9.375E-2</c:v>
                </c:pt>
                <c:pt idx="10">
                  <c:v>0.1328125</c:v>
                </c:pt>
                <c:pt idx="11">
                  <c:v>0.17578125</c:v>
                </c:pt>
                <c:pt idx="12">
                  <c:v>0.2265625</c:v>
                </c:pt>
                <c:pt idx="13">
                  <c:v>0.28515625</c:v>
                </c:pt>
                <c:pt idx="14">
                  <c:v>0.36328125</c:v>
                </c:pt>
                <c:pt idx="15">
                  <c:v>0.43359375</c:v>
                </c:pt>
                <c:pt idx="16">
                  <c:v>0.51953125</c:v>
                </c:pt>
                <c:pt idx="17">
                  <c:v>0.63671875</c:v>
                </c:pt>
                <c:pt idx="18">
                  <c:v>0.73828125</c:v>
                </c:pt>
                <c:pt idx="19">
                  <c:v>0.8359375</c:v>
                </c:pt>
                <c:pt idx="20">
                  <c:v>0.91015625</c:v>
                </c:pt>
                <c:pt idx="21">
                  <c:v>1.03515625</c:v>
                </c:pt>
                <c:pt idx="22">
                  <c:v>1.15625</c:v>
                </c:pt>
                <c:pt idx="23">
                  <c:v>1.30078125</c:v>
                </c:pt>
                <c:pt idx="24">
                  <c:v>1.46875</c:v>
                </c:pt>
                <c:pt idx="25">
                  <c:v>1.703125</c:v>
                </c:pt>
                <c:pt idx="26">
                  <c:v>2.02734375</c:v>
                </c:pt>
                <c:pt idx="27">
                  <c:v>2.3046875</c:v>
                </c:pt>
                <c:pt idx="28">
                  <c:v>2.63671875</c:v>
                </c:pt>
                <c:pt idx="29">
                  <c:v>3.0078125</c:v>
                </c:pt>
                <c:pt idx="30">
                  <c:v>3.38671875</c:v>
                </c:pt>
                <c:pt idx="31">
                  <c:v>3.7890625</c:v>
                </c:pt>
                <c:pt idx="32">
                  <c:v>4.125</c:v>
                </c:pt>
                <c:pt idx="33">
                  <c:v>4.453125</c:v>
                </c:pt>
                <c:pt idx="34">
                  <c:v>4.90625</c:v>
                </c:pt>
                <c:pt idx="35">
                  <c:v>5.76171875</c:v>
                </c:pt>
                <c:pt idx="36">
                  <c:v>6.6640625</c:v>
                </c:pt>
                <c:pt idx="37">
                  <c:v>7.578125</c:v>
                </c:pt>
                <c:pt idx="38">
                  <c:v>8.73828125</c:v>
                </c:pt>
                <c:pt idx="39">
                  <c:v>9.71484375</c:v>
                </c:pt>
                <c:pt idx="40">
                  <c:v>10.921875</c:v>
                </c:pt>
                <c:pt idx="41">
                  <c:v>12.11328125</c:v>
                </c:pt>
                <c:pt idx="42">
                  <c:v>13.046875</c:v>
                </c:pt>
                <c:pt idx="43">
                  <c:v>14.421875</c:v>
                </c:pt>
                <c:pt idx="44">
                  <c:v>15.51171875</c:v>
                </c:pt>
                <c:pt idx="45">
                  <c:v>16.62109375</c:v>
                </c:pt>
                <c:pt idx="46">
                  <c:v>17.94140625</c:v>
                </c:pt>
                <c:pt idx="47">
                  <c:v>19.21484375</c:v>
                </c:pt>
                <c:pt idx="48">
                  <c:v>20.4921875</c:v>
                </c:pt>
                <c:pt idx="49">
                  <c:v>22.109375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10.334647473553273</c:v>
                      </c:pt>
                      <c:pt idx="3">
                        <c:v>11.496161123843871</c:v>
                      </c:pt>
                      <c:pt idx="4">
                        <c:v>12.003143044642707</c:v>
                      </c:pt>
                      <c:pt idx="5">
                        <c:v>12.158349669502936</c:v>
                      </c:pt>
                      <c:pt idx="6">
                        <c:v>12.274499741884528</c:v>
                      </c:pt>
                      <c:pt idx="7">
                        <c:v>12.328176497527366</c:v>
                      </c:pt>
                      <c:pt idx="8">
                        <c:v>12.353156210635536</c:v>
                      </c:pt>
                      <c:pt idx="9">
                        <c:v>12.367236716028813</c:v>
                      </c:pt>
                      <c:pt idx="10">
                        <c:v>12.376099890651201</c:v>
                      </c:pt>
                      <c:pt idx="11">
                        <c:v>12.382095767951904</c:v>
                      </c:pt>
                      <c:pt idx="12">
                        <c:v>12.386363087547856</c:v>
                      </c:pt>
                      <c:pt idx="13">
                        <c:v>12.389516607292421</c:v>
                      </c:pt>
                      <c:pt idx="14">
                        <c:v>12.391915440442265</c:v>
                      </c:pt>
                      <c:pt idx="15">
                        <c:v>12.39378239256833</c:v>
                      </c:pt>
                      <c:pt idx="16">
                        <c:v>12.395262440349432</c:v>
                      </c:pt>
                      <c:pt idx="17">
                        <c:v>12.396453631543507</c:v>
                      </c:pt>
                      <c:pt idx="18">
                        <c:v>12.397424429099154</c:v>
                      </c:pt>
                      <c:pt idx="19">
                        <c:v>12.39822394128176</c:v>
                      </c:pt>
                      <c:pt idx="20">
                        <c:v>12.398888211226174</c:v>
                      </c:pt>
                      <c:pt idx="21">
                        <c:v>12.399444222500335</c:v>
                      </c:pt>
                      <c:pt idx="22">
                        <c:v>12.399912528515626</c:v>
                      </c:pt>
                      <c:pt idx="23">
                        <c:v>12.400309024859643</c:v>
                      </c:pt>
                      <c:pt idx="24">
                        <c:v>12.400646171731562</c:v>
                      </c:pt>
                      <c:pt idx="25">
                        <c:v>12.401180002002722</c:v>
                      </c:pt>
                      <c:pt idx="26">
                        <c:v>12.401572197483258</c:v>
                      </c:pt>
                      <c:pt idx="27">
                        <c:v>12.401861465180154</c:v>
                      </c:pt>
                      <c:pt idx="28">
                        <c:v>12.40207438527262</c:v>
                      </c:pt>
                      <c:pt idx="29">
                        <c:v>12.403432409907126</c:v>
                      </c:pt>
                      <c:pt idx="30">
                        <c:v>12.404911205554665</c:v>
                      </c:pt>
                      <c:pt idx="31">
                        <c:v>12.406153088877668</c:v>
                      </c:pt>
                      <c:pt idx="32">
                        <c:v>12.407202728679936</c:v>
                      </c:pt>
                      <c:pt idx="33">
                        <c:v>12.408094715646888</c:v>
                      </c:pt>
                      <c:pt idx="34">
                        <c:v>12.408856198543228</c:v>
                      </c:pt>
                      <c:pt idx="35">
                        <c:v>12.410069662693783</c:v>
                      </c:pt>
                      <c:pt idx="36">
                        <c:v>12.410970233168381</c:v>
                      </c:pt>
                      <c:pt idx="37">
                        <c:v>12.41164267317531</c:v>
                      </c:pt>
                      <c:pt idx="38">
                        <c:v>12.412145319213776</c:v>
                      </c:pt>
                      <c:pt idx="39">
                        <c:v>12.41251939828849</c:v>
                      </c:pt>
                      <c:pt idx="40">
                        <c:v>12.412794709855611</c:v>
                      </c:pt>
                      <c:pt idx="41">
                        <c:v>12.412993215001887</c:v>
                      </c:pt>
                      <c:pt idx="42">
                        <c:v>12.413131372454158</c:v>
                      </c:pt>
                      <c:pt idx="43">
                        <c:v>12.413221700084515</c:v>
                      </c:pt>
                      <c:pt idx="44">
                        <c:v>12.413273842503573</c:v>
                      </c:pt>
                      <c:pt idx="45">
                        <c:v>12.413295316010965</c:v>
                      </c:pt>
                      <c:pt idx="46">
                        <c:v>12.413292038400241</c:v>
                      </c:pt>
                      <c:pt idx="47">
                        <c:v>12.413268711346323</c:v>
                      </c:pt>
                      <c:pt idx="48">
                        <c:v>12.413229100755458</c:v>
                      </c:pt>
                      <c:pt idx="49">
                        <c:v>12.413176245154677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12.416561846226472</c:v>
                      </c:pt>
                      <c:pt idx="2">
                        <c:v>12.416561846226472</c:v>
                      </c:pt>
                      <c:pt idx="3">
                        <c:v>12.416561846226472</c:v>
                      </c:pt>
                      <c:pt idx="4">
                        <c:v>12.416561846226472</c:v>
                      </c:pt>
                      <c:pt idx="5">
                        <c:v>12.416561846226472</c:v>
                      </c:pt>
                      <c:pt idx="6">
                        <c:v>12.416561846226472</c:v>
                      </c:pt>
                      <c:pt idx="7">
                        <c:v>12.416561846226472</c:v>
                      </c:pt>
                      <c:pt idx="8">
                        <c:v>12.416561846226472</c:v>
                      </c:pt>
                      <c:pt idx="9">
                        <c:v>12.416561846226472</c:v>
                      </c:pt>
                      <c:pt idx="10">
                        <c:v>12.416561846226472</c:v>
                      </c:pt>
                      <c:pt idx="11">
                        <c:v>12.416561846226472</c:v>
                      </c:pt>
                      <c:pt idx="12">
                        <c:v>12.416561846226472</c:v>
                      </c:pt>
                      <c:pt idx="13">
                        <c:v>12.416561846226472</c:v>
                      </c:pt>
                      <c:pt idx="14">
                        <c:v>12.416561846226472</c:v>
                      </c:pt>
                      <c:pt idx="15">
                        <c:v>12.416561846226472</c:v>
                      </c:pt>
                      <c:pt idx="16">
                        <c:v>12.416561846226472</c:v>
                      </c:pt>
                      <c:pt idx="17">
                        <c:v>12.416561846226472</c:v>
                      </c:pt>
                      <c:pt idx="18">
                        <c:v>12.416561846226472</c:v>
                      </c:pt>
                      <c:pt idx="19">
                        <c:v>12.416561846226472</c:v>
                      </c:pt>
                      <c:pt idx="20">
                        <c:v>12.416561846226472</c:v>
                      </c:pt>
                      <c:pt idx="21">
                        <c:v>12.416561846226472</c:v>
                      </c:pt>
                      <c:pt idx="22">
                        <c:v>12.416561846226472</c:v>
                      </c:pt>
                      <c:pt idx="23">
                        <c:v>12.416561846226472</c:v>
                      </c:pt>
                      <c:pt idx="24">
                        <c:v>12.416561846226472</c:v>
                      </c:pt>
                      <c:pt idx="25">
                        <c:v>12.416561846226472</c:v>
                      </c:pt>
                      <c:pt idx="26">
                        <c:v>12.416561846226472</c:v>
                      </c:pt>
                      <c:pt idx="27">
                        <c:v>12.416561846226472</c:v>
                      </c:pt>
                      <c:pt idx="28">
                        <c:v>12.416561846226472</c:v>
                      </c:pt>
                      <c:pt idx="29">
                        <c:v>12.416561846226472</c:v>
                      </c:pt>
                      <c:pt idx="30">
                        <c:v>12.416561846226472</c:v>
                      </c:pt>
                      <c:pt idx="31">
                        <c:v>12.416561846226472</c:v>
                      </c:pt>
                      <c:pt idx="32">
                        <c:v>12.416561846226472</c:v>
                      </c:pt>
                      <c:pt idx="33">
                        <c:v>12.416561846226472</c:v>
                      </c:pt>
                      <c:pt idx="34">
                        <c:v>12.416561846226472</c:v>
                      </c:pt>
                      <c:pt idx="35">
                        <c:v>12.416561846226472</c:v>
                      </c:pt>
                      <c:pt idx="36">
                        <c:v>12.416561846226472</c:v>
                      </c:pt>
                      <c:pt idx="37">
                        <c:v>12.416561846226472</c:v>
                      </c:pt>
                      <c:pt idx="38">
                        <c:v>12.416561846226472</c:v>
                      </c:pt>
                      <c:pt idx="39">
                        <c:v>12.416561846226472</c:v>
                      </c:pt>
                      <c:pt idx="40">
                        <c:v>12.416561846226472</c:v>
                      </c:pt>
                      <c:pt idx="41">
                        <c:v>12.416561846226472</c:v>
                      </c:pt>
                      <c:pt idx="42">
                        <c:v>12.416561846226472</c:v>
                      </c:pt>
                      <c:pt idx="43">
                        <c:v>12.416561846226472</c:v>
                      </c:pt>
                      <c:pt idx="44">
                        <c:v>12.416561846226472</c:v>
                      </c:pt>
                      <c:pt idx="45">
                        <c:v>12.416561846226472</c:v>
                      </c:pt>
                      <c:pt idx="46">
                        <c:v>12.416561846226472</c:v>
                      </c:pt>
                      <c:pt idx="47">
                        <c:v>12.416561846226472</c:v>
                      </c:pt>
                      <c:pt idx="48">
                        <c:v>12.416561846226472</c:v>
                      </c:pt>
                      <c:pt idx="49">
                        <c:v>12.416561846226472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12.416561846226472</c:v>
                      </c:pt>
                      <c:pt idx="2">
                        <c:v>2.0819143726731983</c:v>
                      </c:pt>
                      <c:pt idx="3">
                        <c:v>0.92040072238260073</c:v>
                      </c:pt>
                      <c:pt idx="4">
                        <c:v>0.41341880158376476</c:v>
                      </c:pt>
                      <c:pt idx="5">
                        <c:v>0.25821217672353569</c:v>
                      </c:pt>
                      <c:pt idx="6">
                        <c:v>0.14206210434194411</c:v>
                      </c:pt>
                      <c:pt idx="7">
                        <c:v>8.8385348699105748E-2</c:v>
                      </c:pt>
                      <c:pt idx="8">
                        <c:v>6.3405635590935816E-2</c:v>
                      </c:pt>
                      <c:pt idx="9">
                        <c:v>4.9325130197658495E-2</c:v>
                      </c:pt>
                      <c:pt idx="10">
                        <c:v>4.0461955575270991E-2</c:v>
                      </c:pt>
                      <c:pt idx="11">
                        <c:v>3.446607827456738E-2</c:v>
                      </c:pt>
                      <c:pt idx="12">
                        <c:v>3.0198758678615434E-2</c:v>
                      </c:pt>
                      <c:pt idx="13">
                        <c:v>2.7045238934050531E-2</c:v>
                      </c:pt>
                      <c:pt idx="14">
                        <c:v>2.4646405784206848E-2</c:v>
                      </c:pt>
                      <c:pt idx="15">
                        <c:v>2.2779453658142046E-2</c:v>
                      </c:pt>
                      <c:pt idx="16">
                        <c:v>2.129940587703949E-2</c:v>
                      </c:pt>
                      <c:pt idx="17">
                        <c:v>2.0108214682965198E-2</c:v>
                      </c:pt>
                      <c:pt idx="18">
                        <c:v>1.9137417127318201E-2</c:v>
                      </c:pt>
                      <c:pt idx="19">
                        <c:v>1.833790494471188E-2</c:v>
                      </c:pt>
                      <c:pt idx="20">
                        <c:v>1.7673635000297949E-2</c:v>
                      </c:pt>
                      <c:pt idx="21">
                        <c:v>1.7117623726136344E-2</c:v>
                      </c:pt>
                      <c:pt idx="22">
                        <c:v>1.6649317710845324E-2</c:v>
                      </c:pt>
                      <c:pt idx="23">
                        <c:v>1.6252821366828485E-2</c:v>
                      </c:pt>
                      <c:pt idx="24">
                        <c:v>1.5915674494909382E-2</c:v>
                      </c:pt>
                      <c:pt idx="25">
                        <c:v>1.5381844223750107E-2</c:v>
                      </c:pt>
                      <c:pt idx="26">
                        <c:v>1.4989648743213735E-2</c:v>
                      </c:pt>
                      <c:pt idx="27">
                        <c:v>1.4700381046317545E-2</c:v>
                      </c:pt>
                      <c:pt idx="28">
                        <c:v>1.4487460953851894E-2</c:v>
                      </c:pt>
                      <c:pt idx="29">
                        <c:v>1.3129436319346155E-2</c:v>
                      </c:pt>
                      <c:pt idx="30">
                        <c:v>1.1650640671806656E-2</c:v>
                      </c:pt>
                      <c:pt idx="31">
                        <c:v>1.0408757348804087E-2</c:v>
                      </c:pt>
                      <c:pt idx="32">
                        <c:v>9.3591175465359555E-3</c:v>
                      </c:pt>
                      <c:pt idx="33">
                        <c:v>8.4671305795840368E-3</c:v>
                      </c:pt>
                      <c:pt idx="34">
                        <c:v>7.705647683243555E-3</c:v>
                      </c:pt>
                      <c:pt idx="35">
                        <c:v>6.4921835326892108E-3</c:v>
                      </c:pt>
                      <c:pt idx="36">
                        <c:v>5.5916130580904166E-3</c:v>
                      </c:pt>
                      <c:pt idx="37">
                        <c:v>4.9191730511619625E-3</c:v>
                      </c:pt>
                      <c:pt idx="38">
                        <c:v>4.4165270126956813E-3</c:v>
                      </c:pt>
                      <c:pt idx="39">
                        <c:v>4.0424479379819189E-3</c:v>
                      </c:pt>
                      <c:pt idx="40">
                        <c:v>3.7671363708611239E-3</c:v>
                      </c:pt>
                      <c:pt idx="41">
                        <c:v>3.5686312245850615E-3</c:v>
                      </c:pt>
                      <c:pt idx="42">
                        <c:v>3.4304737723136469E-3</c:v>
                      </c:pt>
                      <c:pt idx="43">
                        <c:v>3.340146141956879E-3</c:v>
                      </c:pt>
                      <c:pt idx="44">
                        <c:v>3.2880037228988357E-3</c:v>
                      </c:pt>
                      <c:pt idx="45">
                        <c:v>3.2665302155070464E-3</c:v>
                      </c:pt>
                      <c:pt idx="46">
                        <c:v>3.2698078262303198E-3</c:v>
                      </c:pt>
                      <c:pt idx="47">
                        <c:v>3.2931348801490401E-3</c:v>
                      </c:pt>
                      <c:pt idx="48">
                        <c:v>3.3327454710132542E-3</c:v>
                      </c:pt>
                      <c:pt idx="49">
                        <c:v>3.3856010717947527E-3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12.416561846226472</c:v>
                      </c:pt>
                      <c:pt idx="2">
                        <c:v>10.409571863365992</c:v>
                      </c:pt>
                      <c:pt idx="3">
                        <c:v>9.2040072238260073</c:v>
                      </c:pt>
                      <c:pt idx="4">
                        <c:v>8.2683760316752952</c:v>
                      </c:pt>
                      <c:pt idx="5">
                        <c:v>7.7463653017060707</c:v>
                      </c:pt>
                      <c:pt idx="6">
                        <c:v>7.1031052170972053</c:v>
                      </c:pt>
                      <c:pt idx="7">
                        <c:v>6.6289011524329311</c:v>
                      </c:pt>
                      <c:pt idx="8">
                        <c:v>6.3405635590935816</c:v>
                      </c:pt>
                      <c:pt idx="9">
                        <c:v>6.1656412747073119</c:v>
                      </c:pt>
                      <c:pt idx="10">
                        <c:v>6.0692933362906487</c:v>
                      </c:pt>
                      <c:pt idx="11">
                        <c:v>6.0315636980492915</c:v>
                      </c:pt>
                      <c:pt idx="12">
                        <c:v>6.0397517357230868</c:v>
                      </c:pt>
                      <c:pt idx="13">
                        <c:v>6.0851787601613694</c:v>
                      </c:pt>
                      <c:pt idx="14">
                        <c:v>6.1616014460517121</c:v>
                      </c:pt>
                      <c:pt idx="15">
                        <c:v>6.2643497559890626</c:v>
                      </c:pt>
                      <c:pt idx="16">
                        <c:v>6.389821763111847</c:v>
                      </c:pt>
                      <c:pt idx="17">
                        <c:v>6.5351697719636892</c:v>
                      </c:pt>
                      <c:pt idx="18">
                        <c:v>6.6980959945613705</c:v>
                      </c:pt>
                      <c:pt idx="19">
                        <c:v>6.8767143542669551</c:v>
                      </c:pt>
                      <c:pt idx="20">
                        <c:v>7.0694540001191797</c:v>
                      </c:pt>
                      <c:pt idx="21">
                        <c:v>7.2749900836079462</c:v>
                      </c:pt>
                      <c:pt idx="22">
                        <c:v>7.4921929698803957</c:v>
                      </c:pt>
                      <c:pt idx="23">
                        <c:v>7.7200901492435303</c:v>
                      </c:pt>
                      <c:pt idx="24">
                        <c:v>7.957837247454691</c:v>
                      </c:pt>
                      <c:pt idx="25">
                        <c:v>8.4600143230625591</c:v>
                      </c:pt>
                      <c:pt idx="26">
                        <c:v>8.9937892459282409</c:v>
                      </c:pt>
                      <c:pt idx="27">
                        <c:v>9.5552476801064046</c:v>
                      </c:pt>
                      <c:pt idx="28">
                        <c:v>10.141222667696326</c:v>
                      </c:pt>
                      <c:pt idx="29">
                        <c:v>9.8470772395096162</c:v>
                      </c:pt>
                      <c:pt idx="30">
                        <c:v>9.3205125374453246</c:v>
                      </c:pt>
                      <c:pt idx="31">
                        <c:v>8.8474437464834743</c:v>
                      </c:pt>
                      <c:pt idx="32">
                        <c:v>8.42320579188236</c:v>
                      </c:pt>
                      <c:pt idx="33">
                        <c:v>8.043774050604835</c:v>
                      </c:pt>
                      <c:pt idx="34">
                        <c:v>7.705647683243555</c:v>
                      </c:pt>
                      <c:pt idx="35">
                        <c:v>7.1414018859581319</c:v>
                      </c:pt>
                      <c:pt idx="36">
                        <c:v>6.7099356697085</c:v>
                      </c:pt>
                      <c:pt idx="37">
                        <c:v>6.3949249665105512</c:v>
                      </c:pt>
                      <c:pt idx="38">
                        <c:v>6.1831378177739538</c:v>
                      </c:pt>
                      <c:pt idx="39">
                        <c:v>6.0636719069728784</c:v>
                      </c:pt>
                      <c:pt idx="40">
                        <c:v>6.0274181933777982</c:v>
                      </c:pt>
                      <c:pt idx="41">
                        <c:v>6.0666730817946046</c:v>
                      </c:pt>
                      <c:pt idx="42">
                        <c:v>6.1748527901645645</c:v>
                      </c:pt>
                      <c:pt idx="43">
                        <c:v>6.3462776697180701</c:v>
                      </c:pt>
                      <c:pt idx="44">
                        <c:v>6.5760074457976714</c:v>
                      </c:pt>
                      <c:pt idx="45">
                        <c:v>6.8597134525647974</c:v>
                      </c:pt>
                      <c:pt idx="46">
                        <c:v>7.1935772177067037</c:v>
                      </c:pt>
                      <c:pt idx="47">
                        <c:v>7.5742102243427922</c:v>
                      </c:pt>
                      <c:pt idx="48">
                        <c:v>7.9985891304318102</c:v>
                      </c:pt>
                      <c:pt idx="49">
                        <c:v>8.4640026794868817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12.416561846226472</c:v>
                </c:pt>
                <c:pt idx="2">
                  <c:v>2.0819143726731983</c:v>
                </c:pt>
                <c:pt idx="3">
                  <c:v>0.92040072238260073</c:v>
                </c:pt>
                <c:pt idx="4">
                  <c:v>0.41341880158376476</c:v>
                </c:pt>
                <c:pt idx="5">
                  <c:v>0.25821217672353569</c:v>
                </c:pt>
                <c:pt idx="6">
                  <c:v>0.14206210434194411</c:v>
                </c:pt>
                <c:pt idx="7">
                  <c:v>8.8385348699105748E-2</c:v>
                </c:pt>
                <c:pt idx="8">
                  <c:v>6.3405635590935816E-2</c:v>
                </c:pt>
                <c:pt idx="9">
                  <c:v>4.9325130197658495E-2</c:v>
                </c:pt>
                <c:pt idx="10">
                  <c:v>4.0461955575270991E-2</c:v>
                </c:pt>
                <c:pt idx="11">
                  <c:v>3.446607827456738E-2</c:v>
                </c:pt>
                <c:pt idx="12">
                  <c:v>3.0198758678615434E-2</c:v>
                </c:pt>
                <c:pt idx="13">
                  <c:v>2.7045238934050531E-2</c:v>
                </c:pt>
                <c:pt idx="14">
                  <c:v>2.4646405784206848E-2</c:v>
                </c:pt>
                <c:pt idx="15">
                  <c:v>2.2779453658142046E-2</c:v>
                </c:pt>
                <c:pt idx="16">
                  <c:v>2.129940587703949E-2</c:v>
                </c:pt>
                <c:pt idx="17">
                  <c:v>2.0108214682965198E-2</c:v>
                </c:pt>
                <c:pt idx="18">
                  <c:v>1.9137417127318201E-2</c:v>
                </c:pt>
                <c:pt idx="19">
                  <c:v>1.833790494471188E-2</c:v>
                </c:pt>
                <c:pt idx="20">
                  <c:v>1.7673635000297949E-2</c:v>
                </c:pt>
                <c:pt idx="21">
                  <c:v>1.7117623726136344E-2</c:v>
                </c:pt>
                <c:pt idx="22">
                  <c:v>1.6649317710845324E-2</c:v>
                </c:pt>
                <c:pt idx="23">
                  <c:v>1.6252821366828485E-2</c:v>
                </c:pt>
                <c:pt idx="24">
                  <c:v>1.5915674494909382E-2</c:v>
                </c:pt>
                <c:pt idx="25">
                  <c:v>1.5381844223750107E-2</c:v>
                </c:pt>
                <c:pt idx="26">
                  <c:v>1.4989648743213735E-2</c:v>
                </c:pt>
                <c:pt idx="27">
                  <c:v>1.4700381046317545E-2</c:v>
                </c:pt>
                <c:pt idx="28">
                  <c:v>1.4487460953851894E-2</c:v>
                </c:pt>
                <c:pt idx="29">
                  <c:v>1.3129436319346155E-2</c:v>
                </c:pt>
                <c:pt idx="30">
                  <c:v>1.1650640671806656E-2</c:v>
                </c:pt>
                <c:pt idx="31">
                  <c:v>1.0408757348804087E-2</c:v>
                </c:pt>
                <c:pt idx="32">
                  <c:v>9.3591175465359555E-3</c:v>
                </c:pt>
                <c:pt idx="33">
                  <c:v>8.4671305795840368E-3</c:v>
                </c:pt>
                <c:pt idx="34">
                  <c:v>7.705647683243555E-3</c:v>
                </c:pt>
                <c:pt idx="35">
                  <c:v>6.4921835326892108E-3</c:v>
                </c:pt>
                <c:pt idx="36">
                  <c:v>5.5916130580904166E-3</c:v>
                </c:pt>
                <c:pt idx="37">
                  <c:v>4.9191730511619625E-3</c:v>
                </c:pt>
                <c:pt idx="38">
                  <c:v>4.4165270126956813E-3</c:v>
                </c:pt>
                <c:pt idx="39">
                  <c:v>4.0424479379819189E-3</c:v>
                </c:pt>
                <c:pt idx="40">
                  <c:v>3.7671363708611239E-3</c:v>
                </c:pt>
                <c:pt idx="41">
                  <c:v>3.5686312245850615E-3</c:v>
                </c:pt>
                <c:pt idx="42">
                  <c:v>3.4304737723136469E-3</c:v>
                </c:pt>
                <c:pt idx="43">
                  <c:v>3.340146141956879E-3</c:v>
                </c:pt>
                <c:pt idx="44">
                  <c:v>3.2880037228988357E-3</c:v>
                </c:pt>
                <c:pt idx="45">
                  <c:v>3.2665302155070464E-3</c:v>
                </c:pt>
                <c:pt idx="46">
                  <c:v>3.2698078262303198E-3</c:v>
                </c:pt>
                <c:pt idx="47">
                  <c:v>3.2931348801490401E-3</c:v>
                </c:pt>
                <c:pt idx="48">
                  <c:v>3.3327454710132542E-3</c:v>
                </c:pt>
                <c:pt idx="49">
                  <c:v>3.3856010717947527E-3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10.334647473553273</c:v>
                      </c:pt>
                      <c:pt idx="3">
                        <c:v>11.496161123843871</c:v>
                      </c:pt>
                      <c:pt idx="4">
                        <c:v>12.003143044642707</c:v>
                      </c:pt>
                      <c:pt idx="5">
                        <c:v>12.158349669502936</c:v>
                      </c:pt>
                      <c:pt idx="6">
                        <c:v>12.274499741884528</c:v>
                      </c:pt>
                      <c:pt idx="7">
                        <c:v>12.328176497527366</c:v>
                      </c:pt>
                      <c:pt idx="8">
                        <c:v>12.353156210635536</c:v>
                      </c:pt>
                      <c:pt idx="9">
                        <c:v>12.367236716028813</c:v>
                      </c:pt>
                      <c:pt idx="10">
                        <c:v>12.376099890651201</c:v>
                      </c:pt>
                      <c:pt idx="11">
                        <c:v>12.382095767951904</c:v>
                      </c:pt>
                      <c:pt idx="12">
                        <c:v>12.386363087547856</c:v>
                      </c:pt>
                      <c:pt idx="13">
                        <c:v>12.389516607292421</c:v>
                      </c:pt>
                      <c:pt idx="14">
                        <c:v>12.391915440442265</c:v>
                      </c:pt>
                      <c:pt idx="15">
                        <c:v>12.39378239256833</c:v>
                      </c:pt>
                      <c:pt idx="16">
                        <c:v>12.395262440349432</c:v>
                      </c:pt>
                      <c:pt idx="17">
                        <c:v>12.396453631543507</c:v>
                      </c:pt>
                      <c:pt idx="18">
                        <c:v>12.397424429099154</c:v>
                      </c:pt>
                      <c:pt idx="19">
                        <c:v>12.39822394128176</c:v>
                      </c:pt>
                      <c:pt idx="20">
                        <c:v>12.398888211226174</c:v>
                      </c:pt>
                      <c:pt idx="21">
                        <c:v>12.399444222500335</c:v>
                      </c:pt>
                      <c:pt idx="22">
                        <c:v>12.399912528515626</c:v>
                      </c:pt>
                      <c:pt idx="23">
                        <c:v>12.400309024859643</c:v>
                      </c:pt>
                      <c:pt idx="24">
                        <c:v>12.400646171731562</c:v>
                      </c:pt>
                      <c:pt idx="25">
                        <c:v>12.401180002002722</c:v>
                      </c:pt>
                      <c:pt idx="26">
                        <c:v>12.401572197483258</c:v>
                      </c:pt>
                      <c:pt idx="27">
                        <c:v>12.401861465180154</c:v>
                      </c:pt>
                      <c:pt idx="28">
                        <c:v>12.40207438527262</c:v>
                      </c:pt>
                      <c:pt idx="29">
                        <c:v>12.403432409907126</c:v>
                      </c:pt>
                      <c:pt idx="30">
                        <c:v>12.404911205554665</c:v>
                      </c:pt>
                      <c:pt idx="31">
                        <c:v>12.406153088877668</c:v>
                      </c:pt>
                      <c:pt idx="32">
                        <c:v>12.407202728679936</c:v>
                      </c:pt>
                      <c:pt idx="33">
                        <c:v>12.408094715646888</c:v>
                      </c:pt>
                      <c:pt idx="34">
                        <c:v>12.408856198543228</c:v>
                      </c:pt>
                      <c:pt idx="35">
                        <c:v>12.410069662693783</c:v>
                      </c:pt>
                      <c:pt idx="36">
                        <c:v>12.410970233168381</c:v>
                      </c:pt>
                      <c:pt idx="37">
                        <c:v>12.41164267317531</c:v>
                      </c:pt>
                      <c:pt idx="38">
                        <c:v>12.412145319213776</c:v>
                      </c:pt>
                      <c:pt idx="39">
                        <c:v>12.41251939828849</c:v>
                      </c:pt>
                      <c:pt idx="40">
                        <c:v>12.412794709855611</c:v>
                      </c:pt>
                      <c:pt idx="41">
                        <c:v>12.412993215001887</c:v>
                      </c:pt>
                      <c:pt idx="42">
                        <c:v>12.413131372454158</c:v>
                      </c:pt>
                      <c:pt idx="43">
                        <c:v>12.413221700084515</c:v>
                      </c:pt>
                      <c:pt idx="44">
                        <c:v>12.413273842503573</c:v>
                      </c:pt>
                      <c:pt idx="45">
                        <c:v>12.413295316010965</c:v>
                      </c:pt>
                      <c:pt idx="46">
                        <c:v>12.413292038400241</c:v>
                      </c:pt>
                      <c:pt idx="47">
                        <c:v>12.413268711346323</c:v>
                      </c:pt>
                      <c:pt idx="48">
                        <c:v>12.413229100755458</c:v>
                      </c:pt>
                      <c:pt idx="49">
                        <c:v>12.413176245154677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3.90625E-3</c:v>
                      </c:pt>
                      <c:pt idx="4">
                        <c:v>0</c:v>
                      </c:pt>
                      <c:pt idx="5">
                        <c:v>3.90625E-3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6.25E-2</c:v>
                      </c:pt>
                      <c:pt idx="9">
                        <c:v>9.375E-2</c:v>
                      </c:pt>
                      <c:pt idx="10">
                        <c:v>0.1328125</c:v>
                      </c:pt>
                      <c:pt idx="11">
                        <c:v>0.17578125</c:v>
                      </c:pt>
                      <c:pt idx="12">
                        <c:v>0.2265625</c:v>
                      </c:pt>
                      <c:pt idx="13">
                        <c:v>0.28515625</c:v>
                      </c:pt>
                      <c:pt idx="14">
                        <c:v>0.36328125</c:v>
                      </c:pt>
                      <c:pt idx="15">
                        <c:v>0.43359375</c:v>
                      </c:pt>
                      <c:pt idx="16">
                        <c:v>0.51953125</c:v>
                      </c:pt>
                      <c:pt idx="17">
                        <c:v>0.63671875</c:v>
                      </c:pt>
                      <c:pt idx="18">
                        <c:v>0.73828125</c:v>
                      </c:pt>
                      <c:pt idx="19">
                        <c:v>0.8359375</c:v>
                      </c:pt>
                      <c:pt idx="20">
                        <c:v>0.91015625</c:v>
                      </c:pt>
                      <c:pt idx="21">
                        <c:v>1.03515625</c:v>
                      </c:pt>
                      <c:pt idx="22">
                        <c:v>1.15625</c:v>
                      </c:pt>
                      <c:pt idx="23">
                        <c:v>1.30078125</c:v>
                      </c:pt>
                      <c:pt idx="24">
                        <c:v>1.46875</c:v>
                      </c:pt>
                      <c:pt idx="25">
                        <c:v>1.703125</c:v>
                      </c:pt>
                      <c:pt idx="26">
                        <c:v>2.02734375</c:v>
                      </c:pt>
                      <c:pt idx="27">
                        <c:v>2.3046875</c:v>
                      </c:pt>
                      <c:pt idx="28">
                        <c:v>2.63671875</c:v>
                      </c:pt>
                      <c:pt idx="29">
                        <c:v>3.0078125</c:v>
                      </c:pt>
                      <c:pt idx="30">
                        <c:v>3.38671875</c:v>
                      </c:pt>
                      <c:pt idx="31">
                        <c:v>3.7890625</c:v>
                      </c:pt>
                      <c:pt idx="32">
                        <c:v>4.125</c:v>
                      </c:pt>
                      <c:pt idx="33">
                        <c:v>4.453125</c:v>
                      </c:pt>
                      <c:pt idx="34">
                        <c:v>4.90625</c:v>
                      </c:pt>
                      <c:pt idx="35">
                        <c:v>5.76171875</c:v>
                      </c:pt>
                      <c:pt idx="36">
                        <c:v>6.6640625</c:v>
                      </c:pt>
                      <c:pt idx="37">
                        <c:v>7.578125</c:v>
                      </c:pt>
                      <c:pt idx="38">
                        <c:v>8.73828125</c:v>
                      </c:pt>
                      <c:pt idx="39">
                        <c:v>9.71484375</c:v>
                      </c:pt>
                      <c:pt idx="40">
                        <c:v>10.921875</c:v>
                      </c:pt>
                      <c:pt idx="41">
                        <c:v>12.11328125</c:v>
                      </c:pt>
                      <c:pt idx="42">
                        <c:v>13.046875</c:v>
                      </c:pt>
                      <c:pt idx="43">
                        <c:v>14.421875</c:v>
                      </c:pt>
                      <c:pt idx="44">
                        <c:v>15.51171875</c:v>
                      </c:pt>
                      <c:pt idx="45">
                        <c:v>16.62109375</c:v>
                      </c:pt>
                      <c:pt idx="46">
                        <c:v>17.94140625</c:v>
                      </c:pt>
                      <c:pt idx="47">
                        <c:v>19.21484375</c:v>
                      </c:pt>
                      <c:pt idx="48">
                        <c:v>20.4921875</c:v>
                      </c:pt>
                      <c:pt idx="49">
                        <c:v>22.109375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12.416561846226472</c:v>
                      </c:pt>
                      <c:pt idx="2">
                        <c:v>12.416561846226472</c:v>
                      </c:pt>
                      <c:pt idx="3">
                        <c:v>12.416561846226472</c:v>
                      </c:pt>
                      <c:pt idx="4">
                        <c:v>12.416561846226472</c:v>
                      </c:pt>
                      <c:pt idx="5">
                        <c:v>12.416561846226472</c:v>
                      </c:pt>
                      <c:pt idx="6">
                        <c:v>12.416561846226472</c:v>
                      </c:pt>
                      <c:pt idx="7">
                        <c:v>12.416561846226472</c:v>
                      </c:pt>
                      <c:pt idx="8">
                        <c:v>12.416561846226472</c:v>
                      </c:pt>
                      <c:pt idx="9">
                        <c:v>12.416561846226472</c:v>
                      </c:pt>
                      <c:pt idx="10">
                        <c:v>12.416561846226472</c:v>
                      </c:pt>
                      <c:pt idx="11">
                        <c:v>12.416561846226472</c:v>
                      </c:pt>
                      <c:pt idx="12">
                        <c:v>12.416561846226472</c:v>
                      </c:pt>
                      <c:pt idx="13">
                        <c:v>12.416561846226472</c:v>
                      </c:pt>
                      <c:pt idx="14">
                        <c:v>12.416561846226472</c:v>
                      </c:pt>
                      <c:pt idx="15">
                        <c:v>12.416561846226472</c:v>
                      </c:pt>
                      <c:pt idx="16">
                        <c:v>12.416561846226472</c:v>
                      </c:pt>
                      <c:pt idx="17">
                        <c:v>12.416561846226472</c:v>
                      </c:pt>
                      <c:pt idx="18">
                        <c:v>12.416561846226472</c:v>
                      </c:pt>
                      <c:pt idx="19">
                        <c:v>12.416561846226472</c:v>
                      </c:pt>
                      <c:pt idx="20">
                        <c:v>12.416561846226472</c:v>
                      </c:pt>
                      <c:pt idx="21">
                        <c:v>12.416561846226472</c:v>
                      </c:pt>
                      <c:pt idx="22">
                        <c:v>12.416561846226472</c:v>
                      </c:pt>
                      <c:pt idx="23">
                        <c:v>12.416561846226472</c:v>
                      </c:pt>
                      <c:pt idx="24">
                        <c:v>12.416561846226472</c:v>
                      </c:pt>
                      <c:pt idx="25">
                        <c:v>12.416561846226472</c:v>
                      </c:pt>
                      <c:pt idx="26">
                        <c:v>12.416561846226472</c:v>
                      </c:pt>
                      <c:pt idx="27">
                        <c:v>12.416561846226472</c:v>
                      </c:pt>
                      <c:pt idx="28">
                        <c:v>12.416561846226472</c:v>
                      </c:pt>
                      <c:pt idx="29">
                        <c:v>12.416561846226472</c:v>
                      </c:pt>
                      <c:pt idx="30">
                        <c:v>12.416561846226472</c:v>
                      </c:pt>
                      <c:pt idx="31">
                        <c:v>12.416561846226472</c:v>
                      </c:pt>
                      <c:pt idx="32">
                        <c:v>12.416561846226472</c:v>
                      </c:pt>
                      <c:pt idx="33">
                        <c:v>12.416561846226472</c:v>
                      </c:pt>
                      <c:pt idx="34">
                        <c:v>12.416561846226472</c:v>
                      </c:pt>
                      <c:pt idx="35">
                        <c:v>12.416561846226472</c:v>
                      </c:pt>
                      <c:pt idx="36">
                        <c:v>12.416561846226472</c:v>
                      </c:pt>
                      <c:pt idx="37">
                        <c:v>12.416561846226472</c:v>
                      </c:pt>
                      <c:pt idx="38">
                        <c:v>12.416561846226472</c:v>
                      </c:pt>
                      <c:pt idx="39">
                        <c:v>12.416561846226472</c:v>
                      </c:pt>
                      <c:pt idx="40">
                        <c:v>12.416561846226472</c:v>
                      </c:pt>
                      <c:pt idx="41">
                        <c:v>12.416561846226472</c:v>
                      </c:pt>
                      <c:pt idx="42">
                        <c:v>12.416561846226472</c:v>
                      </c:pt>
                      <c:pt idx="43">
                        <c:v>12.416561846226472</c:v>
                      </c:pt>
                      <c:pt idx="44">
                        <c:v>12.416561846226472</c:v>
                      </c:pt>
                      <c:pt idx="45">
                        <c:v>12.416561846226472</c:v>
                      </c:pt>
                      <c:pt idx="46">
                        <c:v>12.416561846226472</c:v>
                      </c:pt>
                      <c:pt idx="47">
                        <c:v>12.416561846226472</c:v>
                      </c:pt>
                      <c:pt idx="48">
                        <c:v>12.416561846226472</c:v>
                      </c:pt>
                      <c:pt idx="49">
                        <c:v>12.416561846226472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12.416561846226472</c:v>
                      </c:pt>
                      <c:pt idx="2">
                        <c:v>10.409571863365992</c:v>
                      </c:pt>
                      <c:pt idx="3">
                        <c:v>9.2040072238260073</c:v>
                      </c:pt>
                      <c:pt idx="4">
                        <c:v>8.2683760316752952</c:v>
                      </c:pt>
                      <c:pt idx="5">
                        <c:v>7.7463653017060707</c:v>
                      </c:pt>
                      <c:pt idx="6">
                        <c:v>7.1031052170972053</c:v>
                      </c:pt>
                      <c:pt idx="7">
                        <c:v>6.6289011524329311</c:v>
                      </c:pt>
                      <c:pt idx="8">
                        <c:v>6.3405635590935816</c:v>
                      </c:pt>
                      <c:pt idx="9">
                        <c:v>6.1656412747073119</c:v>
                      </c:pt>
                      <c:pt idx="10">
                        <c:v>6.0692933362906487</c:v>
                      </c:pt>
                      <c:pt idx="11">
                        <c:v>6.0315636980492915</c:v>
                      </c:pt>
                      <c:pt idx="12">
                        <c:v>6.0397517357230868</c:v>
                      </c:pt>
                      <c:pt idx="13">
                        <c:v>6.0851787601613694</c:v>
                      </c:pt>
                      <c:pt idx="14">
                        <c:v>6.1616014460517121</c:v>
                      </c:pt>
                      <c:pt idx="15">
                        <c:v>6.2643497559890626</c:v>
                      </c:pt>
                      <c:pt idx="16">
                        <c:v>6.389821763111847</c:v>
                      </c:pt>
                      <c:pt idx="17">
                        <c:v>6.5351697719636892</c:v>
                      </c:pt>
                      <c:pt idx="18">
                        <c:v>6.6980959945613705</c:v>
                      </c:pt>
                      <c:pt idx="19">
                        <c:v>6.8767143542669551</c:v>
                      </c:pt>
                      <c:pt idx="20">
                        <c:v>7.0694540001191797</c:v>
                      </c:pt>
                      <c:pt idx="21">
                        <c:v>7.2749900836079462</c:v>
                      </c:pt>
                      <c:pt idx="22">
                        <c:v>7.4921929698803957</c:v>
                      </c:pt>
                      <c:pt idx="23">
                        <c:v>7.7200901492435303</c:v>
                      </c:pt>
                      <c:pt idx="24">
                        <c:v>7.957837247454691</c:v>
                      </c:pt>
                      <c:pt idx="25">
                        <c:v>8.4600143230625591</c:v>
                      </c:pt>
                      <c:pt idx="26">
                        <c:v>8.9937892459282409</c:v>
                      </c:pt>
                      <c:pt idx="27">
                        <c:v>9.5552476801064046</c:v>
                      </c:pt>
                      <c:pt idx="28">
                        <c:v>10.141222667696326</c:v>
                      </c:pt>
                      <c:pt idx="29">
                        <c:v>9.8470772395096162</c:v>
                      </c:pt>
                      <c:pt idx="30">
                        <c:v>9.3205125374453246</c:v>
                      </c:pt>
                      <c:pt idx="31">
                        <c:v>8.8474437464834743</c:v>
                      </c:pt>
                      <c:pt idx="32">
                        <c:v>8.42320579188236</c:v>
                      </c:pt>
                      <c:pt idx="33">
                        <c:v>8.043774050604835</c:v>
                      </c:pt>
                      <c:pt idx="34">
                        <c:v>7.705647683243555</c:v>
                      </c:pt>
                      <c:pt idx="35">
                        <c:v>7.1414018859581319</c:v>
                      </c:pt>
                      <c:pt idx="36">
                        <c:v>6.7099356697085</c:v>
                      </c:pt>
                      <c:pt idx="37">
                        <c:v>6.3949249665105512</c:v>
                      </c:pt>
                      <c:pt idx="38">
                        <c:v>6.1831378177739538</c:v>
                      </c:pt>
                      <c:pt idx="39">
                        <c:v>6.0636719069728784</c:v>
                      </c:pt>
                      <c:pt idx="40">
                        <c:v>6.0274181933777982</c:v>
                      </c:pt>
                      <c:pt idx="41">
                        <c:v>6.0666730817946046</c:v>
                      </c:pt>
                      <c:pt idx="42">
                        <c:v>6.1748527901645645</c:v>
                      </c:pt>
                      <c:pt idx="43">
                        <c:v>6.3462776697180701</c:v>
                      </c:pt>
                      <c:pt idx="44">
                        <c:v>6.5760074457976714</c:v>
                      </c:pt>
                      <c:pt idx="45">
                        <c:v>6.8597134525647974</c:v>
                      </c:pt>
                      <c:pt idx="46">
                        <c:v>7.1935772177067037</c:v>
                      </c:pt>
                      <c:pt idx="47">
                        <c:v>7.5742102243427922</c:v>
                      </c:pt>
                      <c:pt idx="48">
                        <c:v>7.9985891304318102</c:v>
                      </c:pt>
                      <c:pt idx="49">
                        <c:v>8.4640026794868817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12.416561846226472</c:v>
                </c:pt>
                <c:pt idx="2">
                  <c:v>10.409571863365992</c:v>
                </c:pt>
                <c:pt idx="3">
                  <c:v>9.2040072238260073</c:v>
                </c:pt>
                <c:pt idx="4">
                  <c:v>8.2683760316752952</c:v>
                </c:pt>
                <c:pt idx="5">
                  <c:v>7.7463653017060707</c:v>
                </c:pt>
                <c:pt idx="6">
                  <c:v>7.1031052170972053</c:v>
                </c:pt>
                <c:pt idx="7">
                  <c:v>6.6289011524329311</c:v>
                </c:pt>
                <c:pt idx="8">
                  <c:v>6.3405635590935816</c:v>
                </c:pt>
                <c:pt idx="9">
                  <c:v>6.1656412747073119</c:v>
                </c:pt>
                <c:pt idx="10">
                  <c:v>6.0692933362906487</c:v>
                </c:pt>
                <c:pt idx="11">
                  <c:v>6.0315636980492915</c:v>
                </c:pt>
                <c:pt idx="12">
                  <c:v>6.0397517357230868</c:v>
                </c:pt>
                <c:pt idx="13">
                  <c:v>6.0851787601613694</c:v>
                </c:pt>
                <c:pt idx="14">
                  <c:v>6.1616014460517121</c:v>
                </c:pt>
                <c:pt idx="15">
                  <c:v>6.2643497559890626</c:v>
                </c:pt>
                <c:pt idx="16">
                  <c:v>6.389821763111847</c:v>
                </c:pt>
                <c:pt idx="17">
                  <c:v>6.5351697719636892</c:v>
                </c:pt>
                <c:pt idx="18">
                  <c:v>6.6980959945613705</c:v>
                </c:pt>
                <c:pt idx="19">
                  <c:v>6.8767143542669551</c:v>
                </c:pt>
                <c:pt idx="20">
                  <c:v>7.0694540001191797</c:v>
                </c:pt>
                <c:pt idx="21">
                  <c:v>7.2749900836079462</c:v>
                </c:pt>
                <c:pt idx="22">
                  <c:v>7.4921929698803957</c:v>
                </c:pt>
                <c:pt idx="23">
                  <c:v>7.7200901492435303</c:v>
                </c:pt>
                <c:pt idx="24">
                  <c:v>7.957837247454691</c:v>
                </c:pt>
                <c:pt idx="25">
                  <c:v>8.4600143230625591</c:v>
                </c:pt>
                <c:pt idx="26">
                  <c:v>8.9937892459282409</c:v>
                </c:pt>
                <c:pt idx="27">
                  <c:v>9.5552476801064046</c:v>
                </c:pt>
                <c:pt idx="28">
                  <c:v>10.141222667696326</c:v>
                </c:pt>
                <c:pt idx="29">
                  <c:v>9.8470772395096162</c:v>
                </c:pt>
                <c:pt idx="30">
                  <c:v>9.3205125374453246</c:v>
                </c:pt>
                <c:pt idx="31">
                  <c:v>8.8474437464834743</c:v>
                </c:pt>
                <c:pt idx="32">
                  <c:v>8.42320579188236</c:v>
                </c:pt>
                <c:pt idx="33">
                  <c:v>8.043774050604835</c:v>
                </c:pt>
                <c:pt idx="34">
                  <c:v>7.705647683243555</c:v>
                </c:pt>
                <c:pt idx="35">
                  <c:v>7.1414018859581319</c:v>
                </c:pt>
                <c:pt idx="36">
                  <c:v>6.7099356697085</c:v>
                </c:pt>
                <c:pt idx="37">
                  <c:v>6.3949249665105512</c:v>
                </c:pt>
                <c:pt idx="38">
                  <c:v>6.1831378177739538</c:v>
                </c:pt>
                <c:pt idx="39">
                  <c:v>6.0636719069728784</c:v>
                </c:pt>
                <c:pt idx="40">
                  <c:v>6.0274181933777982</c:v>
                </c:pt>
                <c:pt idx="41">
                  <c:v>6.0666730817946046</c:v>
                </c:pt>
                <c:pt idx="42">
                  <c:v>6.1748527901645645</c:v>
                </c:pt>
                <c:pt idx="43">
                  <c:v>6.3462776697180701</c:v>
                </c:pt>
                <c:pt idx="44">
                  <c:v>6.5760074457976714</c:v>
                </c:pt>
                <c:pt idx="45">
                  <c:v>6.8597134525647974</c:v>
                </c:pt>
                <c:pt idx="46">
                  <c:v>7.1935772177067037</c:v>
                </c:pt>
                <c:pt idx="47">
                  <c:v>7.5742102243427922</c:v>
                </c:pt>
                <c:pt idx="48">
                  <c:v>7.9985891304318102</c:v>
                </c:pt>
                <c:pt idx="49">
                  <c:v>8.4640026794868817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10.334647473553273</c:v>
                      </c:pt>
                      <c:pt idx="3">
                        <c:v>11.496161123843871</c:v>
                      </c:pt>
                      <c:pt idx="4">
                        <c:v>12.003143044642707</c:v>
                      </c:pt>
                      <c:pt idx="5">
                        <c:v>12.158349669502936</c:v>
                      </c:pt>
                      <c:pt idx="6">
                        <c:v>12.274499741884528</c:v>
                      </c:pt>
                      <c:pt idx="7">
                        <c:v>12.328176497527366</c:v>
                      </c:pt>
                      <c:pt idx="8">
                        <c:v>12.353156210635536</c:v>
                      </c:pt>
                      <c:pt idx="9">
                        <c:v>12.367236716028813</c:v>
                      </c:pt>
                      <c:pt idx="10">
                        <c:v>12.376099890651201</c:v>
                      </c:pt>
                      <c:pt idx="11">
                        <c:v>12.382095767951904</c:v>
                      </c:pt>
                      <c:pt idx="12">
                        <c:v>12.386363087547856</c:v>
                      </c:pt>
                      <c:pt idx="13">
                        <c:v>12.389516607292421</c:v>
                      </c:pt>
                      <c:pt idx="14">
                        <c:v>12.391915440442265</c:v>
                      </c:pt>
                      <c:pt idx="15">
                        <c:v>12.39378239256833</c:v>
                      </c:pt>
                      <c:pt idx="16">
                        <c:v>12.395262440349432</c:v>
                      </c:pt>
                      <c:pt idx="17">
                        <c:v>12.396453631543507</c:v>
                      </c:pt>
                      <c:pt idx="18">
                        <c:v>12.397424429099154</c:v>
                      </c:pt>
                      <c:pt idx="19">
                        <c:v>12.39822394128176</c:v>
                      </c:pt>
                      <c:pt idx="20">
                        <c:v>12.398888211226174</c:v>
                      </c:pt>
                      <c:pt idx="21">
                        <c:v>12.399444222500335</c:v>
                      </c:pt>
                      <c:pt idx="22">
                        <c:v>12.399912528515626</c:v>
                      </c:pt>
                      <c:pt idx="23">
                        <c:v>12.400309024859643</c:v>
                      </c:pt>
                      <c:pt idx="24">
                        <c:v>12.400646171731562</c:v>
                      </c:pt>
                      <c:pt idx="25">
                        <c:v>12.401180002002722</c:v>
                      </c:pt>
                      <c:pt idx="26">
                        <c:v>12.401572197483258</c:v>
                      </c:pt>
                      <c:pt idx="27">
                        <c:v>12.401861465180154</c:v>
                      </c:pt>
                      <c:pt idx="28">
                        <c:v>12.40207438527262</c:v>
                      </c:pt>
                      <c:pt idx="29">
                        <c:v>12.403432409907126</c:v>
                      </c:pt>
                      <c:pt idx="30">
                        <c:v>12.404911205554665</c:v>
                      </c:pt>
                      <c:pt idx="31">
                        <c:v>12.406153088877668</c:v>
                      </c:pt>
                      <c:pt idx="32">
                        <c:v>12.407202728679936</c:v>
                      </c:pt>
                      <c:pt idx="33">
                        <c:v>12.408094715646888</c:v>
                      </c:pt>
                      <c:pt idx="34">
                        <c:v>12.408856198543228</c:v>
                      </c:pt>
                      <c:pt idx="35">
                        <c:v>12.410069662693783</c:v>
                      </c:pt>
                      <c:pt idx="36">
                        <c:v>12.410970233168381</c:v>
                      </c:pt>
                      <c:pt idx="37">
                        <c:v>12.41164267317531</c:v>
                      </c:pt>
                      <c:pt idx="38">
                        <c:v>12.412145319213776</c:v>
                      </c:pt>
                      <c:pt idx="39">
                        <c:v>12.41251939828849</c:v>
                      </c:pt>
                      <c:pt idx="40">
                        <c:v>12.412794709855611</c:v>
                      </c:pt>
                      <c:pt idx="41">
                        <c:v>12.412993215001887</c:v>
                      </c:pt>
                      <c:pt idx="42">
                        <c:v>12.413131372454158</c:v>
                      </c:pt>
                      <c:pt idx="43">
                        <c:v>12.413221700084515</c:v>
                      </c:pt>
                      <c:pt idx="44">
                        <c:v>12.413273842503573</c:v>
                      </c:pt>
                      <c:pt idx="45">
                        <c:v>12.413295316010965</c:v>
                      </c:pt>
                      <c:pt idx="46">
                        <c:v>12.413292038400241</c:v>
                      </c:pt>
                      <c:pt idx="47">
                        <c:v>12.413268711346323</c:v>
                      </c:pt>
                      <c:pt idx="48">
                        <c:v>12.413229100755458</c:v>
                      </c:pt>
                      <c:pt idx="49">
                        <c:v>12.413176245154677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3.90625E-3</c:v>
                      </c:pt>
                      <c:pt idx="4">
                        <c:v>0</c:v>
                      </c:pt>
                      <c:pt idx="5">
                        <c:v>3.90625E-3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6.25E-2</c:v>
                      </c:pt>
                      <c:pt idx="9">
                        <c:v>9.375E-2</c:v>
                      </c:pt>
                      <c:pt idx="10">
                        <c:v>0.1328125</c:v>
                      </c:pt>
                      <c:pt idx="11">
                        <c:v>0.17578125</c:v>
                      </c:pt>
                      <c:pt idx="12">
                        <c:v>0.2265625</c:v>
                      </c:pt>
                      <c:pt idx="13">
                        <c:v>0.28515625</c:v>
                      </c:pt>
                      <c:pt idx="14">
                        <c:v>0.36328125</c:v>
                      </c:pt>
                      <c:pt idx="15">
                        <c:v>0.43359375</c:v>
                      </c:pt>
                      <c:pt idx="16">
                        <c:v>0.51953125</c:v>
                      </c:pt>
                      <c:pt idx="17">
                        <c:v>0.63671875</c:v>
                      </c:pt>
                      <c:pt idx="18">
                        <c:v>0.73828125</c:v>
                      </c:pt>
                      <c:pt idx="19">
                        <c:v>0.8359375</c:v>
                      </c:pt>
                      <c:pt idx="20">
                        <c:v>0.91015625</c:v>
                      </c:pt>
                      <c:pt idx="21">
                        <c:v>1.03515625</c:v>
                      </c:pt>
                      <c:pt idx="22">
                        <c:v>1.15625</c:v>
                      </c:pt>
                      <c:pt idx="23">
                        <c:v>1.30078125</c:v>
                      </c:pt>
                      <c:pt idx="24">
                        <c:v>1.46875</c:v>
                      </c:pt>
                      <c:pt idx="25">
                        <c:v>1.703125</c:v>
                      </c:pt>
                      <c:pt idx="26">
                        <c:v>2.02734375</c:v>
                      </c:pt>
                      <c:pt idx="27">
                        <c:v>2.3046875</c:v>
                      </c:pt>
                      <c:pt idx="28">
                        <c:v>2.63671875</c:v>
                      </c:pt>
                      <c:pt idx="29">
                        <c:v>3.0078125</c:v>
                      </c:pt>
                      <c:pt idx="30">
                        <c:v>3.38671875</c:v>
                      </c:pt>
                      <c:pt idx="31">
                        <c:v>3.7890625</c:v>
                      </c:pt>
                      <c:pt idx="32">
                        <c:v>4.125</c:v>
                      </c:pt>
                      <c:pt idx="33">
                        <c:v>4.453125</c:v>
                      </c:pt>
                      <c:pt idx="34">
                        <c:v>4.90625</c:v>
                      </c:pt>
                      <c:pt idx="35">
                        <c:v>5.76171875</c:v>
                      </c:pt>
                      <c:pt idx="36">
                        <c:v>6.6640625</c:v>
                      </c:pt>
                      <c:pt idx="37">
                        <c:v>7.578125</c:v>
                      </c:pt>
                      <c:pt idx="38">
                        <c:v>8.73828125</c:v>
                      </c:pt>
                      <c:pt idx="39">
                        <c:v>9.71484375</c:v>
                      </c:pt>
                      <c:pt idx="40">
                        <c:v>10.921875</c:v>
                      </c:pt>
                      <c:pt idx="41">
                        <c:v>12.11328125</c:v>
                      </c:pt>
                      <c:pt idx="42">
                        <c:v>13.046875</c:v>
                      </c:pt>
                      <c:pt idx="43">
                        <c:v>14.421875</c:v>
                      </c:pt>
                      <c:pt idx="44">
                        <c:v>15.51171875</c:v>
                      </c:pt>
                      <c:pt idx="45">
                        <c:v>16.62109375</c:v>
                      </c:pt>
                      <c:pt idx="46">
                        <c:v>17.94140625</c:v>
                      </c:pt>
                      <c:pt idx="47">
                        <c:v>19.21484375</c:v>
                      </c:pt>
                      <c:pt idx="48">
                        <c:v>20.4921875</c:v>
                      </c:pt>
                      <c:pt idx="49">
                        <c:v>22.109375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12.416561846226472</c:v>
                      </c:pt>
                      <c:pt idx="2">
                        <c:v>12.416561846226472</c:v>
                      </c:pt>
                      <c:pt idx="3">
                        <c:v>12.416561846226472</c:v>
                      </c:pt>
                      <c:pt idx="4">
                        <c:v>12.416561846226472</c:v>
                      </c:pt>
                      <c:pt idx="5">
                        <c:v>12.416561846226472</c:v>
                      </c:pt>
                      <c:pt idx="6">
                        <c:v>12.416561846226472</c:v>
                      </c:pt>
                      <c:pt idx="7">
                        <c:v>12.416561846226472</c:v>
                      </c:pt>
                      <c:pt idx="8">
                        <c:v>12.416561846226472</c:v>
                      </c:pt>
                      <c:pt idx="9">
                        <c:v>12.416561846226472</c:v>
                      </c:pt>
                      <c:pt idx="10">
                        <c:v>12.416561846226472</c:v>
                      </c:pt>
                      <c:pt idx="11">
                        <c:v>12.416561846226472</c:v>
                      </c:pt>
                      <c:pt idx="12">
                        <c:v>12.416561846226472</c:v>
                      </c:pt>
                      <c:pt idx="13">
                        <c:v>12.416561846226472</c:v>
                      </c:pt>
                      <c:pt idx="14">
                        <c:v>12.416561846226472</c:v>
                      </c:pt>
                      <c:pt idx="15">
                        <c:v>12.416561846226472</c:v>
                      </c:pt>
                      <c:pt idx="16">
                        <c:v>12.416561846226472</c:v>
                      </c:pt>
                      <c:pt idx="17">
                        <c:v>12.416561846226472</c:v>
                      </c:pt>
                      <c:pt idx="18">
                        <c:v>12.416561846226472</c:v>
                      </c:pt>
                      <c:pt idx="19">
                        <c:v>12.416561846226472</c:v>
                      </c:pt>
                      <c:pt idx="20">
                        <c:v>12.416561846226472</c:v>
                      </c:pt>
                      <c:pt idx="21">
                        <c:v>12.416561846226472</c:v>
                      </c:pt>
                      <c:pt idx="22">
                        <c:v>12.416561846226472</c:v>
                      </c:pt>
                      <c:pt idx="23">
                        <c:v>12.416561846226472</c:v>
                      </c:pt>
                      <c:pt idx="24">
                        <c:v>12.416561846226472</c:v>
                      </c:pt>
                      <c:pt idx="25">
                        <c:v>12.416561846226472</c:v>
                      </c:pt>
                      <c:pt idx="26">
                        <c:v>12.416561846226472</c:v>
                      </c:pt>
                      <c:pt idx="27">
                        <c:v>12.416561846226472</c:v>
                      </c:pt>
                      <c:pt idx="28">
                        <c:v>12.416561846226472</c:v>
                      </c:pt>
                      <c:pt idx="29">
                        <c:v>12.416561846226472</c:v>
                      </c:pt>
                      <c:pt idx="30">
                        <c:v>12.416561846226472</c:v>
                      </c:pt>
                      <c:pt idx="31">
                        <c:v>12.416561846226472</c:v>
                      </c:pt>
                      <c:pt idx="32">
                        <c:v>12.416561846226472</c:v>
                      </c:pt>
                      <c:pt idx="33">
                        <c:v>12.416561846226472</c:v>
                      </c:pt>
                      <c:pt idx="34">
                        <c:v>12.416561846226472</c:v>
                      </c:pt>
                      <c:pt idx="35">
                        <c:v>12.416561846226472</c:v>
                      </c:pt>
                      <c:pt idx="36">
                        <c:v>12.416561846226472</c:v>
                      </c:pt>
                      <c:pt idx="37">
                        <c:v>12.416561846226472</c:v>
                      </c:pt>
                      <c:pt idx="38">
                        <c:v>12.416561846226472</c:v>
                      </c:pt>
                      <c:pt idx="39">
                        <c:v>12.416561846226472</c:v>
                      </c:pt>
                      <c:pt idx="40">
                        <c:v>12.416561846226472</c:v>
                      </c:pt>
                      <c:pt idx="41">
                        <c:v>12.416561846226472</c:v>
                      </c:pt>
                      <c:pt idx="42">
                        <c:v>12.416561846226472</c:v>
                      </c:pt>
                      <c:pt idx="43">
                        <c:v>12.416561846226472</c:v>
                      </c:pt>
                      <c:pt idx="44">
                        <c:v>12.416561846226472</c:v>
                      </c:pt>
                      <c:pt idx="45">
                        <c:v>12.416561846226472</c:v>
                      </c:pt>
                      <c:pt idx="46">
                        <c:v>12.416561846226472</c:v>
                      </c:pt>
                      <c:pt idx="47">
                        <c:v>12.416561846226472</c:v>
                      </c:pt>
                      <c:pt idx="48">
                        <c:v>12.416561846226472</c:v>
                      </c:pt>
                      <c:pt idx="49">
                        <c:v>12.416561846226472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12.416561846226472</c:v>
                      </c:pt>
                      <c:pt idx="2">
                        <c:v>2.0819143726731983</c:v>
                      </c:pt>
                      <c:pt idx="3">
                        <c:v>0.92040072238260073</c:v>
                      </c:pt>
                      <c:pt idx="4">
                        <c:v>0.41341880158376476</c:v>
                      </c:pt>
                      <c:pt idx="5">
                        <c:v>0.25821217672353569</c:v>
                      </c:pt>
                      <c:pt idx="6">
                        <c:v>0.14206210434194411</c:v>
                      </c:pt>
                      <c:pt idx="7">
                        <c:v>8.8385348699105748E-2</c:v>
                      </c:pt>
                      <c:pt idx="8">
                        <c:v>6.3405635590935816E-2</c:v>
                      </c:pt>
                      <c:pt idx="9">
                        <c:v>4.9325130197658495E-2</c:v>
                      </c:pt>
                      <c:pt idx="10">
                        <c:v>4.0461955575270991E-2</c:v>
                      </c:pt>
                      <c:pt idx="11">
                        <c:v>3.446607827456738E-2</c:v>
                      </c:pt>
                      <c:pt idx="12">
                        <c:v>3.0198758678615434E-2</c:v>
                      </c:pt>
                      <c:pt idx="13">
                        <c:v>2.7045238934050531E-2</c:v>
                      </c:pt>
                      <c:pt idx="14">
                        <c:v>2.4646405784206848E-2</c:v>
                      </c:pt>
                      <c:pt idx="15">
                        <c:v>2.2779453658142046E-2</c:v>
                      </c:pt>
                      <c:pt idx="16">
                        <c:v>2.129940587703949E-2</c:v>
                      </c:pt>
                      <c:pt idx="17">
                        <c:v>2.0108214682965198E-2</c:v>
                      </c:pt>
                      <c:pt idx="18">
                        <c:v>1.9137417127318201E-2</c:v>
                      </c:pt>
                      <c:pt idx="19">
                        <c:v>1.833790494471188E-2</c:v>
                      </c:pt>
                      <c:pt idx="20">
                        <c:v>1.7673635000297949E-2</c:v>
                      </c:pt>
                      <c:pt idx="21">
                        <c:v>1.7117623726136344E-2</c:v>
                      </c:pt>
                      <c:pt idx="22">
                        <c:v>1.6649317710845324E-2</c:v>
                      </c:pt>
                      <c:pt idx="23">
                        <c:v>1.6252821366828485E-2</c:v>
                      </c:pt>
                      <c:pt idx="24">
                        <c:v>1.5915674494909382E-2</c:v>
                      </c:pt>
                      <c:pt idx="25">
                        <c:v>1.5381844223750107E-2</c:v>
                      </c:pt>
                      <c:pt idx="26">
                        <c:v>1.4989648743213735E-2</c:v>
                      </c:pt>
                      <c:pt idx="27">
                        <c:v>1.4700381046317545E-2</c:v>
                      </c:pt>
                      <c:pt idx="28">
                        <c:v>1.4487460953851894E-2</c:v>
                      </c:pt>
                      <c:pt idx="29">
                        <c:v>1.3129436319346155E-2</c:v>
                      </c:pt>
                      <c:pt idx="30">
                        <c:v>1.1650640671806656E-2</c:v>
                      </c:pt>
                      <c:pt idx="31">
                        <c:v>1.0408757348804087E-2</c:v>
                      </c:pt>
                      <c:pt idx="32">
                        <c:v>9.3591175465359555E-3</c:v>
                      </c:pt>
                      <c:pt idx="33">
                        <c:v>8.4671305795840368E-3</c:v>
                      </c:pt>
                      <c:pt idx="34">
                        <c:v>7.705647683243555E-3</c:v>
                      </c:pt>
                      <c:pt idx="35">
                        <c:v>6.4921835326892108E-3</c:v>
                      </c:pt>
                      <c:pt idx="36">
                        <c:v>5.5916130580904166E-3</c:v>
                      </c:pt>
                      <c:pt idx="37">
                        <c:v>4.9191730511619625E-3</c:v>
                      </c:pt>
                      <c:pt idx="38">
                        <c:v>4.4165270126956813E-3</c:v>
                      </c:pt>
                      <c:pt idx="39">
                        <c:v>4.0424479379819189E-3</c:v>
                      </c:pt>
                      <c:pt idx="40">
                        <c:v>3.7671363708611239E-3</c:v>
                      </c:pt>
                      <c:pt idx="41">
                        <c:v>3.5686312245850615E-3</c:v>
                      </c:pt>
                      <c:pt idx="42">
                        <c:v>3.4304737723136469E-3</c:v>
                      </c:pt>
                      <c:pt idx="43">
                        <c:v>3.340146141956879E-3</c:v>
                      </c:pt>
                      <c:pt idx="44">
                        <c:v>3.2880037228988357E-3</c:v>
                      </c:pt>
                      <c:pt idx="45">
                        <c:v>3.2665302155070464E-3</c:v>
                      </c:pt>
                      <c:pt idx="46">
                        <c:v>3.2698078262303198E-3</c:v>
                      </c:pt>
                      <c:pt idx="47">
                        <c:v>3.2931348801490401E-3</c:v>
                      </c:pt>
                      <c:pt idx="48">
                        <c:v>3.3327454710132542E-3</c:v>
                      </c:pt>
                      <c:pt idx="49">
                        <c:v>3.3856010717947527E-3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8467</xdr:colOff>
          <xdr:row>9</xdr:row>
          <xdr:rowOff>0</xdr:rowOff>
        </xdr:from>
        <xdr:to>
          <xdr:col>15</xdr:col>
          <xdr:colOff>0</xdr:colOff>
          <xdr:row>13</xdr:row>
          <xdr:rowOff>4233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235478</xdr:colOff>
      <xdr:row>25</xdr:row>
      <xdr:rowOff>79375</xdr:rowOff>
    </xdr:from>
    <xdr:to>
      <xdr:col>3</xdr:col>
      <xdr:colOff>431270</xdr:colOff>
      <xdr:row>28</xdr:row>
      <xdr:rowOff>25870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BC1E1B-313B-F780-E49A-A81D75E8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8416" y="4937125"/>
          <a:ext cx="1926167" cy="4941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935567</xdr:colOff>
          <xdr:row>0</xdr:row>
          <xdr:rowOff>77694</xdr:rowOff>
        </xdr:from>
        <xdr:to>
          <xdr:col>5</xdr:col>
          <xdr:colOff>1210234</xdr:colOff>
          <xdr:row>2</xdr:row>
          <xdr:rowOff>129490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29"/>
  <sheetViews>
    <sheetView tabSelected="1" zoomScaleNormal="100" workbookViewId="0">
      <selection activeCell="F14" sqref="F14"/>
    </sheetView>
  </sheetViews>
  <sheetFormatPr defaultRowHeight="14.35" x14ac:dyDescent="0.5"/>
  <cols>
    <col min="1" max="1" width="8.9375" style="10"/>
    <col min="2" max="2" width="10.234375" style="10" customWidth="1"/>
    <col min="3" max="3" width="13.8203125" style="10" customWidth="1"/>
    <col min="4" max="4" width="16.64453125" style="10" customWidth="1"/>
    <col min="5" max="5" width="13.17578125" style="10" customWidth="1"/>
    <col min="6" max="11" width="8.9375" style="10"/>
    <col min="12" max="12" width="8.234375" style="10" customWidth="1"/>
    <col min="13" max="13" width="8.9375" style="10"/>
    <col min="14" max="14" width="7.9375" style="10" customWidth="1"/>
    <col min="15" max="16384" width="8.9375" style="10"/>
  </cols>
  <sheetData>
    <row r="1" spans="2:15" ht="14.35" customHeight="1" x14ac:dyDescent="0.5">
      <c r="B1" s="20" t="s">
        <v>46</v>
      </c>
      <c r="C1" s="20"/>
      <c r="D1" s="20"/>
      <c r="E1" s="20"/>
    </row>
    <row r="2" spans="2:15" ht="14.35" customHeight="1" x14ac:dyDescent="0.5">
      <c r="B2" s="20"/>
      <c r="C2" s="20"/>
      <c r="D2" s="20"/>
      <c r="E2" s="20"/>
    </row>
    <row r="3" spans="2:15" ht="14.35" customHeight="1" x14ac:dyDescent="0.5">
      <c r="B3" s="20"/>
      <c r="C3" s="20"/>
      <c r="D3" s="20"/>
      <c r="E3" s="20"/>
    </row>
    <row r="6" spans="2:15" ht="14.35" customHeight="1" x14ac:dyDescent="0.5">
      <c r="B6" s="18" t="s">
        <v>0</v>
      </c>
      <c r="C6" s="24" t="s">
        <v>11</v>
      </c>
      <c r="D6" s="11" t="s">
        <v>13</v>
      </c>
      <c r="E6" s="1">
        <v>100</v>
      </c>
      <c r="J6" s="21" t="s">
        <v>17</v>
      </c>
      <c r="K6" s="21"/>
      <c r="L6" s="21"/>
      <c r="M6" s="25" t="s">
        <v>24</v>
      </c>
      <c r="N6" s="25"/>
      <c r="O6" s="25"/>
    </row>
    <row r="7" spans="2:15" x14ac:dyDescent="0.5">
      <c r="B7" s="18"/>
      <c r="C7" s="24"/>
      <c r="D7" s="11" t="s">
        <v>30</v>
      </c>
      <c r="E7" s="2">
        <v>0.2</v>
      </c>
      <c r="J7" s="21"/>
      <c r="K7" s="21"/>
      <c r="L7" s="21"/>
      <c r="M7" s="25"/>
      <c r="N7" s="25"/>
      <c r="O7" s="25"/>
    </row>
    <row r="8" spans="2:15" x14ac:dyDescent="0.5">
      <c r="B8" s="18"/>
      <c r="C8" s="24"/>
      <c r="D8" s="11" t="s">
        <v>31</v>
      </c>
      <c r="E8" s="2">
        <v>0.05</v>
      </c>
      <c r="J8" s="21" t="s">
        <v>16</v>
      </c>
      <c r="K8" s="21"/>
      <c r="L8" s="21"/>
      <c r="M8" s="25" t="s">
        <v>24</v>
      </c>
      <c r="N8" s="25"/>
      <c r="O8" s="25"/>
    </row>
    <row r="9" spans="2:15" x14ac:dyDescent="0.5">
      <c r="B9" s="18"/>
      <c r="C9" s="24"/>
      <c r="D9" s="11" t="s">
        <v>14</v>
      </c>
      <c r="E9" s="1">
        <v>3</v>
      </c>
      <c r="J9" s="21"/>
      <c r="K9" s="21"/>
      <c r="L9" s="21"/>
      <c r="M9" s="25"/>
      <c r="N9" s="25"/>
      <c r="O9" s="25"/>
    </row>
    <row r="10" spans="2:15" x14ac:dyDescent="0.5">
      <c r="B10" s="18"/>
      <c r="C10" s="24"/>
      <c r="D10" s="11" t="s">
        <v>3</v>
      </c>
      <c r="E10" s="3">
        <v>45597</v>
      </c>
      <c r="J10" s="26"/>
      <c r="K10" s="26"/>
      <c r="L10" s="26"/>
      <c r="M10" s="26"/>
      <c r="N10" s="26"/>
      <c r="O10" s="26"/>
    </row>
    <row r="11" spans="2:15" x14ac:dyDescent="0.5">
      <c r="B11" s="18"/>
      <c r="C11" s="24" t="s">
        <v>12</v>
      </c>
      <c r="D11" s="11" t="s">
        <v>32</v>
      </c>
      <c r="E11" s="1">
        <v>1</v>
      </c>
      <c r="J11" s="26"/>
      <c r="K11" s="26"/>
      <c r="L11" s="26"/>
      <c r="M11" s="26"/>
      <c r="N11" s="26"/>
      <c r="O11" s="26"/>
    </row>
    <row r="12" spans="2:15" x14ac:dyDescent="0.5">
      <c r="B12" s="18"/>
      <c r="C12" s="24"/>
      <c r="D12" s="11" t="s">
        <v>15</v>
      </c>
      <c r="E12" s="1">
        <v>100</v>
      </c>
      <c r="J12" s="26"/>
      <c r="K12" s="26"/>
      <c r="L12" s="26"/>
      <c r="M12" s="26"/>
      <c r="N12" s="26"/>
      <c r="O12" s="26"/>
    </row>
    <row r="13" spans="2:15" x14ac:dyDescent="0.5">
      <c r="B13" s="18"/>
      <c r="C13" s="24"/>
      <c r="D13" s="11" t="s">
        <v>4</v>
      </c>
      <c r="E13" s="3">
        <v>45566</v>
      </c>
      <c r="J13" s="26"/>
      <c r="K13" s="26"/>
      <c r="L13" s="26"/>
      <c r="M13" s="26"/>
      <c r="N13" s="26"/>
      <c r="O13" s="26"/>
    </row>
    <row r="14" spans="2:15" x14ac:dyDescent="0.5">
      <c r="B14" s="18"/>
      <c r="C14" s="24"/>
      <c r="D14" s="11" t="s">
        <v>1</v>
      </c>
      <c r="E14" s="1" t="s">
        <v>5</v>
      </c>
    </row>
    <row r="15" spans="2:15" x14ac:dyDescent="0.5">
      <c r="B15" s="18"/>
      <c r="C15" s="24"/>
      <c r="D15" s="11" t="s">
        <v>33</v>
      </c>
      <c r="E15" s="1" t="s">
        <v>6</v>
      </c>
      <c r="J15" s="27" t="s">
        <v>19</v>
      </c>
      <c r="K15" s="28"/>
      <c r="L15" s="29"/>
      <c r="M15" s="33" t="s">
        <v>25</v>
      </c>
      <c r="N15" s="34"/>
      <c r="O15" s="35"/>
    </row>
    <row r="16" spans="2:15" ht="16.7" customHeight="1" x14ac:dyDescent="0.5">
      <c r="B16" s="18"/>
      <c r="C16" s="23" t="s">
        <v>34</v>
      </c>
      <c r="D16" s="11" t="s">
        <v>35</v>
      </c>
      <c r="E16" s="1">
        <v>1000</v>
      </c>
      <c r="J16" s="30"/>
      <c r="K16" s="31"/>
      <c r="L16" s="32"/>
      <c r="M16" s="36"/>
      <c r="N16" s="37"/>
      <c r="O16" s="38"/>
    </row>
    <row r="17" spans="2:15" x14ac:dyDescent="0.5">
      <c r="B17" s="18"/>
      <c r="C17" s="23"/>
      <c r="D17" s="11" t="s">
        <v>36</v>
      </c>
      <c r="E17" s="4">
        <v>1E-8</v>
      </c>
      <c r="J17" s="27" t="s">
        <v>20</v>
      </c>
      <c r="K17" s="28"/>
      <c r="L17" s="29"/>
      <c r="M17" s="33" t="s">
        <v>25</v>
      </c>
      <c r="N17" s="34"/>
      <c r="O17" s="35"/>
    </row>
    <row r="18" spans="2:15" ht="18.7" customHeight="1" x14ac:dyDescent="0.5">
      <c r="J18" s="30"/>
      <c r="K18" s="31"/>
      <c r="L18" s="32"/>
      <c r="M18" s="36"/>
      <c r="N18" s="37"/>
      <c r="O18" s="38"/>
    </row>
    <row r="19" spans="2:15" ht="15.7" x14ac:dyDescent="0.5">
      <c r="B19" s="22" t="s">
        <v>18</v>
      </c>
      <c r="C19" s="19" t="s">
        <v>8</v>
      </c>
      <c r="D19" s="12" t="s">
        <v>38</v>
      </c>
      <c r="E19" s="13">
        <v>12.408707041987473</v>
      </c>
      <c r="J19" s="27" t="s">
        <v>21</v>
      </c>
      <c r="K19" s="28"/>
      <c r="L19" s="29"/>
      <c r="M19" s="33" t="s">
        <v>25</v>
      </c>
      <c r="N19" s="34"/>
      <c r="O19" s="35"/>
    </row>
    <row r="20" spans="2:15" ht="18" customHeight="1" x14ac:dyDescent="0.5">
      <c r="B20" s="22"/>
      <c r="C20" s="19"/>
      <c r="D20" s="12" t="s">
        <v>39</v>
      </c>
      <c r="E20" s="13">
        <v>12.416561846226472</v>
      </c>
      <c r="J20" s="30"/>
      <c r="K20" s="31"/>
      <c r="L20" s="32"/>
      <c r="M20" s="36"/>
      <c r="N20" s="37"/>
      <c r="O20" s="38"/>
    </row>
    <row r="21" spans="2:15" ht="18.7" customHeight="1" x14ac:dyDescent="0.5">
      <c r="B21" s="22"/>
      <c r="C21" s="19"/>
      <c r="D21" s="12" t="s">
        <v>43</v>
      </c>
      <c r="E21" s="16">
        <f>(3*IVol^2)/(INbSteps*8*SQRT(2*PI())*SQRT(EXP(IVol^2)-1))</f>
        <v>2.9621967976797475E-5</v>
      </c>
      <c r="J21" s="27" t="s">
        <v>22</v>
      </c>
      <c r="K21" s="28"/>
      <c r="L21" s="29"/>
      <c r="M21" s="33" t="s">
        <v>25</v>
      </c>
      <c r="N21" s="34"/>
      <c r="O21" s="35"/>
    </row>
    <row r="22" spans="2:15" ht="18" customHeight="1" x14ac:dyDescent="0.5">
      <c r="B22" s="22"/>
      <c r="C22" s="19" t="s">
        <v>37</v>
      </c>
      <c r="D22" s="12" t="s">
        <v>40</v>
      </c>
      <c r="E22" s="14">
        <v>0.6328125</v>
      </c>
      <c r="J22" s="30"/>
      <c r="K22" s="31"/>
      <c r="L22" s="32"/>
      <c r="M22" s="36"/>
      <c r="N22" s="37"/>
      <c r="O22" s="38"/>
    </row>
    <row r="23" spans="2:15" ht="16.350000000000001" customHeight="1" x14ac:dyDescent="0.5">
      <c r="B23" s="22"/>
      <c r="C23" s="19"/>
      <c r="D23" s="12" t="s">
        <v>41</v>
      </c>
      <c r="E23" s="14">
        <v>0.12890625</v>
      </c>
      <c r="J23" s="27" t="s">
        <v>23</v>
      </c>
      <c r="K23" s="28"/>
      <c r="L23" s="29"/>
      <c r="M23" s="33" t="s">
        <v>25</v>
      </c>
      <c r="N23" s="34"/>
      <c r="O23" s="35"/>
    </row>
    <row r="24" spans="2:15" ht="16.350000000000001" customHeight="1" x14ac:dyDescent="0.5">
      <c r="B24" s="22"/>
      <c r="C24" s="19"/>
      <c r="D24" s="12" t="s">
        <v>42</v>
      </c>
      <c r="E24" s="15">
        <f>ITimeTree+IPriceTime</f>
        <v>0.76171875</v>
      </c>
      <c r="J24" s="30"/>
      <c r="K24" s="31"/>
      <c r="L24" s="32"/>
      <c r="M24" s="36"/>
      <c r="N24" s="37"/>
      <c r="O24" s="38"/>
    </row>
    <row r="27" spans="2:15" x14ac:dyDescent="0.5">
      <c r="B27" s="17" t="s">
        <v>44</v>
      </c>
      <c r="C27" s="17"/>
      <c r="D27" s="17"/>
      <c r="E27" s="17"/>
    </row>
    <row r="28" spans="2:15" x14ac:dyDescent="0.5">
      <c r="B28" s="17"/>
      <c r="C28" s="17"/>
      <c r="D28" s="17"/>
      <c r="E28" s="17"/>
    </row>
    <row r="29" spans="2:15" x14ac:dyDescent="0.5">
      <c r="B29" s="17"/>
      <c r="C29" s="17"/>
      <c r="D29" s="17"/>
      <c r="E29" s="17"/>
    </row>
  </sheetData>
  <mergeCells count="23">
    <mergeCell ref="M17:O18"/>
    <mergeCell ref="M19:O20"/>
    <mergeCell ref="M21:O22"/>
    <mergeCell ref="M23:O24"/>
    <mergeCell ref="J17:L18"/>
    <mergeCell ref="J19:L20"/>
    <mergeCell ref="J21:L22"/>
    <mergeCell ref="J23:L24"/>
    <mergeCell ref="M6:O7"/>
    <mergeCell ref="J8:L9"/>
    <mergeCell ref="M8:O9"/>
    <mergeCell ref="J10:O13"/>
    <mergeCell ref="J15:L16"/>
    <mergeCell ref="M15:O16"/>
    <mergeCell ref="B6:B17"/>
    <mergeCell ref="C22:C24"/>
    <mergeCell ref="B1:E3"/>
    <mergeCell ref="J6:L7"/>
    <mergeCell ref="B19:B24"/>
    <mergeCell ref="C19:C21"/>
    <mergeCell ref="C16:C17"/>
    <mergeCell ref="C6:C10"/>
    <mergeCell ref="C11:C15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4" xr:uid="{81C0AB66-2C42-4075-8658-E2E9F45DA347}">
      <formula1>"Call,Put"</formula1>
    </dataValidation>
    <dataValidation type="list" allowBlank="1" showInputMessage="1" showErrorMessage="1" sqref="E15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8467</xdr:colOff>
                    <xdr:row>9</xdr:row>
                    <xdr:rowOff>0</xdr:rowOff>
                  </from>
                  <to>
                    <xdr:col>15</xdr:col>
                    <xdr:colOff>0</xdr:colOff>
                    <xdr:row>13</xdr:row>
                    <xdr:rowOff>4233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C3"/>
  <sheetViews>
    <sheetView zoomScale="70" zoomScaleNormal="70" workbookViewId="0">
      <selection activeCell="A21" sqref="A21"/>
    </sheetView>
  </sheetViews>
  <sheetFormatPr defaultColWidth="9.1171875" defaultRowHeight="14.35" x14ac:dyDescent="0.5"/>
  <cols>
    <col min="1" max="1" width="14.234375" customWidth="1"/>
  </cols>
  <sheetData>
    <row r="1" spans="1:3" x14ac:dyDescent="0.5">
      <c r="A1" s="39" t="s">
        <v>27</v>
      </c>
      <c r="B1" s="39"/>
      <c r="C1" s="39"/>
    </row>
    <row r="2" spans="1:3" x14ac:dyDescent="0.5">
      <c r="A2" s="39"/>
      <c r="B2" s="39"/>
      <c r="C2" s="39"/>
    </row>
    <row r="3" spans="1:3" x14ac:dyDescent="0.5">
      <c r="A3" s="39"/>
      <c r="B3" s="39"/>
      <c r="C3" s="39"/>
    </row>
  </sheetData>
  <mergeCells count="1">
    <mergeCell ref="A1:C3"/>
  </mergeCells>
  <conditionalFormatting sqref="A4:XFD1048576 D1:XFD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zoomScale="85" zoomScaleNormal="85" workbookViewId="0">
      <selection activeCell="G5" sqref="G5"/>
    </sheetView>
  </sheetViews>
  <sheetFormatPr defaultColWidth="9.1171875" defaultRowHeight="14.35" x14ac:dyDescent="0.5"/>
  <cols>
    <col min="1" max="1" width="14.52734375" customWidth="1"/>
  </cols>
  <sheetData>
    <row r="1" spans="1:3" x14ac:dyDescent="0.5">
      <c r="A1" s="39" t="s">
        <v>26</v>
      </c>
      <c r="B1" s="39"/>
      <c r="C1" s="39"/>
    </row>
    <row r="2" spans="1:3" x14ac:dyDescent="0.5">
      <c r="A2" s="39"/>
      <c r="B2" s="39"/>
      <c r="C2" s="39"/>
    </row>
    <row r="3" spans="1:3" x14ac:dyDescent="0.5">
      <c r="A3" s="39"/>
      <c r="B3" s="39"/>
      <c r="C3" s="39"/>
    </row>
  </sheetData>
  <mergeCells count="1">
    <mergeCell ref="A1:C3"/>
  </mergeCells>
  <conditionalFormatting sqref="A4:XFD1048576 A1 D1:XFD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zoomScale="70" zoomScaleNormal="70" workbookViewId="0">
      <selection sqref="A1:C3"/>
    </sheetView>
  </sheetViews>
  <sheetFormatPr defaultColWidth="11.41015625" defaultRowHeight="14.35" x14ac:dyDescent="0.5"/>
  <cols>
    <col min="1" max="1" width="13.8203125" customWidth="1"/>
  </cols>
  <sheetData>
    <row r="1" spans="1:3" x14ac:dyDescent="0.5">
      <c r="A1" s="39" t="s">
        <v>29</v>
      </c>
      <c r="B1" s="39"/>
      <c r="C1" s="39"/>
    </row>
    <row r="2" spans="1:3" x14ac:dyDescent="0.5">
      <c r="A2" s="39"/>
      <c r="B2" s="39"/>
      <c r="C2" s="39"/>
    </row>
    <row r="3" spans="1:3" x14ac:dyDescent="0.5">
      <c r="A3" s="39"/>
      <c r="B3" s="39"/>
      <c r="C3" s="39"/>
    </row>
  </sheetData>
  <mergeCells count="1">
    <mergeCell ref="A1:C3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J56"/>
  <sheetViews>
    <sheetView zoomScale="85" zoomScaleNormal="85" workbookViewId="0">
      <selection activeCell="G3" sqref="G3"/>
    </sheetView>
  </sheetViews>
  <sheetFormatPr defaultColWidth="9.1171875" defaultRowHeight="14.35" x14ac:dyDescent="0.5"/>
  <cols>
    <col min="1" max="2" width="9.1171875" style="7"/>
    <col min="3" max="4" width="13.29296875" style="7" customWidth="1"/>
    <col min="5" max="5" width="15.703125" style="7" customWidth="1"/>
    <col min="6" max="6" width="17.1171875" style="7" customWidth="1"/>
    <col min="7" max="9" width="9.1171875" style="7"/>
    <col min="10" max="10" width="9.05859375" style="7" customWidth="1"/>
    <col min="11" max="16384" width="9.1171875" style="7"/>
  </cols>
  <sheetData>
    <row r="1" spans="1:10" x14ac:dyDescent="0.5">
      <c r="A1" s="39" t="s">
        <v>45</v>
      </c>
      <c r="B1" s="39"/>
      <c r="C1" s="39"/>
      <c r="H1" s="39" t="s">
        <v>48</v>
      </c>
      <c r="I1" s="39"/>
      <c r="J1" s="39"/>
    </row>
    <row r="2" spans="1:10" x14ac:dyDescent="0.5">
      <c r="A2" s="39"/>
      <c r="B2" s="39"/>
      <c r="C2" s="39"/>
      <c r="H2" s="39"/>
      <c r="I2" s="39"/>
      <c r="J2" s="39"/>
    </row>
    <row r="3" spans="1:10" x14ac:dyDescent="0.5">
      <c r="A3" s="39"/>
      <c r="B3" s="39"/>
      <c r="C3" s="39"/>
      <c r="H3" s="39"/>
      <c r="I3" s="39"/>
      <c r="J3" s="39"/>
    </row>
    <row r="4" spans="1:10" ht="12.35" customHeight="1" x14ac:dyDescent="0.5">
      <c r="A4" s="42"/>
      <c r="B4" s="42"/>
      <c r="C4" s="42"/>
    </row>
    <row r="5" spans="1:10" ht="16" thickBot="1" x14ac:dyDescent="0.6">
      <c r="A5" s="43" t="s">
        <v>47</v>
      </c>
      <c r="B5" s="43"/>
      <c r="C5" s="43"/>
      <c r="D5" s="43"/>
      <c r="E5" s="43"/>
      <c r="F5" s="43"/>
    </row>
    <row r="6" spans="1:10" ht="14.45" customHeight="1" x14ac:dyDescent="0.5">
      <c r="A6" s="40" t="s">
        <v>7</v>
      </c>
      <c r="B6" s="40" t="s">
        <v>8</v>
      </c>
      <c r="C6" s="40" t="s">
        <v>2</v>
      </c>
      <c r="D6" s="40" t="s">
        <v>28</v>
      </c>
      <c r="E6" s="40" t="s">
        <v>9</v>
      </c>
      <c r="F6" s="40" t="s">
        <v>10</v>
      </c>
    </row>
    <row r="7" spans="1:10" ht="14.45" customHeight="1" thickBot="1" x14ac:dyDescent="0.55000000000000004">
      <c r="A7" s="41"/>
      <c r="B7" s="41"/>
      <c r="C7" s="41"/>
      <c r="D7" s="41"/>
      <c r="E7" s="41"/>
      <c r="F7" s="41"/>
    </row>
    <row r="8" spans="1:10" x14ac:dyDescent="0.5">
      <c r="A8" s="8">
        <f>1</f>
        <v>1</v>
      </c>
      <c r="B8" s="8">
        <v>0</v>
      </c>
      <c r="C8" s="8">
        <v>0</v>
      </c>
      <c r="D8" s="8">
        <v>12.416561846226472</v>
      </c>
      <c r="E8" s="9">
        <f>IF(D8&lt;&gt;"" &amp; B8&lt;&gt;"",ABS(B8-D8),"")</f>
        <v>12.416561846226472</v>
      </c>
      <c r="F8" s="9">
        <f>IF($E8&lt;&gt;"", $E8*$A8, "")</f>
        <v>12.416561846226472</v>
      </c>
    </row>
    <row r="9" spans="1:10" x14ac:dyDescent="0.5">
      <c r="A9" s="6">
        <v>5</v>
      </c>
      <c r="B9" s="8">
        <v>10.334647473553273</v>
      </c>
      <c r="C9" s="6">
        <v>0</v>
      </c>
      <c r="D9" s="8">
        <v>12.416561846226472</v>
      </c>
      <c r="E9" s="9">
        <f t="shared" ref="E9:E56" si="0">IF(D9&lt;&gt;"" &amp; B9&lt;&gt;"",ABS(B9-D9),"")</f>
        <v>2.0819143726731983</v>
      </c>
      <c r="F9" s="5">
        <f t="shared" ref="F9:F56" si="1">IF($E9&lt;&gt;"", $E9*$A9, "")</f>
        <v>10.409571863365992</v>
      </c>
    </row>
    <row r="10" spans="1:10" x14ac:dyDescent="0.5">
      <c r="A10" s="6">
        <v>10</v>
      </c>
      <c r="B10" s="8">
        <v>11.496161123843871</v>
      </c>
      <c r="C10" s="6">
        <v>3.90625E-3</v>
      </c>
      <c r="D10" s="8">
        <v>12.416561846226472</v>
      </c>
      <c r="E10" s="9">
        <f t="shared" si="0"/>
        <v>0.92040072238260073</v>
      </c>
      <c r="F10" s="5">
        <f t="shared" si="1"/>
        <v>9.2040072238260073</v>
      </c>
    </row>
    <row r="11" spans="1:10" x14ac:dyDescent="0.5">
      <c r="A11" s="6">
        <v>20</v>
      </c>
      <c r="B11" s="8">
        <v>12.003143044642707</v>
      </c>
      <c r="C11" s="6">
        <v>0</v>
      </c>
      <c r="D11" s="8">
        <v>12.416561846226472</v>
      </c>
      <c r="E11" s="9">
        <f t="shared" si="0"/>
        <v>0.41341880158376476</v>
      </c>
      <c r="F11" s="5">
        <f t="shared" si="1"/>
        <v>8.2683760316752952</v>
      </c>
    </row>
    <row r="12" spans="1:10" x14ac:dyDescent="0.5">
      <c r="A12" s="6">
        <v>30</v>
      </c>
      <c r="B12" s="8">
        <v>12.158349669502936</v>
      </c>
      <c r="C12" s="6">
        <v>3.90625E-3</v>
      </c>
      <c r="D12" s="8">
        <v>12.416561846226472</v>
      </c>
      <c r="E12" s="9">
        <f t="shared" si="0"/>
        <v>0.25821217672353569</v>
      </c>
      <c r="F12" s="5">
        <f t="shared" si="1"/>
        <v>7.7463653017060707</v>
      </c>
    </row>
    <row r="13" spans="1:10" x14ac:dyDescent="0.5">
      <c r="A13" s="6">
        <v>50</v>
      </c>
      <c r="B13" s="8">
        <v>12.274499741884528</v>
      </c>
      <c r="C13" s="6">
        <v>1.5625E-2</v>
      </c>
      <c r="D13" s="8">
        <v>12.416561846226472</v>
      </c>
      <c r="E13" s="9">
        <f t="shared" si="0"/>
        <v>0.14206210434194411</v>
      </c>
      <c r="F13" s="5">
        <f t="shared" si="1"/>
        <v>7.1031052170972053</v>
      </c>
    </row>
    <row r="14" spans="1:10" x14ac:dyDescent="0.5">
      <c r="A14" s="6">
        <v>75</v>
      </c>
      <c r="B14" s="8">
        <v>12.328176497527366</v>
      </c>
      <c r="C14" s="6">
        <v>3.125E-2</v>
      </c>
      <c r="D14" s="8">
        <v>12.416561846226472</v>
      </c>
      <c r="E14" s="9">
        <f t="shared" si="0"/>
        <v>8.8385348699105748E-2</v>
      </c>
      <c r="F14" s="5">
        <f t="shared" si="1"/>
        <v>6.6289011524329311</v>
      </c>
    </row>
    <row r="15" spans="1:10" x14ac:dyDescent="0.5">
      <c r="A15" s="6">
        <v>100</v>
      </c>
      <c r="B15" s="8">
        <v>12.353156210635536</v>
      </c>
      <c r="C15" s="6">
        <v>6.25E-2</v>
      </c>
      <c r="D15" s="8">
        <v>12.416561846226472</v>
      </c>
      <c r="E15" s="9">
        <f t="shared" si="0"/>
        <v>6.3405635590935816E-2</v>
      </c>
      <c r="F15" s="5">
        <f t="shared" si="1"/>
        <v>6.3405635590935816</v>
      </c>
    </row>
    <row r="16" spans="1:10" x14ac:dyDescent="0.5">
      <c r="A16" s="6">
        <v>125</v>
      </c>
      <c r="B16" s="8">
        <v>12.367236716028813</v>
      </c>
      <c r="C16" s="6">
        <v>9.375E-2</v>
      </c>
      <c r="D16" s="8">
        <v>12.416561846226472</v>
      </c>
      <c r="E16" s="9">
        <f t="shared" si="0"/>
        <v>4.9325130197658495E-2</v>
      </c>
      <c r="F16" s="5">
        <f t="shared" si="1"/>
        <v>6.1656412747073119</v>
      </c>
    </row>
    <row r="17" spans="1:10" x14ac:dyDescent="0.5">
      <c r="A17" s="6">
        <f>A16+25</f>
        <v>150</v>
      </c>
      <c r="B17" s="8">
        <v>12.376099890651201</v>
      </c>
      <c r="C17" s="6">
        <v>0.1328125</v>
      </c>
      <c r="D17" s="8">
        <v>12.416561846226472</v>
      </c>
      <c r="E17" s="9">
        <f t="shared" si="0"/>
        <v>4.0461955575270991E-2</v>
      </c>
      <c r="F17" s="5">
        <f t="shared" si="1"/>
        <v>6.0692933362906487</v>
      </c>
    </row>
    <row r="18" spans="1:10" x14ac:dyDescent="0.5">
      <c r="A18" s="6">
        <f t="shared" ref="A18:A31" si="2">A17+25</f>
        <v>175</v>
      </c>
      <c r="B18" s="8">
        <v>12.382095767951904</v>
      </c>
      <c r="C18" s="6">
        <v>0.17578125</v>
      </c>
      <c r="D18" s="8">
        <v>12.416561846226472</v>
      </c>
      <c r="E18" s="9">
        <f t="shared" si="0"/>
        <v>3.446607827456738E-2</v>
      </c>
      <c r="F18" s="5">
        <f t="shared" si="1"/>
        <v>6.0315636980492915</v>
      </c>
    </row>
    <row r="19" spans="1:10" ht="14.45" customHeight="1" x14ac:dyDescent="0.5">
      <c r="A19" s="6">
        <f t="shared" si="2"/>
        <v>200</v>
      </c>
      <c r="B19" s="8">
        <v>12.386363087547856</v>
      </c>
      <c r="C19" s="6">
        <v>0.2265625</v>
      </c>
      <c r="D19" s="8">
        <v>12.416561846226472</v>
      </c>
      <c r="E19" s="9">
        <f t="shared" si="0"/>
        <v>3.0198758678615434E-2</v>
      </c>
      <c r="F19" s="5">
        <f t="shared" si="1"/>
        <v>6.0397517357230868</v>
      </c>
    </row>
    <row r="20" spans="1:10" ht="14.45" customHeight="1" x14ac:dyDescent="0.5">
      <c r="A20" s="6">
        <f t="shared" si="2"/>
        <v>225</v>
      </c>
      <c r="B20" s="8">
        <v>12.389516607292421</v>
      </c>
      <c r="C20" s="6">
        <v>0.28515625</v>
      </c>
      <c r="D20" s="8">
        <v>12.416561846226472</v>
      </c>
      <c r="E20" s="9">
        <f t="shared" si="0"/>
        <v>2.7045238934050531E-2</v>
      </c>
      <c r="F20" s="5">
        <f t="shared" si="1"/>
        <v>6.0851787601613694</v>
      </c>
    </row>
    <row r="21" spans="1:10" ht="15" customHeight="1" x14ac:dyDescent="0.5">
      <c r="A21" s="6">
        <f>A20+25</f>
        <v>250</v>
      </c>
      <c r="B21" s="8">
        <v>12.391915440442265</v>
      </c>
      <c r="C21" s="6">
        <v>0.36328125</v>
      </c>
      <c r="D21" s="8">
        <v>12.416561846226472</v>
      </c>
      <c r="E21" s="9">
        <f t="shared" si="0"/>
        <v>2.4646405784206848E-2</v>
      </c>
      <c r="F21" s="5">
        <f>IF($E21&lt;&gt;"", $E21*$A21, "")</f>
        <v>6.1616014460517121</v>
      </c>
    </row>
    <row r="22" spans="1:10" x14ac:dyDescent="0.5">
      <c r="A22" s="6">
        <f>A21+25</f>
        <v>275</v>
      </c>
      <c r="B22" s="8">
        <v>12.39378239256833</v>
      </c>
      <c r="C22" s="6">
        <v>0.43359375</v>
      </c>
      <c r="D22" s="8">
        <v>12.416561846226472</v>
      </c>
      <c r="E22" s="9">
        <f t="shared" si="0"/>
        <v>2.2779453658142046E-2</v>
      </c>
      <c r="F22" s="5">
        <f t="shared" si="1"/>
        <v>6.2643497559890626</v>
      </c>
    </row>
    <row r="23" spans="1:10" x14ac:dyDescent="0.5">
      <c r="A23" s="6">
        <f t="shared" si="2"/>
        <v>300</v>
      </c>
      <c r="B23" s="8">
        <v>12.395262440349432</v>
      </c>
      <c r="C23" s="6">
        <v>0.51953125</v>
      </c>
      <c r="D23" s="8">
        <v>12.416561846226472</v>
      </c>
      <c r="E23" s="9">
        <f t="shared" si="0"/>
        <v>2.129940587703949E-2</v>
      </c>
      <c r="F23" s="5">
        <f t="shared" si="1"/>
        <v>6.389821763111847</v>
      </c>
    </row>
    <row r="24" spans="1:10" x14ac:dyDescent="0.5">
      <c r="A24" s="6">
        <f t="shared" si="2"/>
        <v>325</v>
      </c>
      <c r="B24" s="8">
        <v>12.396453631543507</v>
      </c>
      <c r="C24" s="6">
        <v>0.63671875</v>
      </c>
      <c r="D24" s="8">
        <v>12.416561846226472</v>
      </c>
      <c r="E24" s="9">
        <f t="shared" si="0"/>
        <v>2.0108214682965198E-2</v>
      </c>
      <c r="F24" s="5">
        <f t="shared" si="1"/>
        <v>6.5351697719636892</v>
      </c>
    </row>
    <row r="25" spans="1:10" x14ac:dyDescent="0.5">
      <c r="A25" s="6">
        <f t="shared" si="2"/>
        <v>350</v>
      </c>
      <c r="B25" s="8">
        <v>12.397424429099154</v>
      </c>
      <c r="C25" s="6">
        <v>0.73828125</v>
      </c>
      <c r="D25" s="8">
        <v>12.416561846226472</v>
      </c>
      <c r="E25" s="9">
        <f t="shared" si="0"/>
        <v>1.9137417127318201E-2</v>
      </c>
      <c r="F25" s="5">
        <f t="shared" si="1"/>
        <v>6.6980959945613705</v>
      </c>
    </row>
    <row r="26" spans="1:10" x14ac:dyDescent="0.5">
      <c r="A26" s="6">
        <f t="shared" si="2"/>
        <v>375</v>
      </c>
      <c r="B26" s="8">
        <v>12.39822394128176</v>
      </c>
      <c r="C26" s="6">
        <v>0.8359375</v>
      </c>
      <c r="D26" s="8">
        <v>12.416561846226472</v>
      </c>
      <c r="E26" s="9">
        <f t="shared" si="0"/>
        <v>1.833790494471188E-2</v>
      </c>
      <c r="F26" s="5">
        <f t="shared" si="1"/>
        <v>6.8767143542669551</v>
      </c>
    </row>
    <row r="27" spans="1:10" x14ac:dyDescent="0.5">
      <c r="A27" s="6">
        <f t="shared" si="2"/>
        <v>400</v>
      </c>
      <c r="B27" s="8">
        <v>12.398888211226174</v>
      </c>
      <c r="C27" s="6">
        <v>0.91015625</v>
      </c>
      <c r="D27" s="8">
        <v>12.416561846226472</v>
      </c>
      <c r="E27" s="9">
        <f t="shared" si="0"/>
        <v>1.7673635000297949E-2</v>
      </c>
      <c r="F27" s="5">
        <f t="shared" si="1"/>
        <v>7.0694540001191797</v>
      </c>
    </row>
    <row r="28" spans="1:10" x14ac:dyDescent="0.5">
      <c r="A28" s="6">
        <f t="shared" si="2"/>
        <v>425</v>
      </c>
      <c r="B28" s="8">
        <v>12.399444222500335</v>
      </c>
      <c r="C28" s="6">
        <v>1.03515625</v>
      </c>
      <c r="D28" s="8">
        <v>12.416561846226472</v>
      </c>
      <c r="E28" s="9">
        <f t="shared" si="0"/>
        <v>1.7117623726136344E-2</v>
      </c>
      <c r="F28" s="5">
        <f t="shared" si="1"/>
        <v>7.2749900836079462</v>
      </c>
    </row>
    <row r="29" spans="1:10" x14ac:dyDescent="0.5">
      <c r="A29" s="6">
        <f t="shared" si="2"/>
        <v>450</v>
      </c>
      <c r="B29" s="8">
        <v>12.399912528515626</v>
      </c>
      <c r="C29" s="6">
        <v>1.15625</v>
      </c>
      <c r="D29" s="8">
        <v>12.416561846226472</v>
      </c>
      <c r="E29" s="9">
        <f t="shared" si="0"/>
        <v>1.6649317710845324E-2</v>
      </c>
      <c r="F29" s="5">
        <f t="shared" si="1"/>
        <v>7.4921929698803957</v>
      </c>
    </row>
    <row r="30" spans="1:10" x14ac:dyDescent="0.5">
      <c r="A30" s="6">
        <f t="shared" si="2"/>
        <v>475</v>
      </c>
      <c r="B30" s="8">
        <v>12.400309024859643</v>
      </c>
      <c r="C30" s="6">
        <v>1.30078125</v>
      </c>
      <c r="D30" s="8">
        <v>12.416561846226472</v>
      </c>
      <c r="E30" s="9">
        <f t="shared" si="0"/>
        <v>1.6252821366828485E-2</v>
      </c>
      <c r="F30" s="5">
        <f t="shared" si="1"/>
        <v>7.7200901492435303</v>
      </c>
    </row>
    <row r="31" spans="1:10" x14ac:dyDescent="0.5">
      <c r="A31" s="6">
        <f t="shared" si="2"/>
        <v>500</v>
      </c>
      <c r="B31" s="8">
        <v>12.400646171731562</v>
      </c>
      <c r="C31" s="6">
        <v>1.46875</v>
      </c>
      <c r="D31" s="8">
        <v>12.416561846226472</v>
      </c>
      <c r="E31" s="9">
        <f t="shared" si="0"/>
        <v>1.5915674494909382E-2</v>
      </c>
      <c r="F31" s="5">
        <f t="shared" si="1"/>
        <v>7.957837247454691</v>
      </c>
    </row>
    <row r="32" spans="1:10" x14ac:dyDescent="0.5">
      <c r="A32" s="6">
        <f>A31+50</f>
        <v>550</v>
      </c>
      <c r="B32" s="8">
        <v>12.401180002002722</v>
      </c>
      <c r="C32" s="6">
        <v>1.703125</v>
      </c>
      <c r="D32" s="8">
        <v>12.416561846226472</v>
      </c>
      <c r="E32" s="9">
        <f t="shared" si="0"/>
        <v>1.5381844223750107E-2</v>
      </c>
      <c r="F32" s="5">
        <f t="shared" si="1"/>
        <v>8.4600143230625591</v>
      </c>
      <c r="H32" s="39" t="s">
        <v>49</v>
      </c>
      <c r="I32" s="39"/>
      <c r="J32" s="39"/>
    </row>
    <row r="33" spans="1:10" x14ac:dyDescent="0.5">
      <c r="A33" s="6">
        <f t="shared" ref="A33:A41" si="3">A32+50</f>
        <v>600</v>
      </c>
      <c r="B33" s="8">
        <v>12.401572197483258</v>
      </c>
      <c r="C33" s="6">
        <v>2.02734375</v>
      </c>
      <c r="D33" s="8">
        <v>12.416561846226472</v>
      </c>
      <c r="E33" s="9">
        <f t="shared" si="0"/>
        <v>1.4989648743213735E-2</v>
      </c>
      <c r="F33" s="5">
        <f t="shared" si="1"/>
        <v>8.9937892459282409</v>
      </c>
      <c r="H33" s="39"/>
      <c r="I33" s="39"/>
      <c r="J33" s="39"/>
    </row>
    <row r="34" spans="1:10" x14ac:dyDescent="0.5">
      <c r="A34" s="6">
        <f t="shared" si="3"/>
        <v>650</v>
      </c>
      <c r="B34" s="8">
        <v>12.401861465180154</v>
      </c>
      <c r="C34" s="6">
        <v>2.3046875</v>
      </c>
      <c r="D34" s="8">
        <v>12.416561846226472</v>
      </c>
      <c r="E34" s="9">
        <f t="shared" si="0"/>
        <v>1.4700381046317545E-2</v>
      </c>
      <c r="F34" s="5">
        <f t="shared" si="1"/>
        <v>9.5552476801064046</v>
      </c>
      <c r="H34" s="39"/>
      <c r="I34" s="39"/>
      <c r="J34" s="39"/>
    </row>
    <row r="35" spans="1:10" x14ac:dyDescent="0.5">
      <c r="A35" s="6">
        <f t="shared" si="3"/>
        <v>700</v>
      </c>
      <c r="B35" s="8">
        <v>12.40207438527262</v>
      </c>
      <c r="C35" s="6">
        <v>2.63671875</v>
      </c>
      <c r="D35" s="8">
        <v>12.416561846226472</v>
      </c>
      <c r="E35" s="9">
        <f t="shared" si="0"/>
        <v>1.4487460953851894E-2</v>
      </c>
      <c r="F35" s="5">
        <f t="shared" si="1"/>
        <v>10.141222667696326</v>
      </c>
    </row>
    <row r="36" spans="1:10" x14ac:dyDescent="0.5">
      <c r="A36" s="6">
        <f t="shared" si="3"/>
        <v>750</v>
      </c>
      <c r="B36" s="8">
        <v>12.403432409907126</v>
      </c>
      <c r="C36" s="6">
        <v>3.0078125</v>
      </c>
      <c r="D36" s="8">
        <v>12.416561846226472</v>
      </c>
      <c r="E36" s="9">
        <f t="shared" si="0"/>
        <v>1.3129436319346155E-2</v>
      </c>
      <c r="F36" s="5">
        <f t="shared" si="1"/>
        <v>9.8470772395096162</v>
      </c>
    </row>
    <row r="37" spans="1:10" x14ac:dyDescent="0.5">
      <c r="A37" s="6">
        <f t="shared" si="3"/>
        <v>800</v>
      </c>
      <c r="B37" s="8">
        <v>12.404911205554665</v>
      </c>
      <c r="C37" s="6">
        <v>3.38671875</v>
      </c>
      <c r="D37" s="8">
        <v>12.416561846226472</v>
      </c>
      <c r="E37" s="9">
        <f t="shared" si="0"/>
        <v>1.1650640671806656E-2</v>
      </c>
      <c r="F37" s="5">
        <f t="shared" si="1"/>
        <v>9.3205125374453246</v>
      </c>
    </row>
    <row r="38" spans="1:10" x14ac:dyDescent="0.5">
      <c r="A38" s="6">
        <f t="shared" si="3"/>
        <v>850</v>
      </c>
      <c r="B38" s="8">
        <v>12.406153088877668</v>
      </c>
      <c r="C38" s="6">
        <v>3.7890625</v>
      </c>
      <c r="D38" s="8">
        <v>12.416561846226472</v>
      </c>
      <c r="E38" s="9">
        <f t="shared" si="0"/>
        <v>1.0408757348804087E-2</v>
      </c>
      <c r="F38" s="5">
        <f t="shared" si="1"/>
        <v>8.8474437464834743</v>
      </c>
    </row>
    <row r="39" spans="1:10" x14ac:dyDescent="0.5">
      <c r="A39" s="6">
        <f t="shared" si="3"/>
        <v>900</v>
      </c>
      <c r="B39" s="8">
        <v>12.407202728679936</v>
      </c>
      <c r="C39" s="6">
        <v>4.125</v>
      </c>
      <c r="D39" s="8">
        <v>12.416561846226472</v>
      </c>
      <c r="E39" s="9">
        <f t="shared" si="0"/>
        <v>9.3591175465359555E-3</v>
      </c>
      <c r="F39" s="5">
        <f t="shared" si="1"/>
        <v>8.42320579188236</v>
      </c>
    </row>
    <row r="40" spans="1:10" x14ac:dyDescent="0.5">
      <c r="A40" s="6">
        <f>A39+50</f>
        <v>950</v>
      </c>
      <c r="B40" s="8">
        <v>12.408094715646888</v>
      </c>
      <c r="C40" s="6">
        <v>4.453125</v>
      </c>
      <c r="D40" s="8">
        <v>12.416561846226472</v>
      </c>
      <c r="E40" s="9">
        <f t="shared" si="0"/>
        <v>8.4671305795840368E-3</v>
      </c>
      <c r="F40" s="5">
        <f t="shared" si="1"/>
        <v>8.043774050604835</v>
      </c>
    </row>
    <row r="41" spans="1:10" x14ac:dyDescent="0.5">
      <c r="A41" s="6">
        <f t="shared" si="3"/>
        <v>1000</v>
      </c>
      <c r="B41" s="8">
        <v>12.408856198543228</v>
      </c>
      <c r="C41" s="6">
        <v>4.90625</v>
      </c>
      <c r="D41" s="8">
        <v>12.416561846226472</v>
      </c>
      <c r="E41" s="9">
        <f t="shared" si="0"/>
        <v>7.705647683243555E-3</v>
      </c>
      <c r="F41" s="5">
        <f t="shared" si="1"/>
        <v>7.705647683243555</v>
      </c>
    </row>
    <row r="42" spans="1:10" x14ac:dyDescent="0.5">
      <c r="A42" s="6">
        <f>A41+100</f>
        <v>1100</v>
      </c>
      <c r="B42" s="8">
        <v>12.410069662693783</v>
      </c>
      <c r="C42" s="6">
        <v>5.76171875</v>
      </c>
      <c r="D42" s="8">
        <v>12.416561846226472</v>
      </c>
      <c r="E42" s="9">
        <f t="shared" si="0"/>
        <v>6.4921835326892108E-3</v>
      </c>
      <c r="F42" s="5">
        <f t="shared" si="1"/>
        <v>7.1414018859581319</v>
      </c>
    </row>
    <row r="43" spans="1:10" x14ac:dyDescent="0.5">
      <c r="A43" s="6">
        <f t="shared" ref="A43:A56" si="4">A42+100</f>
        <v>1200</v>
      </c>
      <c r="B43" s="8">
        <v>12.410970233168381</v>
      </c>
      <c r="C43" s="6">
        <v>6.6640625</v>
      </c>
      <c r="D43" s="8">
        <v>12.416561846226472</v>
      </c>
      <c r="E43" s="9">
        <f t="shared" si="0"/>
        <v>5.5916130580904166E-3</v>
      </c>
      <c r="F43" s="5">
        <f t="shared" si="1"/>
        <v>6.7099356697085</v>
      </c>
    </row>
    <row r="44" spans="1:10" x14ac:dyDescent="0.5">
      <c r="A44" s="6">
        <f t="shared" si="4"/>
        <v>1300</v>
      </c>
      <c r="B44" s="8">
        <v>12.41164267317531</v>
      </c>
      <c r="C44" s="6">
        <v>7.578125</v>
      </c>
      <c r="D44" s="8">
        <v>12.416561846226472</v>
      </c>
      <c r="E44" s="9">
        <f t="shared" si="0"/>
        <v>4.9191730511619625E-3</v>
      </c>
      <c r="F44" s="5">
        <f t="shared" si="1"/>
        <v>6.3949249665105512</v>
      </c>
    </row>
    <row r="45" spans="1:10" x14ac:dyDescent="0.5">
      <c r="A45" s="6">
        <f t="shared" si="4"/>
        <v>1400</v>
      </c>
      <c r="B45" s="8">
        <v>12.412145319213776</v>
      </c>
      <c r="C45" s="6">
        <v>8.73828125</v>
      </c>
      <c r="D45" s="8">
        <v>12.416561846226472</v>
      </c>
      <c r="E45" s="9">
        <f t="shared" si="0"/>
        <v>4.4165270126956813E-3</v>
      </c>
      <c r="F45" s="5">
        <f t="shared" si="1"/>
        <v>6.1831378177739538</v>
      </c>
    </row>
    <row r="46" spans="1:10" x14ac:dyDescent="0.5">
      <c r="A46" s="6">
        <f t="shared" si="4"/>
        <v>1500</v>
      </c>
      <c r="B46" s="8">
        <v>12.41251939828849</v>
      </c>
      <c r="C46" s="6">
        <v>9.71484375</v>
      </c>
      <c r="D46" s="8">
        <v>12.416561846226472</v>
      </c>
      <c r="E46" s="9">
        <f t="shared" si="0"/>
        <v>4.0424479379819189E-3</v>
      </c>
      <c r="F46" s="5">
        <f t="shared" si="1"/>
        <v>6.0636719069728784</v>
      </c>
    </row>
    <row r="47" spans="1:10" x14ac:dyDescent="0.5">
      <c r="A47" s="6">
        <f t="shared" si="4"/>
        <v>1600</v>
      </c>
      <c r="B47" s="8">
        <v>12.412794709855611</v>
      </c>
      <c r="C47" s="6">
        <v>10.921875</v>
      </c>
      <c r="D47" s="8">
        <v>12.416561846226472</v>
      </c>
      <c r="E47" s="9">
        <f t="shared" si="0"/>
        <v>3.7671363708611239E-3</v>
      </c>
      <c r="F47" s="5">
        <f t="shared" si="1"/>
        <v>6.0274181933777982</v>
      </c>
    </row>
    <row r="48" spans="1:10" x14ac:dyDescent="0.5">
      <c r="A48" s="6">
        <f t="shared" si="4"/>
        <v>1700</v>
      </c>
      <c r="B48" s="8">
        <v>12.412993215001887</v>
      </c>
      <c r="C48" s="6">
        <v>12.11328125</v>
      </c>
      <c r="D48" s="8">
        <v>12.416561846226472</v>
      </c>
      <c r="E48" s="9">
        <f t="shared" si="0"/>
        <v>3.5686312245850615E-3</v>
      </c>
      <c r="F48" s="5">
        <f t="shared" si="1"/>
        <v>6.0666730817946046</v>
      </c>
    </row>
    <row r="49" spans="1:6" x14ac:dyDescent="0.5">
      <c r="A49" s="6">
        <f t="shared" si="4"/>
        <v>1800</v>
      </c>
      <c r="B49" s="8">
        <v>12.413131372454158</v>
      </c>
      <c r="C49" s="6">
        <v>13.046875</v>
      </c>
      <c r="D49" s="8">
        <v>12.416561846226472</v>
      </c>
      <c r="E49" s="9">
        <f t="shared" si="0"/>
        <v>3.4304737723136469E-3</v>
      </c>
      <c r="F49" s="5">
        <f t="shared" si="1"/>
        <v>6.1748527901645645</v>
      </c>
    </row>
    <row r="50" spans="1:6" x14ac:dyDescent="0.5">
      <c r="A50" s="6">
        <f t="shared" si="4"/>
        <v>1900</v>
      </c>
      <c r="B50" s="6">
        <v>12.413221700084515</v>
      </c>
      <c r="C50" s="6">
        <v>14.421875</v>
      </c>
      <c r="D50" s="8">
        <v>12.416561846226472</v>
      </c>
      <c r="E50" s="9">
        <f t="shared" si="0"/>
        <v>3.340146141956879E-3</v>
      </c>
      <c r="F50" s="5">
        <f t="shared" si="1"/>
        <v>6.3462776697180701</v>
      </c>
    </row>
    <row r="51" spans="1:6" x14ac:dyDescent="0.5">
      <c r="A51" s="6">
        <f t="shared" si="4"/>
        <v>2000</v>
      </c>
      <c r="B51" s="6">
        <v>12.413273842503573</v>
      </c>
      <c r="C51" s="6">
        <v>15.51171875</v>
      </c>
      <c r="D51" s="8">
        <v>12.416561846226472</v>
      </c>
      <c r="E51" s="9">
        <f t="shared" si="0"/>
        <v>3.2880037228988357E-3</v>
      </c>
      <c r="F51" s="5">
        <f t="shared" si="1"/>
        <v>6.5760074457976714</v>
      </c>
    </row>
    <row r="52" spans="1:6" x14ac:dyDescent="0.5">
      <c r="A52" s="6">
        <f t="shared" si="4"/>
        <v>2100</v>
      </c>
      <c r="B52" s="6">
        <v>12.413295316010965</v>
      </c>
      <c r="C52" s="6">
        <v>16.62109375</v>
      </c>
      <c r="D52" s="8">
        <v>12.416561846226472</v>
      </c>
      <c r="E52" s="9">
        <f t="shared" si="0"/>
        <v>3.2665302155070464E-3</v>
      </c>
      <c r="F52" s="5">
        <f t="shared" si="1"/>
        <v>6.8597134525647974</v>
      </c>
    </row>
    <row r="53" spans="1:6" x14ac:dyDescent="0.5">
      <c r="A53" s="6">
        <f t="shared" si="4"/>
        <v>2200</v>
      </c>
      <c r="B53" s="6">
        <v>12.413292038400241</v>
      </c>
      <c r="C53" s="6">
        <v>17.94140625</v>
      </c>
      <c r="D53" s="8">
        <v>12.416561846226472</v>
      </c>
      <c r="E53" s="9">
        <f t="shared" si="0"/>
        <v>3.2698078262303198E-3</v>
      </c>
      <c r="F53" s="5">
        <f t="shared" si="1"/>
        <v>7.1935772177067037</v>
      </c>
    </row>
    <row r="54" spans="1:6" x14ac:dyDescent="0.5">
      <c r="A54" s="6">
        <f t="shared" si="4"/>
        <v>2300</v>
      </c>
      <c r="B54" s="6">
        <v>12.413268711346323</v>
      </c>
      <c r="C54" s="6">
        <v>19.21484375</v>
      </c>
      <c r="D54" s="8">
        <v>12.416561846226472</v>
      </c>
      <c r="E54" s="9">
        <f t="shared" si="0"/>
        <v>3.2931348801490401E-3</v>
      </c>
      <c r="F54" s="5">
        <f t="shared" si="1"/>
        <v>7.5742102243427922</v>
      </c>
    </row>
    <row r="55" spans="1:6" x14ac:dyDescent="0.5">
      <c r="A55" s="6">
        <f t="shared" si="4"/>
        <v>2400</v>
      </c>
      <c r="B55" s="6">
        <v>12.413229100755458</v>
      </c>
      <c r="C55" s="6">
        <v>20.4921875</v>
      </c>
      <c r="D55" s="8">
        <v>12.416561846226472</v>
      </c>
      <c r="E55" s="9">
        <f t="shared" si="0"/>
        <v>3.3327454710132542E-3</v>
      </c>
      <c r="F55" s="5">
        <f t="shared" si="1"/>
        <v>7.9985891304318102</v>
      </c>
    </row>
    <row r="56" spans="1:6" x14ac:dyDescent="0.5">
      <c r="A56" s="6">
        <f t="shared" si="4"/>
        <v>2500</v>
      </c>
      <c r="B56" s="6">
        <v>12.413176245154677</v>
      </c>
      <c r="C56" s="6">
        <v>22.109375</v>
      </c>
      <c r="D56" s="8">
        <v>12.416561846226472</v>
      </c>
      <c r="E56" s="9">
        <f t="shared" si="0"/>
        <v>3.3856010717947527E-3</v>
      </c>
      <c r="F56" s="5">
        <f t="shared" si="1"/>
        <v>8.4640026794868817</v>
      </c>
    </row>
  </sheetData>
  <mergeCells count="10">
    <mergeCell ref="H32:J34"/>
    <mergeCell ref="E6:E7"/>
    <mergeCell ref="F6:F7"/>
    <mergeCell ref="A6:A7"/>
    <mergeCell ref="B6:B7"/>
    <mergeCell ref="C6:C7"/>
    <mergeCell ref="D6:D7"/>
    <mergeCell ref="A1:C3"/>
    <mergeCell ref="A5:F5"/>
    <mergeCell ref="H1:J3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PriceTreeStep">
                <anchor moveWithCells="1" sizeWithCells="1">
                  <from>
                    <xdr:col>3</xdr:col>
                    <xdr:colOff>935567</xdr:colOff>
                    <xdr:row>0</xdr:row>
                    <xdr:rowOff>76200</xdr:rowOff>
                  </from>
                  <to>
                    <xdr:col>5</xdr:col>
                    <xdr:colOff>1210733</xdr:colOff>
                    <xdr:row>2</xdr:row>
                    <xdr:rowOff>131233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28</vt:i4>
      </vt:variant>
    </vt:vector>
  </HeadingPairs>
  <TitlesOfParts>
    <vt:vector size="33" baseType="lpstr">
      <vt:lpstr>Interface</vt:lpstr>
      <vt:lpstr>UnderlyingPlot</vt:lpstr>
      <vt:lpstr>OptionPricePlot</vt:lpstr>
      <vt:lpstr>NodeProbaPlot</vt:lpstr>
      <vt:lpstr>Convergence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CHARBONNIER Thibault</cp:lastModifiedBy>
  <dcterms:created xsi:type="dcterms:W3CDTF">2024-09-02T18:05:29Z</dcterms:created>
  <dcterms:modified xsi:type="dcterms:W3CDTF">2024-10-09T14:55:06Z</dcterms:modified>
</cp:coreProperties>
</file>