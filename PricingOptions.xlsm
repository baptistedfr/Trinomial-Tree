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D7036003-8590-41F7-A68D-931EBF451701}" xr6:coauthVersionLast="47" xr6:coauthVersionMax="47" xr10:uidLastSave="{00000000-0000-0000-0000-000000000000}"/>
  <bookViews>
    <workbookView xWindow="22932" yWindow="-108" windowWidth="23256" windowHeight="1317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F11" i="3" s="1"/>
  <c r="E12" i="3"/>
  <c r="F12" i="3" s="1"/>
  <c r="E13" i="3"/>
  <c r="F13" i="3" s="1"/>
  <c r="E14" i="3"/>
  <c r="F14" i="3" s="1"/>
  <c r="E15" i="3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E53" i="3"/>
  <c r="F53" i="3" s="1"/>
  <c r="E54" i="3"/>
  <c r="F54" i="3" s="1"/>
  <c r="E55" i="3"/>
  <c r="F55" i="3" s="1"/>
  <c r="E56" i="3"/>
  <c r="F56" i="3" s="1"/>
  <c r="E8" i="3"/>
  <c r="F10" i="3"/>
  <c r="F8" i="3"/>
  <c r="E29" i="10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F9" i="3"/>
  <c r="F15" i="3"/>
  <c r="F27" i="3"/>
  <c r="F52" i="3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<sst xmlns="http://schemas.openxmlformats.org/spreadsheetml/2006/main" count="68" uniqueCount="59">
  <si>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</si>
  <si>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</si>
  <si>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</si>
  <si>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</si>
  <si>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</si>
  <si>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</si>
  <si>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</si>
  <si>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</si>
  <si>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</si>
  <si>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</si>
  <si>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</si>
  <si>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</si>
  <si>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</si>
  <si>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</si>
  <si>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</si>
  <si>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</si>
  <si>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</si>
  <si>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</si>
  <si>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</si>
  <si>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</si>
  <si>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</si>
  <si>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</si>
  <si>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</si>
  <si>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</si>
  <si>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</si>
  <si>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</si>
  <si>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</si>
  <si>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</si>
  <si>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</si>
  <si>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</si>
  <si>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</si>
  <si>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</si>
  <si>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</si>
  <si>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</si>
  <si>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</si>
  <si>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</si>
  <si>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</si>
  <si>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</si>
  <si>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</si>
  <si>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</si>
  <si>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</si>
  <si>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</si>
  <si>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</si>
  <si>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</si>
  <si>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</si>
  <si>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</si>
  <si>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</si>
  <si>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</si>
  <si>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</si>
  <si>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</si>
  <si>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</si>
  <si>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</si>
  <si>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</si>
  <si>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</si>
  <si>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</si>
  <si>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</si>
  <si>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</si>
  <si>
    <t>No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</si>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</sst>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9.7815897837004009</c:v>
                </c:pt>
                <c:pt idx="2">
                  <c:v>11.709742865766286</c:v>
                </c:pt>
                <c:pt idx="3">
                  <c:v>11.894039630881981</c:v>
                </c:pt>
                <c:pt idx="4">
                  <c:v>11.955106128445587</c:v>
                </c:pt>
                <c:pt idx="5">
                  <c:v>11.966097318427627</c:v>
                </c:pt>
                <c:pt idx="6">
                  <c:v>11.96766194127764</c:v>
                </c:pt>
                <c:pt idx="7">
                  <c:v>11.96387095466398</c:v>
                </c:pt>
                <c:pt idx="8">
                  <c:v>11.959873285370753</c:v>
                </c:pt>
                <c:pt idx="9">
                  <c:v>11.956403293059161</c:v>
                </c:pt>
                <c:pt idx="10">
                  <c:v>11.953457799421647</c:v>
                </c:pt>
                <c:pt idx="11">
                  <c:v>11.95094103122441</c:v>
                </c:pt>
                <c:pt idx="12">
                  <c:v>11.948767949234204</c:v>
                </c:pt>
                <c:pt idx="13">
                  <c:v>11.946873550480198</c:v>
                </c:pt>
                <c:pt idx="14">
                  <c:v>11.945201085736254</c:v>
                </c:pt>
                <c:pt idx="15">
                  <c:v>11.943709076042806</c:v>
                </c:pt>
                <c:pt idx="16">
                  <c:v>11.942372051919488</c:v>
                </c:pt>
                <c:pt idx="17">
                  <c:v>11.941162704939233</c:v>
                </c:pt>
                <c:pt idx="18">
                  <c:v>11.940060888823833</c:v>
                </c:pt>
                <c:pt idx="19">
                  <c:v>11.940203576241586</c:v>
                </c:pt>
                <c:pt idx="20">
                  <c:v>11.941843158764884</c:v>
                </c:pt>
                <c:pt idx="21">
                  <c:v>11.943174337886743</c:v>
                </c:pt>
                <c:pt idx="22">
                  <c:v>11.944256643242266</c:v>
                </c:pt>
                <c:pt idx="23">
                  <c:v>11.945143609095853</c:v>
                </c:pt>
                <c:pt idx="24">
                  <c:v>11.945865217995129</c:v>
                </c:pt>
                <c:pt idx="25">
                  <c:v>11.946922972545082</c:v>
                </c:pt>
                <c:pt idx="26">
                  <c:v>11.947602557363272</c:v>
                </c:pt>
                <c:pt idx="27">
                  <c:v>11.948012266654001</c:v>
                </c:pt>
                <c:pt idx="28">
                  <c:v>11.948228450987196</c:v>
                </c:pt>
                <c:pt idx="29">
                  <c:v>11.948303365415127</c:v>
                </c:pt>
                <c:pt idx="30">
                  <c:v>11.948269499055217</c:v>
                </c:pt>
                <c:pt idx="31">
                  <c:v>11.948161455521145</c:v>
                </c:pt>
                <c:pt idx="32">
                  <c:v>11.947994428158472</c:v>
                </c:pt>
                <c:pt idx="33">
                  <c:v>11.94777912139287</c:v>
                </c:pt>
                <c:pt idx="34">
                  <c:v>11.947536146085461</c:v>
                </c:pt>
                <c:pt idx="35">
                  <c:v>11.946974618847664</c:v>
                </c:pt>
                <c:pt idx="36">
                  <c:v>11.946367077881254</c:v>
                </c:pt>
                <c:pt idx="37">
                  <c:v>11.945730931265341</c:v>
                </c:pt>
                <c:pt idx="38">
                  <c:v>11.945087906029372</c:v>
                </c:pt>
                <c:pt idx="39">
                  <c:v>11.945023271121354</c:v>
                </c:pt>
                <c:pt idx="40">
                  <c:v>11.945676740838824</c:v>
                </c:pt>
                <c:pt idx="41">
                  <c:v>11.946157270166964</c:v>
                </c:pt>
                <c:pt idx="42">
                  <c:v>11.946500306401445</c:v>
                </c:pt>
                <c:pt idx="43">
                  <c:v>11.94673156350974</c:v>
                </c:pt>
                <c:pt idx="44">
                  <c:v>11.946876664948501</c:v>
                </c:pt>
                <c:pt idx="45">
                  <c:v>11.94695188548852</c:v>
                </c:pt>
                <c:pt idx="46">
                  <c:v>11.946966373051616</c:v>
                </c:pt>
                <c:pt idx="47">
                  <c:v>11.946935529639404</c:v>
                </c:pt>
                <c:pt idx="48">
                  <c:v>11.946868110948067</c:v>
                </c:pt>
                <c:pt idx="49">
                  <c:v>11.946770031892383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11.946724297682652</c:v>
                </c:pt>
                <c:pt idx="2">
                  <c:v>11.946724297682652</c:v>
                </c:pt>
                <c:pt idx="3">
                  <c:v>11.946724297682652</c:v>
                </c:pt>
                <c:pt idx="4">
                  <c:v>11.946724297682652</c:v>
                </c:pt>
                <c:pt idx="5">
                  <c:v>11.946724297682652</c:v>
                </c:pt>
                <c:pt idx="6">
                  <c:v>11.946724297682652</c:v>
                </c:pt>
                <c:pt idx="7">
                  <c:v>11.946724297682652</c:v>
                </c:pt>
                <c:pt idx="8">
                  <c:v>11.946724297682652</c:v>
                </c:pt>
                <c:pt idx="9">
                  <c:v>11.946724297682652</c:v>
                </c:pt>
                <c:pt idx="10">
                  <c:v>11.946724297682652</c:v>
                </c:pt>
                <c:pt idx="11">
                  <c:v>11.946724297682652</c:v>
                </c:pt>
                <c:pt idx="12">
                  <c:v>11.946724297682652</c:v>
                </c:pt>
                <c:pt idx="13">
                  <c:v>11.946724297682652</c:v>
                </c:pt>
                <c:pt idx="14">
                  <c:v>11.946724297682652</c:v>
                </c:pt>
                <c:pt idx="15">
                  <c:v>11.946724297682652</c:v>
                </c:pt>
                <c:pt idx="16">
                  <c:v>11.946724297682652</c:v>
                </c:pt>
                <c:pt idx="17">
                  <c:v>11.946724297682652</c:v>
                </c:pt>
                <c:pt idx="18">
                  <c:v>11.946724297682652</c:v>
                </c:pt>
                <c:pt idx="19">
                  <c:v>11.946724297682652</c:v>
                </c:pt>
                <c:pt idx="20">
                  <c:v>11.946724297682652</c:v>
                </c:pt>
                <c:pt idx="21">
                  <c:v>11.946724297682652</c:v>
                </c:pt>
                <c:pt idx="22">
                  <c:v>11.946724297682652</c:v>
                </c:pt>
                <c:pt idx="23">
                  <c:v>11.946724297682652</c:v>
                </c:pt>
                <c:pt idx="24">
                  <c:v>11.946724297682652</c:v>
                </c:pt>
                <c:pt idx="25">
                  <c:v>11.946724297682652</c:v>
                </c:pt>
                <c:pt idx="26">
                  <c:v>11.946724297682652</c:v>
                </c:pt>
                <c:pt idx="27">
                  <c:v>11.946724297682652</c:v>
                </c:pt>
                <c:pt idx="28">
                  <c:v>11.946724297682652</c:v>
                </c:pt>
                <c:pt idx="29">
                  <c:v>11.946724297682652</c:v>
                </c:pt>
                <c:pt idx="30">
                  <c:v>11.946724297682652</c:v>
                </c:pt>
                <c:pt idx="31">
                  <c:v>11.946724297682652</c:v>
                </c:pt>
                <c:pt idx="32">
                  <c:v>11.946724297682652</c:v>
                </c:pt>
                <c:pt idx="33">
                  <c:v>11.946724297682652</c:v>
                </c:pt>
                <c:pt idx="34">
                  <c:v>11.946724297682652</c:v>
                </c:pt>
                <c:pt idx="35">
                  <c:v>11.946724297682652</c:v>
                </c:pt>
                <c:pt idx="36">
                  <c:v>11.946724297682652</c:v>
                </c:pt>
                <c:pt idx="37">
                  <c:v>11.946724297682652</c:v>
                </c:pt>
                <c:pt idx="38">
                  <c:v>11.946724297682652</c:v>
                </c:pt>
                <c:pt idx="39">
                  <c:v>11.946724297682652</c:v>
                </c:pt>
                <c:pt idx="40">
                  <c:v>11.946724297682652</c:v>
                </c:pt>
                <c:pt idx="41">
                  <c:v>11.946724297682652</c:v>
                </c:pt>
                <c:pt idx="42">
                  <c:v>11.946724297682652</c:v>
                </c:pt>
                <c:pt idx="43">
                  <c:v>11.946724297682652</c:v>
                </c:pt>
                <c:pt idx="44">
                  <c:v>11.946724297682652</c:v>
                </c:pt>
                <c:pt idx="45">
                  <c:v>11.946724297682652</c:v>
                </c:pt>
                <c:pt idx="46">
                  <c:v>11.946724297682652</c:v>
                </c:pt>
                <c:pt idx="47">
                  <c:v>11.946724297682652</c:v>
                </c:pt>
                <c:pt idx="48">
                  <c:v>11.946724297682652</c:v>
                </c:pt>
                <c:pt idx="49">
                  <c:v>11.946724297682652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7.8125E-3</c:v>
                </c:pt>
                <c:pt idx="7">
                  <c:v>2.34375E-2</c:v>
                </c:pt>
                <c:pt idx="8">
                  <c:v>2.34375E-2</c:v>
                </c:pt>
                <c:pt idx="9">
                  <c:v>4.6875E-2</c:v>
                </c:pt>
                <c:pt idx="10">
                  <c:v>5.859375E-2</c:v>
                </c:pt>
                <c:pt idx="11">
                  <c:v>7.03125E-2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0.1328125</c:v>
                </c:pt>
                <c:pt idx="15">
                  <c:v>0.1484375</c:v>
                </c:pt>
                <c:pt idx="16">
                  <c:v>0.203125</c:v>
                </c:pt>
                <c:pt idx="17">
                  <c:v>0.203125</c:v>
                </c:pt>
                <c:pt idx="18">
                  <c:v>0.2109375</c:v>
                </c:pt>
                <c:pt idx="19">
                  <c:v>0.23828125</c:v>
                </c:pt>
                <c:pt idx="20">
                  <c:v>0.25</c:v>
                </c:pt>
                <c:pt idx="21">
                  <c:v>0.28125</c:v>
                </c:pt>
                <c:pt idx="22">
                  <c:v>0.296875</c:v>
                </c:pt>
                <c:pt idx="23">
                  <c:v>0.3359375</c:v>
                </c:pt>
                <c:pt idx="24">
                  <c:v>0.34765625</c:v>
                </c:pt>
                <c:pt idx="25">
                  <c:v>0.43359375</c:v>
                </c:pt>
                <c:pt idx="26">
                  <c:v>0.45703125</c:v>
                </c:pt>
                <c:pt idx="27">
                  <c:v>0.53515625</c:v>
                </c:pt>
                <c:pt idx="28">
                  <c:v>0.6171875</c:v>
                </c:pt>
                <c:pt idx="29">
                  <c:v>0.6796875</c:v>
                </c:pt>
                <c:pt idx="30">
                  <c:v>0.76953125</c:v>
                </c:pt>
                <c:pt idx="31">
                  <c:v>0.85546875</c:v>
                </c:pt>
                <c:pt idx="32">
                  <c:v>0.8984375</c:v>
                </c:pt>
                <c:pt idx="33">
                  <c:v>1</c:v>
                </c:pt>
                <c:pt idx="34">
                  <c:v>1.01953125</c:v>
                </c:pt>
                <c:pt idx="35">
                  <c:v>1.34375</c:v>
                </c:pt>
                <c:pt idx="36">
                  <c:v>1.328125</c:v>
                </c:pt>
                <c:pt idx="37">
                  <c:v>1.546875</c:v>
                </c:pt>
                <c:pt idx="38">
                  <c:v>1.84765625</c:v>
                </c:pt>
                <c:pt idx="39">
                  <c:v>1.8125</c:v>
                </c:pt>
                <c:pt idx="40">
                  <c:v>2.109375</c:v>
                </c:pt>
                <c:pt idx="41">
                  <c:v>2.1328125</c:v>
                </c:pt>
                <c:pt idx="42">
                  <c:v>2.42578125</c:v>
                </c:pt>
                <c:pt idx="43">
                  <c:v>2.671875</c:v>
                </c:pt>
                <c:pt idx="44">
                  <c:v>2.7109375</c:v>
                </c:pt>
                <c:pt idx="45">
                  <c:v>3.04296875</c:v>
                </c:pt>
                <c:pt idx="46">
                  <c:v>3.1875</c:v>
                </c:pt>
                <c:pt idx="47">
                  <c:v>3.34375</c:v>
                </c:pt>
                <c:pt idx="48">
                  <c:v>3.515625</c:v>
                </c:pt>
                <c:pt idx="49">
                  <c:v>3.81640625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0.23698143191636589</c:v>
                </c:pt>
                <c:pt idx="3">
                  <c:v>5.2684666800670854E-2</c:v>
                </c:pt>
                <c:pt idx="4">
                  <c:v>-8.3818307629357491E-3</c:v>
                </c:pt>
                <c:pt idx="5">
                  <c:v>-1.9373020744975378E-2</c:v>
                </c:pt>
                <c:pt idx="6">
                  <c:v>-2.0937643594988842E-2</c:v>
                </c:pt>
                <c:pt idx="7">
                  <c:v>-1.7146656981328334E-2</c:v>
                </c:pt>
                <c:pt idx="8">
                  <c:v>-1.3148987688101244E-2</c:v>
                </c:pt>
                <c:pt idx="9">
                  <c:v>-9.6789953765092918E-3</c:v>
                </c:pt>
                <c:pt idx="10">
                  <c:v>-6.7335017389957841E-3</c:v>
                </c:pt>
                <c:pt idx="11">
                  <c:v>-4.2167335417584439E-3</c:v>
                </c:pt>
                <c:pt idx="12">
                  <c:v>-2.0436515515527276E-3</c:v>
                </c:pt>
                <c:pt idx="13">
                  <c:v>-1.492527975468505E-4</c:v>
                </c:pt>
                <c:pt idx="14">
                  <c:v>1.5232119463970406E-3</c:v>
                </c:pt>
                <c:pt idx="15">
                  <c:v>3.0152216398455778E-3</c:v>
                </c:pt>
                <c:pt idx="16">
                  <c:v>4.3522457631635092E-3</c:v>
                </c:pt>
                <c:pt idx="17">
                  <c:v>5.5615927434189416E-3</c:v>
                </c:pt>
                <c:pt idx="18">
                  <c:v>6.6634088588184426E-3</c:v>
                </c:pt>
                <c:pt idx="19">
                  <c:v>6.5207214410651915E-3</c:v>
                </c:pt>
                <c:pt idx="20">
                  <c:v>4.8811389177672027E-3</c:v>
                </c:pt>
                <c:pt idx="21">
                  <c:v>3.5499597959081086E-3</c:v>
                </c:pt>
                <c:pt idx="22">
                  <c:v>2.4676544403856582E-3</c:v>
                </c:pt>
                <c:pt idx="23">
                  <c:v>1.5806885867988285E-3</c:v>
                </c:pt>
                <c:pt idx="24">
                  <c:v>8.5907968752252373E-4</c:v>
                </c:pt>
                <c:pt idx="25">
                  <c:v>-1.9867486243008159E-4</c:v>
                </c:pt>
                <c:pt idx="26">
                  <c:v>-8.7825968062027471E-4</c:v>
                </c:pt>
                <c:pt idx="27">
                  <c:v>-1.2879689713489739E-3</c:v>
                </c:pt>
                <c:pt idx="28">
                  <c:v>-1.5041533045447864E-3</c:v>
                </c:pt>
                <c:pt idx="29">
                  <c:v>-1.5790677324751812E-3</c:v>
                </c:pt>
                <c:pt idx="30">
                  <c:v>-1.5452013725649749E-3</c:v>
                </c:pt>
                <c:pt idx="31">
                  <c:v>-1.4371578384935191E-3</c:v>
                </c:pt>
                <c:pt idx="32">
                  <c:v>-1.2701304758202525E-3</c:v>
                </c:pt>
                <c:pt idx="33">
                  <c:v>-1.0548237102181446E-3</c:v>
                </c:pt>
                <c:pt idx="34">
                  <c:v>-8.1184840280990045E-4</c:v>
                </c:pt>
                <c:pt idx="35">
                  <c:v>-2.503211650122239E-4</c:v>
                </c:pt>
                <c:pt idx="36">
                  <c:v>3.5721980139769016E-4</c:v>
                </c:pt>
                <c:pt idx="37">
                  <c:v>9.9336641731007091E-4</c:v>
                </c:pt>
                <c:pt idx="38">
                  <c:v>1.6363916532800005E-3</c:v>
                </c:pt>
                <c:pt idx="39">
                  <c:v>1.7010265612977804E-3</c:v>
                </c:pt>
                <c:pt idx="40">
                  <c:v>1.047556843827735E-3</c:v>
                </c:pt>
                <c:pt idx="41">
                  <c:v>5.6702751568771248E-4</c:v>
                </c:pt>
                <c:pt idx="42">
                  <c:v>2.23991281206537E-4</c:v>
                </c:pt>
                <c:pt idx="43">
                  <c:v>-7.2658270884318199E-6</c:v>
                </c:pt>
                <c:pt idx="44">
                  <c:v>-1.523672658496622E-4</c:v>
                </c:pt>
                <c:pt idx="45">
                  <c:v>-2.2758780586862315E-4</c:v>
                </c:pt>
                <c:pt idx="46">
                  <c:v>-2.4207536896447834E-4</c:v>
                </c:pt>
                <c:pt idx="47">
                  <c:v>-2.1123195675265549E-4</c:v>
                </c:pt>
                <c:pt idx="48">
                  <c:v>-1.4381326541546002E-4</c:v>
                </c:pt>
                <c:pt idx="49">
                  <c:v>-4.5734209731307374E-5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1.1849071595818295</c:v>
                </c:pt>
                <c:pt idx="3">
                  <c:v>0.52684666800670854</c:v>
                </c:pt>
                <c:pt idx="4">
                  <c:v>-0.16763661525871498</c:v>
                </c:pt>
                <c:pt idx="5">
                  <c:v>-0.58119062234926133</c:v>
                </c:pt>
                <c:pt idx="6">
                  <c:v>-1.0468821797494421</c:v>
                </c:pt>
                <c:pt idx="7">
                  <c:v>-1.2859992735996251</c:v>
                </c:pt>
                <c:pt idx="8">
                  <c:v>-1.3148987688101244</c:v>
                </c:pt>
                <c:pt idx="9">
                  <c:v>-1.2098744220636615</c:v>
                </c:pt>
                <c:pt idx="10">
                  <c:v>-1.0100252608493676</c:v>
                </c:pt>
                <c:pt idx="11">
                  <c:v>-0.73792836980772769</c:v>
                </c:pt>
                <c:pt idx="12">
                  <c:v>-0.40873031031054552</c:v>
                </c:pt>
                <c:pt idx="13">
                  <c:v>-3.3581879448041363E-2</c:v>
                </c:pt>
                <c:pt idx="14">
                  <c:v>0.38080298659926015</c:v>
                </c:pt>
                <c:pt idx="15">
                  <c:v>0.82918595095753389</c:v>
                </c:pt>
                <c:pt idx="16">
                  <c:v>1.3056737289490528</c:v>
                </c:pt>
                <c:pt idx="17">
                  <c:v>1.807517641611156</c:v>
                </c:pt>
                <c:pt idx="18">
                  <c:v>2.3321931005864549</c:v>
                </c:pt>
                <c:pt idx="19">
                  <c:v>2.4452705403994468</c:v>
                </c:pt>
                <c:pt idx="20">
                  <c:v>1.9524555671068811</c:v>
                </c:pt>
                <c:pt idx="21">
                  <c:v>1.5087329132609462</c:v>
                </c:pt>
                <c:pt idx="22">
                  <c:v>1.1104444981735462</c:v>
                </c:pt>
                <c:pt idx="23">
                  <c:v>0.75082707872944354</c:v>
                </c:pt>
                <c:pt idx="24">
                  <c:v>0.42953984376126186</c:v>
                </c:pt>
                <c:pt idx="25">
                  <c:v>-0.10927117433654487</c:v>
                </c:pt>
                <c:pt idx="26">
                  <c:v>-0.52695580837216482</c:v>
                </c:pt>
                <c:pt idx="27">
                  <c:v>-0.83717983137683305</c:v>
                </c:pt>
                <c:pt idx="28">
                  <c:v>-1.0529073131813504</c:v>
                </c:pt>
                <c:pt idx="29">
                  <c:v>-1.1843007993563859</c:v>
                </c:pt>
                <c:pt idx="30">
                  <c:v>-1.2361610980519799</c:v>
                </c:pt>
                <c:pt idx="31">
                  <c:v>-1.2215841627194912</c:v>
                </c:pt>
                <c:pt idx="32">
                  <c:v>-1.1431174282382273</c:v>
                </c:pt>
                <c:pt idx="33">
                  <c:v>-1.0020825247072374</c:v>
                </c:pt>
                <c:pt idx="34">
                  <c:v>-0.81184840280990045</c:v>
                </c:pt>
                <c:pt idx="35">
                  <c:v>-0.27535328151344629</c:v>
                </c:pt>
                <c:pt idx="36">
                  <c:v>0.42866376167722819</c:v>
                </c:pt>
                <c:pt idx="37">
                  <c:v>1.2913763425030922</c:v>
                </c:pt>
                <c:pt idx="38">
                  <c:v>2.2909483145920007</c:v>
                </c:pt>
                <c:pt idx="39">
                  <c:v>2.5515398419466706</c:v>
                </c:pt>
                <c:pt idx="40">
                  <c:v>1.6760909501243759</c:v>
                </c:pt>
                <c:pt idx="41">
                  <c:v>0.96394677666911122</c:v>
                </c:pt>
                <c:pt idx="42">
                  <c:v>0.40318430617176659</c:v>
                </c:pt>
                <c:pt idx="43">
                  <c:v>-1.3805071468020458E-2</c:v>
                </c:pt>
                <c:pt idx="44">
                  <c:v>-0.30473453169932441</c:v>
                </c:pt>
                <c:pt idx="45">
                  <c:v>-0.47793439232410861</c:v>
                </c:pt>
                <c:pt idx="46">
                  <c:v>-0.53256581172185236</c:v>
                </c:pt>
                <c:pt idx="47">
                  <c:v>-0.48583350053110763</c:v>
                </c:pt>
                <c:pt idx="48">
                  <c:v>-0.34515183699710406</c:v>
                </c:pt>
                <c:pt idx="49">
                  <c:v>-0.11433552432826843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chart" Target="../charts/chart3.xml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chart" Target="../charts/chart4.xml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15240</xdr:rowOff>
        </xdr:from>
        <xdr:to>
          <xdr:col>7</xdr:col>
          <xdr:colOff>556260</xdr:colOff>
          <xdr:row>29</xdr:row>
          <xdr:rowOff>7620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</xdr:row>
          <xdr:rowOff>99060</xdr:rowOff>
        </xdr:from>
        <xdr:to>
          <xdr:col>20</xdr:col>
          <xdr:colOff>541020</xdr:colOff>
          <xdr:row>10</xdr:row>
          <xdr:rowOff>167640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 (~ 4min 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235528</xdr:colOff>
      <xdr:row>1</xdr:row>
      <xdr:rowOff>96981</xdr:rowOff>
    </xdr:from>
    <xdr:to>
      <xdr:col>7</xdr:col>
      <xdr:colOff>498764</xdr:colOff>
      <xdr:row>18</xdr:row>
      <xdr:rowOff>15872</xdr:rowOff>
    </xdr:to>
    <xdr:pic>
      <xdr:nvPicPr>
        <xdr:cNvPr id="13327" name="Chart 1">
          <a:extLst>
            <a:ext uri="{FF2B5EF4-FFF2-40B4-BE49-F238E27FC236}">
              <a16:creationId xmlns:a16="http://schemas.microsoft.com/office/drawing/2014/main" id="{42543C04-E171-BA5E-ED77-F9FE500A4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28" y="279861"/>
          <a:ext cx="4530436" cy="3027851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13329" name="Chart 2">
          <a:extLst>
            <a:ext uri="{FF2B5EF4-FFF2-40B4-BE49-F238E27FC236}">
              <a16:creationId xmlns:a16="http://schemas.microsoft.com/office/drawing/2014/main" id="{87B21F03-E2CA-91B7-A859-928D1898F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13331" name="Chart 3">
          <a:extLst>
            <a:ext uri="{FF2B5EF4-FFF2-40B4-BE49-F238E27FC236}">
              <a16:creationId xmlns:a16="http://schemas.microsoft.com/office/drawing/2014/main" id="{1D7F8563-CB71-5912-D077-32B21470E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374073</xdr:colOff>
      <xdr:row>19</xdr:row>
      <xdr:rowOff>152399</xdr:rowOff>
    </xdr:from>
    <xdr:to>
      <xdr:col>16</xdr:col>
      <xdr:colOff>55418</xdr:colOff>
      <xdr:row>36</xdr:row>
      <xdr:rowOff>146236</xdr:rowOff>
    </xdr:to>
    <xdr:pic>
      <xdr:nvPicPr>
        <xdr:cNvPr id="13333" name="Chart 4">
          <a:extLst>
            <a:ext uri="{FF2B5EF4-FFF2-40B4-BE49-F238E27FC236}">
              <a16:creationId xmlns:a16="http://schemas.microsoft.com/office/drawing/2014/main" id="{D5A8324B-AE7D-F2A8-2C2A-06B7C5E83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0873" y="3627119"/>
          <a:ext cx="4558145" cy="310279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13335" name="Chart 5">
          <a:extLst>
            <a:ext uri="{FF2B5EF4-FFF2-40B4-BE49-F238E27FC236}">
              <a16:creationId xmlns:a16="http://schemas.microsoft.com/office/drawing/2014/main" id="{70447281-2A57-F004-BD66-733D143B0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15" name="Picture 1">
          <a:extLst>
            <a:ext uri="{FF2B5EF4-FFF2-40B4-BE49-F238E27FC236}">
              <a16:creationId xmlns:a16="http://schemas.microsoft.com/office/drawing/2014/main" id="{0F62750B-6162-5E66-3CCF-BE1D41A6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17" name="Picture 2">
          <a:extLst>
            <a:ext uri="{FF2B5EF4-FFF2-40B4-BE49-F238E27FC236}">
              <a16:creationId xmlns:a16="http://schemas.microsoft.com/office/drawing/2014/main" id="{682474E7-C229-1A0E-A6E2-FB4B6A5BA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9" name="Picture 7">
          <a:extLst>
            <a:ext uri="{FF2B5EF4-FFF2-40B4-BE49-F238E27FC236}">
              <a16:creationId xmlns:a16="http://schemas.microsoft.com/office/drawing/2014/main" id="{C49BD6CC-08DE-D5F9-BF16-804D923F1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21" name="Picture 8">
          <a:extLst>
            <a:ext uri="{FF2B5EF4-FFF2-40B4-BE49-F238E27FC236}">
              <a16:creationId xmlns:a16="http://schemas.microsoft.com/office/drawing/2014/main" id="{574760DE-6EFA-7084-4C0A-0D4F485A1F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tabSelected="1" topLeftCell="B1" zoomScale="110" zoomScaleNormal="110" workbookViewId="0">
      <selection activeCell="H5" sqref="H5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50" t="s">
        <v>36</v>
      </c>
      <c r="C1" s="50"/>
      <c r="D1" s="50"/>
      <c r="E1" s="50"/>
    </row>
    <row r="2" spans="2:15" ht="14.4" customHeight="1" x14ac:dyDescent="0.3">
      <c r="B2" s="50"/>
      <c r="C2" s="50"/>
      <c r="D2" s="50"/>
      <c r="E2" s="50"/>
    </row>
    <row r="3" spans="2:15" ht="14.4" customHeight="1" x14ac:dyDescent="0.3">
      <c r="B3" s="50"/>
      <c r="C3" s="50"/>
      <c r="D3" s="50"/>
      <c r="E3" s="50"/>
    </row>
    <row r="6" spans="2:15" ht="14.4" customHeight="1" x14ac:dyDescent="0.3">
      <c r="B6" s="46" t="s">
        <v>0</v>
      </c>
      <c r="C6" s="52" t="s">
        <v>10</v>
      </c>
      <c r="D6" s="11" t="s">
        <v>12</v>
      </c>
      <c r="E6" s="1">
        <v>100</v>
      </c>
      <c r="J6" s="48" t="s">
        <v>16</v>
      </c>
      <c r="K6" s="48"/>
      <c r="L6" s="48"/>
      <c r="M6" s="47" t="s">
        <v>57</v>
      </c>
      <c r="N6" s="47"/>
      <c r="O6" s="47"/>
    </row>
    <row r="7" spans="2:15" x14ac:dyDescent="0.3">
      <c r="B7" s="46"/>
      <c r="C7" s="52"/>
      <c r="D7" s="11" t="s">
        <v>22</v>
      </c>
      <c r="E7" s="2">
        <v>0.3</v>
      </c>
      <c r="J7" s="48"/>
      <c r="K7" s="48"/>
      <c r="L7" s="48"/>
      <c r="M7" s="47"/>
      <c r="N7" s="47"/>
      <c r="O7" s="47"/>
    </row>
    <row r="8" spans="2:15" x14ac:dyDescent="0.3">
      <c r="B8" s="46"/>
      <c r="C8" s="52"/>
      <c r="D8" s="11" t="s">
        <v>23</v>
      </c>
      <c r="E8" s="2">
        <v>0.03</v>
      </c>
      <c r="J8" s="48" t="s">
        <v>15</v>
      </c>
      <c r="K8" s="48"/>
      <c r="L8" s="48"/>
      <c r="M8" s="47" t="s">
        <v>47</v>
      </c>
      <c r="N8" s="47"/>
      <c r="O8" s="47"/>
    </row>
    <row r="9" spans="2:15" x14ac:dyDescent="0.3">
      <c r="B9" s="46"/>
      <c r="C9" s="52"/>
      <c r="D9" s="11" t="s">
        <v>13</v>
      </c>
      <c r="E9" s="1">
        <v>0</v>
      </c>
      <c r="J9" s="48"/>
      <c r="K9" s="48"/>
      <c r="L9" s="48"/>
      <c r="M9" s="47"/>
      <c r="N9" s="47"/>
      <c r="O9" s="47"/>
    </row>
    <row r="10" spans="2:15" x14ac:dyDescent="0.3">
      <c r="B10" s="46"/>
      <c r="C10" s="52"/>
      <c r="D10" s="11" t="s">
        <v>3</v>
      </c>
      <c r="E10" s="3">
        <v>45458</v>
      </c>
      <c r="I10" s="26"/>
      <c r="J10" s="49"/>
      <c r="K10" s="49"/>
      <c r="L10" s="49"/>
      <c r="M10" s="49"/>
      <c r="N10" s="49"/>
      <c r="O10" s="49"/>
    </row>
    <row r="11" spans="2:15" ht="15.6" customHeight="1" x14ac:dyDescent="0.3">
      <c r="B11" s="46"/>
      <c r="C11" s="53" t="s">
        <v>11</v>
      </c>
      <c r="D11" s="11" t="s">
        <v>4</v>
      </c>
      <c r="E11" s="3">
        <v>45352</v>
      </c>
      <c r="I11" s="26"/>
      <c r="J11" s="49"/>
      <c r="K11" s="49"/>
      <c r="L11" s="49"/>
      <c r="M11" s="49"/>
      <c r="N11" s="49"/>
      <c r="O11" s="49"/>
    </row>
    <row r="12" spans="2:15" ht="15.6" customHeight="1" x14ac:dyDescent="0.3">
      <c r="B12" s="46"/>
      <c r="C12" s="54"/>
      <c r="D12" s="11" t="s">
        <v>46</v>
      </c>
      <c r="E12" s="3">
        <v>45652</v>
      </c>
      <c r="I12" s="26"/>
      <c r="J12" s="49"/>
      <c r="K12" s="49"/>
      <c r="L12" s="49"/>
      <c r="M12" s="49"/>
      <c r="N12" s="49"/>
      <c r="O12" s="49"/>
    </row>
    <row r="13" spans="2:15" ht="15.6" customHeight="1" x14ac:dyDescent="0.3">
      <c r="B13" s="46"/>
      <c r="C13" s="54"/>
      <c r="D13" s="11" t="s">
        <v>24</v>
      </c>
      <c r="E13" s="27">
        <f>(IEndDate-IStartDate)/365</f>
        <v>0.82191780821917804</v>
      </c>
      <c r="J13" s="49"/>
      <c r="K13" s="49"/>
      <c r="L13" s="49"/>
      <c r="M13" s="49"/>
      <c r="N13" s="49"/>
      <c r="O13" s="49"/>
    </row>
    <row r="14" spans="2:15" ht="14.4" customHeight="1" x14ac:dyDescent="0.3">
      <c r="B14" s="46"/>
      <c r="C14" s="54"/>
      <c r="D14" s="11" t="s">
        <v>14</v>
      </c>
      <c r="E14" s="1">
        <v>100</v>
      </c>
      <c r="J14" s="49"/>
      <c r="K14" s="49"/>
      <c r="L14" s="49"/>
      <c r="M14" s="49"/>
      <c r="N14" s="49"/>
      <c r="O14" s="49"/>
    </row>
    <row r="15" spans="2:15" ht="14.4" customHeight="1" x14ac:dyDescent="0.3">
      <c r="B15" s="46"/>
      <c r="C15" s="54"/>
      <c r="D15" s="11" t="s">
        <v>1</v>
      </c>
      <c r="E15" s="1" t="s">
        <v>58</v>
      </c>
    </row>
    <row r="16" spans="2:15" ht="14.4" customHeight="1" x14ac:dyDescent="0.3">
      <c r="B16" s="46"/>
      <c r="C16" s="55"/>
      <c r="D16" s="11" t="s">
        <v>25</v>
      </c>
      <c r="E16" s="1" t="s">
        <v>5</v>
      </c>
      <c r="J16" s="40" t="s">
        <v>51</v>
      </c>
      <c r="K16" s="41"/>
      <c r="L16" s="42"/>
      <c r="M16" s="34">
        <v>-0.41181764042992342</v>
      </c>
      <c r="N16" s="35"/>
      <c r="O16" s="36"/>
    </row>
    <row r="17" spans="2:15" ht="16.649999999999999" customHeight="1" x14ac:dyDescent="0.3">
      <c r="B17" s="46"/>
      <c r="C17" s="51" t="s">
        <v>26</v>
      </c>
      <c r="D17" s="11" t="s">
        <v>27</v>
      </c>
      <c r="E17" s="1">
        <v>1000</v>
      </c>
      <c r="J17" s="43"/>
      <c r="K17" s="44"/>
      <c r="L17" s="45"/>
      <c r="M17" s="37"/>
      <c r="N17" s="38"/>
      <c r="O17" s="39"/>
    </row>
    <row r="18" spans="2:15" x14ac:dyDescent="0.3">
      <c r="B18" s="46"/>
      <c r="C18" s="51"/>
      <c r="D18" s="11" t="s">
        <v>28</v>
      </c>
      <c r="E18" s="4">
        <v>1E-8</v>
      </c>
      <c r="J18" s="40" t="s">
        <v>52</v>
      </c>
      <c r="K18" s="41"/>
      <c r="L18" s="42"/>
      <c r="M18" s="34">
        <v>1.4215010888780385E-2</v>
      </c>
      <c r="N18" s="35"/>
      <c r="O18" s="36"/>
    </row>
    <row r="19" spans="2:15" ht="18.75" customHeight="1" x14ac:dyDescent="0.3">
      <c r="J19" s="43"/>
      <c r="K19" s="44"/>
      <c r="L19" s="45"/>
      <c r="M19" s="37"/>
      <c r="N19" s="38"/>
      <c r="O19" s="39"/>
    </row>
    <row r="20" spans="2:15" ht="15.6" x14ac:dyDescent="0.3">
      <c r="B20" s="31" t="s">
        <v>17</v>
      </c>
      <c r="C20" s="28" t="s">
        <v>7</v>
      </c>
      <c r="D20" s="12" t="s">
        <v>30</v>
      </c>
      <c r="E20" s="13">
        <v>9.5120247596562937</v>
      </c>
      <c r="J20" s="40" t="s">
        <v>55</v>
      </c>
      <c r="K20" s="41"/>
      <c r="L20" s="42"/>
      <c r="M20" s="34">
        <v>35.306362381009571</v>
      </c>
      <c r="N20" s="35"/>
      <c r="O20" s="36"/>
    </row>
    <row r="21" spans="2:15" ht="18" customHeight="1" x14ac:dyDescent="0.3">
      <c r="B21" s="32"/>
      <c r="C21" s="29"/>
      <c r="D21" s="12" t="s">
        <v>31</v>
      </c>
      <c r="E21" s="13">
        <v>9.5111222449068809</v>
      </c>
      <c r="J21" s="43"/>
      <c r="K21" s="44"/>
      <c r="L21" s="45"/>
      <c r="M21" s="37"/>
      <c r="N21" s="38"/>
      <c r="O21" s="39"/>
    </row>
    <row r="22" spans="2:15" ht="18.75" customHeight="1" x14ac:dyDescent="0.3">
      <c r="B22" s="32"/>
      <c r="C22" s="30"/>
      <c r="D22" s="12" t="s">
        <v>41</v>
      </c>
      <c r="E22" s="16">
        <f>(3*IVol^2)/(INbSteps*8*SQRT(2*PI())*SQRT(EXP(IVol^2)-1))</f>
        <v>4.387505563541895E-5</v>
      </c>
      <c r="J22" s="40" t="s">
        <v>53</v>
      </c>
      <c r="K22" s="41"/>
      <c r="L22" s="42"/>
      <c r="M22" s="34">
        <v>-4.9223753867610576</v>
      </c>
      <c r="N22" s="35"/>
      <c r="O22" s="36"/>
    </row>
    <row r="23" spans="2:15" ht="18" customHeight="1" x14ac:dyDescent="0.3">
      <c r="B23" s="32"/>
      <c r="C23" s="28" t="s">
        <v>29</v>
      </c>
      <c r="D23" s="12" t="s">
        <v>32</v>
      </c>
      <c r="E23" s="14">
        <v>0.890625</v>
      </c>
      <c r="J23" s="43"/>
      <c r="K23" s="44"/>
      <c r="L23" s="45"/>
      <c r="M23" s="37"/>
      <c r="N23" s="38"/>
      <c r="O23" s="39"/>
    </row>
    <row r="24" spans="2:15" ht="16.350000000000001" customHeight="1" x14ac:dyDescent="0.3">
      <c r="B24" s="32"/>
      <c r="C24" s="29"/>
      <c r="D24" s="12" t="s">
        <v>33</v>
      </c>
      <c r="E24" s="14">
        <v>0.1875</v>
      </c>
      <c r="J24" s="40" t="s">
        <v>54</v>
      </c>
      <c r="K24" s="41"/>
      <c r="L24" s="42"/>
      <c r="M24" s="34">
        <v>-41.676663369061906</v>
      </c>
      <c r="N24" s="35"/>
      <c r="O24" s="36"/>
    </row>
    <row r="25" spans="2:15" ht="16.350000000000001" customHeight="1" x14ac:dyDescent="0.3">
      <c r="B25" s="32"/>
      <c r="C25" s="30"/>
      <c r="D25" s="12" t="s">
        <v>34</v>
      </c>
      <c r="E25" s="15">
        <f>ITimeTree+IPriceTime</f>
        <v>1.078125</v>
      </c>
      <c r="J25" s="43"/>
      <c r="K25" s="44"/>
      <c r="L25" s="45"/>
      <c r="M25" s="37"/>
      <c r="N25" s="38"/>
      <c r="O25" s="39"/>
    </row>
    <row r="26" spans="2:15" ht="15.6" x14ac:dyDescent="0.3">
      <c r="B26" s="32"/>
      <c r="C26" s="28" t="s">
        <v>48</v>
      </c>
      <c r="D26" s="12" t="s">
        <v>30</v>
      </c>
      <c r="E26" s="13">
        <v>9.5120247596596368</v>
      </c>
    </row>
    <row r="27" spans="2:15" x14ac:dyDescent="0.3">
      <c r="B27" s="32"/>
      <c r="C27" s="29"/>
      <c r="D27" s="12" t="s">
        <v>32</v>
      </c>
      <c r="E27" s="14">
        <v>1.1388814449310303</v>
      </c>
    </row>
    <row r="28" spans="2:15" x14ac:dyDescent="0.3">
      <c r="B28" s="32"/>
      <c r="C28" s="29"/>
      <c r="D28" s="12" t="s">
        <v>33</v>
      </c>
      <c r="E28" s="14">
        <v>0.18738126754760742</v>
      </c>
    </row>
    <row r="29" spans="2:15" ht="15.6" x14ac:dyDescent="0.3">
      <c r="B29" s="33"/>
      <c r="C29" s="30"/>
      <c r="D29" s="12" t="s">
        <v>49</v>
      </c>
      <c r="E29" s="15">
        <f>IPythonTimeTree+IPythonPriceTime</f>
        <v>1.3262627124786377</v>
      </c>
    </row>
    <row r="30" spans="2:15" x14ac:dyDescent="0.3">
      <c r="B30" s="17"/>
      <c r="C30" s="17"/>
      <c r="D30" s="17"/>
      <c r="E30" s="17"/>
    </row>
    <row r="32" spans="2:15" x14ac:dyDescent="0.3">
      <c r="B32" s="10" t="s">
        <v>56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J16:L17"/>
    <mergeCell ref="M16:O17"/>
    <mergeCell ref="B1:E3"/>
    <mergeCell ref="J6:L7"/>
    <mergeCell ref="C20:C22"/>
    <mergeCell ref="C17:C18"/>
    <mergeCell ref="C6:C10"/>
    <mergeCell ref="C11:C16"/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53340</xdr:colOff>
                    <xdr:row>25</xdr:row>
                    <xdr:rowOff>15240</xdr:rowOff>
                  </from>
                  <to>
                    <xdr:col>7</xdr:col>
                    <xdr:colOff>556260</xdr:colOff>
                    <xdr:row>29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B14" sqref="B14:K14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6" t="s">
        <v>19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B14" sqref="B14:K14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6" t="s">
        <v>18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4:XFD1048576 A1 D1:XFD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B15" sqref="B15:K1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6" t="s">
        <v>21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zoomScale="55" zoomScaleNormal="55" workbookViewId="0">
      <selection activeCell="A10" sqref="A10"/>
    </sheetView>
  </sheetViews>
  <sheetFormatPr defaultRowHeight="14.4" x14ac:dyDescent="0.3"/>
  <sheetData>
    <row r="16" spans="22:22" x14ac:dyDescent="0.3">
      <c r="V16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53340</xdr:colOff>
                    <xdr:row>3</xdr:row>
                    <xdr:rowOff>99060</xdr:rowOff>
                  </from>
                  <to>
                    <xdr:col>20</xdr:col>
                    <xdr:colOff>541020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36" zoomScale="85" zoomScaleNormal="85" workbookViewId="0">
      <selection activeCell="S70" sqref="S70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35</v>
      </c>
      <c r="B1" s="57"/>
      <c r="C1" s="57"/>
      <c r="H1" s="57" t="s">
        <v>38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37</v>
      </c>
      <c r="B5" s="58"/>
      <c r="C5" s="58"/>
      <c r="D5" s="58"/>
      <c r="E5" s="58"/>
      <c r="F5" s="58"/>
    </row>
    <row r="6" spans="1:10" ht="14.4" customHeight="1" x14ac:dyDescent="0.3">
      <c r="A6" s="61" t="s">
        <v>6</v>
      </c>
      <c r="B6" s="61" t="s">
        <v>7</v>
      </c>
      <c r="C6" s="61" t="s">
        <v>2</v>
      </c>
      <c r="D6" s="61" t="s">
        <v>20</v>
      </c>
      <c r="E6" s="61" t="s">
        <v>8</v>
      </c>
      <c r="F6" s="61" t="s">
        <v>9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9.7815897837004009</v>
      </c>
      <c r="C8" s="8">
        <v>0</v>
      </c>
      <c r="D8" s="8">
        <v>11.946724297682652</v>
      </c>
      <c r="E8" s="9">
        <f>IF(D8&lt;&gt;"" &amp; B8&lt;&gt;"",D8-B8,"")</f>
        <v>2.1651345139822507</v>
      </c>
      <c r="F8" s="9">
        <f>IF($E8&lt;&gt;"", $E8*$A8, "")</f>
        <v>2.1651345139822507</v>
      </c>
    </row>
    <row r="9" spans="1:10" x14ac:dyDescent="0.3">
      <c r="A9" s="6">
        <v>5</v>
      </c>
      <c r="B9" s="8">
        <v>11.709742865766286</v>
      </c>
      <c r="C9" s="6">
        <v>0</v>
      </c>
      <c r="D9" s="8">
        <v>11.946724297682652</v>
      </c>
      <c r="E9" s="9">
        <f t="shared" ref="E9:E56" si="0">IF(D9&lt;&gt;"" &amp; B9&lt;&gt;"",D9-B9,"")</f>
        <v>0.23698143191636589</v>
      </c>
      <c r="F9" s="5">
        <f t="shared" ref="F9:F56" si="1">IF($E9&lt;&gt;"", $E9*$A9, "")</f>
        <v>1.1849071595818295</v>
      </c>
    </row>
    <row r="10" spans="1:10" x14ac:dyDescent="0.3">
      <c r="A10" s="6">
        <v>10</v>
      </c>
      <c r="B10" s="8">
        <v>11.894039630881981</v>
      </c>
      <c r="C10" s="6">
        <v>0</v>
      </c>
      <c r="D10" s="8">
        <v>11.946724297682652</v>
      </c>
      <c r="E10" s="9">
        <f t="shared" si="0"/>
        <v>5.2684666800670854E-2</v>
      </c>
      <c r="F10" s="5">
        <f t="shared" si="1"/>
        <v>0.52684666800670854</v>
      </c>
    </row>
    <row r="11" spans="1:10" x14ac:dyDescent="0.3">
      <c r="A11" s="6">
        <v>20</v>
      </c>
      <c r="B11" s="8">
        <v>11.955106128445587</v>
      </c>
      <c r="C11" s="6">
        <v>0</v>
      </c>
      <c r="D11" s="8">
        <v>11.946724297682652</v>
      </c>
      <c r="E11" s="9">
        <f t="shared" si="0"/>
        <v>-8.3818307629357491E-3</v>
      </c>
      <c r="F11" s="5">
        <f t="shared" si="1"/>
        <v>-0.16763661525871498</v>
      </c>
    </row>
    <row r="12" spans="1:10" x14ac:dyDescent="0.3">
      <c r="A12" s="6">
        <v>30</v>
      </c>
      <c r="B12" s="8">
        <v>11.966097318427627</v>
      </c>
      <c r="C12" s="6">
        <v>7.8125E-3</v>
      </c>
      <c r="D12" s="8">
        <v>11.946724297682652</v>
      </c>
      <c r="E12" s="9">
        <f t="shared" si="0"/>
        <v>-1.9373020744975378E-2</v>
      </c>
      <c r="F12" s="5">
        <f t="shared" si="1"/>
        <v>-0.58119062234926133</v>
      </c>
    </row>
    <row r="13" spans="1:10" x14ac:dyDescent="0.3">
      <c r="A13" s="6">
        <v>50</v>
      </c>
      <c r="B13" s="8">
        <v>11.96766194127764</v>
      </c>
      <c r="C13" s="6">
        <v>7.8125E-3</v>
      </c>
      <c r="D13" s="8">
        <v>11.946724297682652</v>
      </c>
      <c r="E13" s="9">
        <f t="shared" si="0"/>
        <v>-2.0937643594988842E-2</v>
      </c>
      <c r="F13" s="5">
        <f t="shared" si="1"/>
        <v>-1.0468821797494421</v>
      </c>
    </row>
    <row r="14" spans="1:10" x14ac:dyDescent="0.3">
      <c r="A14" s="6">
        <v>75</v>
      </c>
      <c r="B14" s="8">
        <v>11.96387095466398</v>
      </c>
      <c r="C14" s="6">
        <v>2.34375E-2</v>
      </c>
      <c r="D14" s="8">
        <v>11.946724297682652</v>
      </c>
      <c r="E14" s="9">
        <f t="shared" si="0"/>
        <v>-1.7146656981328334E-2</v>
      </c>
      <c r="F14" s="5">
        <f t="shared" si="1"/>
        <v>-1.2859992735996251</v>
      </c>
    </row>
    <row r="15" spans="1:10" x14ac:dyDescent="0.3">
      <c r="A15" s="6">
        <v>100</v>
      </c>
      <c r="B15" s="8">
        <v>11.959873285370753</v>
      </c>
      <c r="C15" s="6">
        <v>2.34375E-2</v>
      </c>
      <c r="D15" s="8">
        <v>11.946724297682652</v>
      </c>
      <c r="E15" s="9">
        <f t="shared" si="0"/>
        <v>-1.3148987688101244E-2</v>
      </c>
      <c r="F15" s="5">
        <f t="shared" si="1"/>
        <v>-1.3148987688101244</v>
      </c>
    </row>
    <row r="16" spans="1:10" x14ac:dyDescent="0.3">
      <c r="A16" s="6">
        <v>125</v>
      </c>
      <c r="B16" s="8">
        <v>11.956403293059161</v>
      </c>
      <c r="C16" s="6">
        <v>4.6875E-2</v>
      </c>
      <c r="D16" s="8">
        <v>11.946724297682652</v>
      </c>
      <c r="E16" s="9">
        <f t="shared" si="0"/>
        <v>-9.6789953765092918E-3</v>
      </c>
      <c r="F16" s="5">
        <f t="shared" si="1"/>
        <v>-1.2098744220636615</v>
      </c>
    </row>
    <row r="17" spans="1:10" x14ac:dyDescent="0.3">
      <c r="A17" s="6">
        <f>A16+25</f>
        <v>150</v>
      </c>
      <c r="B17" s="8">
        <v>11.953457799421647</v>
      </c>
      <c r="C17" s="6">
        <v>5.859375E-2</v>
      </c>
      <c r="D17" s="8">
        <v>11.946724297682652</v>
      </c>
      <c r="E17" s="9">
        <f t="shared" si="0"/>
        <v>-6.7335017389957841E-3</v>
      </c>
      <c r="F17" s="5">
        <f t="shared" si="1"/>
        <v>-1.0100252608493676</v>
      </c>
    </row>
    <row r="18" spans="1:10" x14ac:dyDescent="0.3">
      <c r="A18" s="6">
        <f t="shared" ref="A18:A31" si="2">A17+25</f>
        <v>175</v>
      </c>
      <c r="B18" s="8">
        <v>11.95094103122441</v>
      </c>
      <c r="C18" s="6">
        <v>7.03125E-2</v>
      </c>
      <c r="D18" s="8">
        <v>11.946724297682652</v>
      </c>
      <c r="E18" s="9">
        <f t="shared" si="0"/>
        <v>-4.2167335417584439E-3</v>
      </c>
      <c r="F18" s="5">
        <f t="shared" si="1"/>
        <v>-0.73792836980772769</v>
      </c>
    </row>
    <row r="19" spans="1:10" ht="14.4" customHeight="1" x14ac:dyDescent="0.3">
      <c r="A19" s="6">
        <f t="shared" si="2"/>
        <v>200</v>
      </c>
      <c r="B19" s="8">
        <v>11.948767949234204</v>
      </c>
      <c r="C19" s="6">
        <v>9.375E-2</v>
      </c>
      <c r="D19" s="8">
        <v>11.946724297682652</v>
      </c>
      <c r="E19" s="9">
        <f t="shared" si="0"/>
        <v>-2.0436515515527276E-3</v>
      </c>
      <c r="F19" s="5">
        <f t="shared" si="1"/>
        <v>-0.40873031031054552</v>
      </c>
    </row>
    <row r="20" spans="1:10" ht="14.4" customHeight="1" x14ac:dyDescent="0.3">
      <c r="A20" s="6">
        <f t="shared" si="2"/>
        <v>225</v>
      </c>
      <c r="B20" s="8">
        <v>11.946873550480198</v>
      </c>
      <c r="C20" s="6">
        <v>0.109375</v>
      </c>
      <c r="D20" s="8">
        <v>11.946724297682652</v>
      </c>
      <c r="E20" s="9">
        <f t="shared" si="0"/>
        <v>-1.492527975468505E-4</v>
      </c>
      <c r="F20" s="5">
        <f t="shared" si="1"/>
        <v>-3.3581879448041363E-2</v>
      </c>
    </row>
    <row r="21" spans="1:10" ht="15" customHeight="1" x14ac:dyDescent="0.3">
      <c r="A21" s="6">
        <f>A20+25</f>
        <v>250</v>
      </c>
      <c r="B21" s="8">
        <v>11.945201085736254</v>
      </c>
      <c r="C21" s="6">
        <v>0.1328125</v>
      </c>
      <c r="D21" s="8">
        <v>11.946724297682652</v>
      </c>
      <c r="E21" s="9">
        <f t="shared" si="0"/>
        <v>1.5232119463970406E-3</v>
      </c>
      <c r="F21" s="5">
        <f>IF($E21&lt;&gt;"", $E21*$A21, "")</f>
        <v>0.38080298659926015</v>
      </c>
    </row>
    <row r="22" spans="1:10" x14ac:dyDescent="0.3">
      <c r="A22" s="6">
        <f>A21+25</f>
        <v>275</v>
      </c>
      <c r="B22" s="8">
        <v>11.943709076042806</v>
      </c>
      <c r="C22" s="6">
        <v>0.1484375</v>
      </c>
      <c r="D22" s="8">
        <v>11.946724297682652</v>
      </c>
      <c r="E22" s="9">
        <f t="shared" si="0"/>
        <v>3.0152216398455778E-3</v>
      </c>
      <c r="F22" s="5">
        <f t="shared" si="1"/>
        <v>0.82918595095753389</v>
      </c>
    </row>
    <row r="23" spans="1:10" x14ac:dyDescent="0.3">
      <c r="A23" s="6">
        <f t="shared" si="2"/>
        <v>300</v>
      </c>
      <c r="B23" s="8">
        <v>11.942372051919488</v>
      </c>
      <c r="C23" s="6">
        <v>0.203125</v>
      </c>
      <c r="D23" s="8">
        <v>11.946724297682652</v>
      </c>
      <c r="E23" s="9">
        <f t="shared" si="0"/>
        <v>4.3522457631635092E-3</v>
      </c>
      <c r="F23" s="5">
        <f t="shared" si="1"/>
        <v>1.3056737289490528</v>
      </c>
    </row>
    <row r="24" spans="1:10" x14ac:dyDescent="0.3">
      <c r="A24" s="6">
        <f t="shared" si="2"/>
        <v>325</v>
      </c>
      <c r="B24" s="8">
        <v>11.941162704939233</v>
      </c>
      <c r="C24" s="6">
        <v>0.203125</v>
      </c>
      <c r="D24" s="8">
        <v>11.946724297682652</v>
      </c>
      <c r="E24" s="9">
        <f t="shared" si="0"/>
        <v>5.5615927434189416E-3</v>
      </c>
      <c r="F24" s="5">
        <f t="shared" si="1"/>
        <v>1.807517641611156</v>
      </c>
    </row>
    <row r="25" spans="1:10" x14ac:dyDescent="0.3">
      <c r="A25" s="6">
        <f t="shared" si="2"/>
        <v>350</v>
      </c>
      <c r="B25" s="8">
        <v>11.940060888823833</v>
      </c>
      <c r="C25" s="6">
        <v>0.2109375</v>
      </c>
      <c r="D25" s="8">
        <v>11.946724297682652</v>
      </c>
      <c r="E25" s="9">
        <f t="shared" si="0"/>
        <v>6.6634088588184426E-3</v>
      </c>
      <c r="F25" s="5">
        <f t="shared" si="1"/>
        <v>2.3321931005864549</v>
      </c>
    </row>
    <row r="26" spans="1:10" x14ac:dyDescent="0.3">
      <c r="A26" s="6">
        <f t="shared" si="2"/>
        <v>375</v>
      </c>
      <c r="B26" s="8">
        <v>11.940203576241586</v>
      </c>
      <c r="C26" s="6">
        <v>0.23828125</v>
      </c>
      <c r="D26" s="8">
        <v>11.946724297682652</v>
      </c>
      <c r="E26" s="9">
        <f t="shared" si="0"/>
        <v>6.5207214410651915E-3</v>
      </c>
      <c r="F26" s="5">
        <f t="shared" si="1"/>
        <v>2.4452705403994468</v>
      </c>
    </row>
    <row r="27" spans="1:10" x14ac:dyDescent="0.3">
      <c r="A27" s="6">
        <f t="shared" si="2"/>
        <v>400</v>
      </c>
      <c r="B27" s="8">
        <v>11.941843158764884</v>
      </c>
      <c r="C27" s="6">
        <v>0.25</v>
      </c>
      <c r="D27" s="8">
        <v>11.946724297682652</v>
      </c>
      <c r="E27" s="9">
        <f t="shared" si="0"/>
        <v>4.8811389177672027E-3</v>
      </c>
      <c r="F27" s="5">
        <f t="shared" si="1"/>
        <v>1.9524555671068811</v>
      </c>
    </row>
    <row r="28" spans="1:10" x14ac:dyDescent="0.3">
      <c r="A28" s="6">
        <f t="shared" si="2"/>
        <v>425</v>
      </c>
      <c r="B28" s="8">
        <v>11.943174337886743</v>
      </c>
      <c r="C28" s="6">
        <v>0.28125</v>
      </c>
      <c r="D28" s="8">
        <v>11.946724297682652</v>
      </c>
      <c r="E28" s="9">
        <f t="shared" si="0"/>
        <v>3.5499597959081086E-3</v>
      </c>
      <c r="F28" s="5">
        <f t="shared" si="1"/>
        <v>1.5087329132609462</v>
      </c>
    </row>
    <row r="29" spans="1:10" x14ac:dyDescent="0.3">
      <c r="A29" s="6">
        <f t="shared" si="2"/>
        <v>450</v>
      </c>
      <c r="B29" s="8">
        <v>11.944256643242266</v>
      </c>
      <c r="C29" s="6">
        <v>0.296875</v>
      </c>
      <c r="D29" s="8">
        <v>11.946724297682652</v>
      </c>
      <c r="E29" s="9">
        <f t="shared" si="0"/>
        <v>2.4676544403856582E-3</v>
      </c>
      <c r="F29" s="5">
        <f t="shared" si="1"/>
        <v>1.1104444981735462</v>
      </c>
    </row>
    <row r="30" spans="1:10" x14ac:dyDescent="0.3">
      <c r="A30" s="6">
        <f t="shared" si="2"/>
        <v>475</v>
      </c>
      <c r="B30" s="8">
        <v>11.945143609095853</v>
      </c>
      <c r="C30" s="6">
        <v>0.3359375</v>
      </c>
      <c r="D30" s="8">
        <v>11.946724297682652</v>
      </c>
      <c r="E30" s="9">
        <f t="shared" si="0"/>
        <v>1.5806885867988285E-3</v>
      </c>
      <c r="F30" s="5">
        <f t="shared" si="1"/>
        <v>0.75082707872944354</v>
      </c>
    </row>
    <row r="31" spans="1:10" x14ac:dyDescent="0.3">
      <c r="A31" s="6">
        <f t="shared" si="2"/>
        <v>500</v>
      </c>
      <c r="B31" s="8">
        <v>11.945865217995129</v>
      </c>
      <c r="C31" s="6">
        <v>0.34765625</v>
      </c>
      <c r="D31" s="8">
        <v>11.946724297682652</v>
      </c>
      <c r="E31" s="9">
        <f t="shared" si="0"/>
        <v>8.5907968752252373E-4</v>
      </c>
      <c r="F31" s="5">
        <f t="shared" si="1"/>
        <v>0.42953984376126186</v>
      </c>
    </row>
    <row r="32" spans="1:10" x14ac:dyDescent="0.3">
      <c r="A32" s="6">
        <f>A31+50</f>
        <v>550</v>
      </c>
      <c r="B32" s="8">
        <v>11.946922972545082</v>
      </c>
      <c r="C32" s="6">
        <v>0.43359375</v>
      </c>
      <c r="D32" s="8">
        <v>11.946724297682652</v>
      </c>
      <c r="E32" s="9">
        <f t="shared" si="0"/>
        <v>-1.9867486243008159E-4</v>
      </c>
      <c r="F32" s="5">
        <f t="shared" si="1"/>
        <v>-0.10927117433654487</v>
      </c>
      <c r="H32" s="57" t="s">
        <v>39</v>
      </c>
      <c r="I32" s="57"/>
      <c r="J32" s="57"/>
    </row>
    <row r="33" spans="1:15" x14ac:dyDescent="0.3">
      <c r="A33" s="6">
        <f t="shared" ref="A33:A41" si="3">A32+50</f>
        <v>600</v>
      </c>
      <c r="B33" s="8">
        <v>11.947602557363272</v>
      </c>
      <c r="C33" s="6">
        <v>0.45703125</v>
      </c>
      <c r="D33" s="8">
        <v>11.946724297682652</v>
      </c>
      <c r="E33" s="9">
        <f t="shared" si="0"/>
        <v>-8.7825968062027471E-4</v>
      </c>
      <c r="F33" s="5">
        <f t="shared" si="1"/>
        <v>-0.52695580837216482</v>
      </c>
      <c r="H33" s="57"/>
      <c r="I33" s="57"/>
      <c r="J33" s="57"/>
      <c r="K33" s="59" t="s">
        <v>40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11.948012266654001</v>
      </c>
      <c r="C34" s="6">
        <v>0.53515625</v>
      </c>
      <c r="D34" s="8">
        <v>11.946724297682652</v>
      </c>
      <c r="E34" s="9">
        <f t="shared" si="0"/>
        <v>-1.2879689713489739E-3</v>
      </c>
      <c r="F34" s="5">
        <f t="shared" si="1"/>
        <v>-0.83717983137683305</v>
      </c>
      <c r="H34" s="57"/>
      <c r="I34" s="57"/>
      <c r="J34" s="57"/>
    </row>
    <row r="35" spans="1:15" x14ac:dyDescent="0.3">
      <c r="A35" s="6">
        <f t="shared" si="3"/>
        <v>700</v>
      </c>
      <c r="B35" s="8">
        <v>11.948228450987196</v>
      </c>
      <c r="C35" s="6">
        <v>0.6171875</v>
      </c>
      <c r="D35" s="8">
        <v>11.946724297682652</v>
      </c>
      <c r="E35" s="9">
        <f t="shared" si="0"/>
        <v>-1.5041533045447864E-3</v>
      </c>
      <c r="F35" s="5">
        <f t="shared" si="1"/>
        <v>-1.0529073131813504</v>
      </c>
      <c r="H35" s="7" t="s">
        <v>50</v>
      </c>
    </row>
    <row r="36" spans="1:15" x14ac:dyDescent="0.3">
      <c r="A36" s="6">
        <f t="shared" si="3"/>
        <v>750</v>
      </c>
      <c r="B36" s="8">
        <v>11.948303365415127</v>
      </c>
      <c r="C36" s="6">
        <v>0.6796875</v>
      </c>
      <c r="D36" s="8">
        <v>11.946724297682652</v>
      </c>
      <c r="E36" s="9">
        <f t="shared" si="0"/>
        <v>-1.5790677324751812E-3</v>
      </c>
      <c r="F36" s="5">
        <f t="shared" si="1"/>
        <v>-1.1843007993563859</v>
      </c>
    </row>
    <row r="37" spans="1:15" x14ac:dyDescent="0.3">
      <c r="A37" s="6">
        <f t="shared" si="3"/>
        <v>800</v>
      </c>
      <c r="B37" s="8">
        <v>11.948269499055217</v>
      </c>
      <c r="C37" s="6">
        <v>0.76953125</v>
      </c>
      <c r="D37" s="8">
        <v>11.946724297682652</v>
      </c>
      <c r="E37" s="9">
        <f t="shared" si="0"/>
        <v>-1.5452013725649749E-3</v>
      </c>
      <c r="F37" s="5">
        <f t="shared" si="1"/>
        <v>-1.2361610980519799</v>
      </c>
    </row>
    <row r="38" spans="1:15" x14ac:dyDescent="0.3">
      <c r="A38" s="6">
        <f t="shared" si="3"/>
        <v>850</v>
      </c>
      <c r="B38" s="8">
        <v>11.948161455521145</v>
      </c>
      <c r="C38" s="6">
        <v>0.85546875</v>
      </c>
      <c r="D38" s="8">
        <v>11.946724297682652</v>
      </c>
      <c r="E38" s="9">
        <f t="shared" si="0"/>
        <v>-1.4371578384935191E-3</v>
      </c>
      <c r="F38" s="5">
        <f t="shared" si="1"/>
        <v>-1.2215841627194912</v>
      </c>
    </row>
    <row r="39" spans="1:15" x14ac:dyDescent="0.3">
      <c r="A39" s="6">
        <f t="shared" si="3"/>
        <v>900</v>
      </c>
      <c r="B39" s="8">
        <v>11.947994428158472</v>
      </c>
      <c r="C39" s="6">
        <v>0.8984375</v>
      </c>
      <c r="D39" s="8">
        <v>11.946724297682652</v>
      </c>
      <c r="E39" s="9">
        <f t="shared" si="0"/>
        <v>-1.2701304758202525E-3</v>
      </c>
      <c r="F39" s="5">
        <f t="shared" si="1"/>
        <v>-1.1431174282382273</v>
      </c>
    </row>
    <row r="40" spans="1:15" x14ac:dyDescent="0.3">
      <c r="A40" s="6">
        <f>A39+50</f>
        <v>950</v>
      </c>
      <c r="B40" s="8">
        <v>11.94777912139287</v>
      </c>
      <c r="C40" s="6">
        <v>1</v>
      </c>
      <c r="D40" s="8">
        <v>11.946724297682652</v>
      </c>
      <c r="E40" s="9">
        <f t="shared" si="0"/>
        <v>-1.0548237102181446E-3</v>
      </c>
      <c r="F40" s="5">
        <f t="shared" si="1"/>
        <v>-1.0020825247072374</v>
      </c>
    </row>
    <row r="41" spans="1:15" x14ac:dyDescent="0.3">
      <c r="A41" s="6">
        <f t="shared" si="3"/>
        <v>1000</v>
      </c>
      <c r="B41" s="8">
        <v>11.947536146085461</v>
      </c>
      <c r="C41" s="6">
        <v>1.01953125</v>
      </c>
      <c r="D41" s="8">
        <v>11.946724297682652</v>
      </c>
      <c r="E41" s="9">
        <f t="shared" si="0"/>
        <v>-8.1184840280990045E-4</v>
      </c>
      <c r="F41" s="5">
        <f t="shared" si="1"/>
        <v>-0.81184840280990045</v>
      </c>
    </row>
    <row r="42" spans="1:15" x14ac:dyDescent="0.3">
      <c r="A42" s="6">
        <f>A41+100</f>
        <v>1100</v>
      </c>
      <c r="B42" s="8">
        <v>11.946974618847664</v>
      </c>
      <c r="C42" s="6">
        <v>1.34375</v>
      </c>
      <c r="D42" s="8">
        <v>11.946724297682652</v>
      </c>
      <c r="E42" s="9">
        <f t="shared" si="0"/>
        <v>-2.503211650122239E-4</v>
      </c>
      <c r="F42" s="5">
        <f t="shared" si="1"/>
        <v>-0.27535328151344629</v>
      </c>
    </row>
    <row r="43" spans="1:15" x14ac:dyDescent="0.3">
      <c r="A43" s="6">
        <f t="shared" ref="A43:A56" si="4">A42+100</f>
        <v>1200</v>
      </c>
      <c r="B43" s="8">
        <v>11.946367077881254</v>
      </c>
      <c r="C43" s="6">
        <v>1.328125</v>
      </c>
      <c r="D43" s="8">
        <v>11.946724297682652</v>
      </c>
      <c r="E43" s="9">
        <f t="shared" si="0"/>
        <v>3.5721980139769016E-4</v>
      </c>
      <c r="F43" s="5">
        <f t="shared" si="1"/>
        <v>0.42866376167722819</v>
      </c>
    </row>
    <row r="44" spans="1:15" x14ac:dyDescent="0.3">
      <c r="A44" s="6">
        <f t="shared" si="4"/>
        <v>1300</v>
      </c>
      <c r="B44" s="8">
        <v>11.945730931265341</v>
      </c>
      <c r="C44" s="6">
        <v>1.546875</v>
      </c>
      <c r="D44" s="8">
        <v>11.946724297682652</v>
      </c>
      <c r="E44" s="9">
        <f t="shared" si="0"/>
        <v>9.9336641731007091E-4</v>
      </c>
      <c r="F44" s="5">
        <f t="shared" si="1"/>
        <v>1.2913763425030922</v>
      </c>
    </row>
    <row r="45" spans="1:15" x14ac:dyDescent="0.3">
      <c r="A45" s="6">
        <f t="shared" si="4"/>
        <v>1400</v>
      </c>
      <c r="B45" s="8">
        <v>11.945087906029372</v>
      </c>
      <c r="C45" s="6">
        <v>1.84765625</v>
      </c>
      <c r="D45" s="8">
        <v>11.946724297682652</v>
      </c>
      <c r="E45" s="9">
        <f t="shared" si="0"/>
        <v>1.6363916532800005E-3</v>
      </c>
      <c r="F45" s="5">
        <f t="shared" si="1"/>
        <v>2.2909483145920007</v>
      </c>
    </row>
    <row r="46" spans="1:15" x14ac:dyDescent="0.3">
      <c r="A46" s="6">
        <f t="shared" si="4"/>
        <v>1500</v>
      </c>
      <c r="B46" s="8">
        <v>11.945023271121354</v>
      </c>
      <c r="C46" s="6">
        <v>1.8125</v>
      </c>
      <c r="D46" s="8">
        <v>11.946724297682652</v>
      </c>
      <c r="E46" s="9">
        <f t="shared" si="0"/>
        <v>1.7010265612977804E-3</v>
      </c>
      <c r="F46" s="5">
        <f t="shared" si="1"/>
        <v>2.5515398419466706</v>
      </c>
    </row>
    <row r="47" spans="1:15" x14ac:dyDescent="0.3">
      <c r="A47" s="6">
        <f t="shared" si="4"/>
        <v>1600</v>
      </c>
      <c r="B47" s="8">
        <v>11.945676740838824</v>
      </c>
      <c r="C47" s="6">
        <v>2.109375</v>
      </c>
      <c r="D47" s="8">
        <v>11.946724297682652</v>
      </c>
      <c r="E47" s="9">
        <f t="shared" si="0"/>
        <v>1.047556843827735E-3</v>
      </c>
      <c r="F47" s="5">
        <f t="shared" si="1"/>
        <v>1.6760909501243759</v>
      </c>
    </row>
    <row r="48" spans="1:15" x14ac:dyDescent="0.3">
      <c r="A48" s="6">
        <f t="shared" si="4"/>
        <v>1700</v>
      </c>
      <c r="B48" s="8">
        <v>11.946157270166964</v>
      </c>
      <c r="C48" s="6">
        <v>2.1328125</v>
      </c>
      <c r="D48" s="8">
        <v>11.946724297682652</v>
      </c>
      <c r="E48" s="9">
        <f t="shared" si="0"/>
        <v>5.6702751568771248E-4</v>
      </c>
      <c r="F48" s="5">
        <f t="shared" si="1"/>
        <v>0.96394677666911122</v>
      </c>
    </row>
    <row r="49" spans="1:6" x14ac:dyDescent="0.3">
      <c r="A49" s="6">
        <f t="shared" si="4"/>
        <v>1800</v>
      </c>
      <c r="B49" s="8">
        <v>11.946500306401445</v>
      </c>
      <c r="C49" s="6">
        <v>2.42578125</v>
      </c>
      <c r="D49" s="8">
        <v>11.946724297682652</v>
      </c>
      <c r="E49" s="9">
        <f t="shared" si="0"/>
        <v>2.23991281206537E-4</v>
      </c>
      <c r="F49" s="5">
        <f t="shared" si="1"/>
        <v>0.40318430617176659</v>
      </c>
    </row>
    <row r="50" spans="1:6" x14ac:dyDescent="0.3">
      <c r="A50" s="6">
        <f t="shared" si="4"/>
        <v>1900</v>
      </c>
      <c r="B50" s="6">
        <v>11.94673156350974</v>
      </c>
      <c r="C50" s="6">
        <v>2.671875</v>
      </c>
      <c r="D50" s="8">
        <v>11.946724297682652</v>
      </c>
      <c r="E50" s="9">
        <f t="shared" si="0"/>
        <v>-7.2658270884318199E-6</v>
      </c>
      <c r="F50" s="5">
        <f t="shared" si="1"/>
        <v>-1.3805071468020458E-2</v>
      </c>
    </row>
    <row r="51" spans="1:6" x14ac:dyDescent="0.3">
      <c r="A51" s="6">
        <f t="shared" si="4"/>
        <v>2000</v>
      </c>
      <c r="B51" s="6">
        <v>11.946876664948501</v>
      </c>
      <c r="C51" s="6">
        <v>2.7109375</v>
      </c>
      <c r="D51" s="8">
        <v>11.946724297682652</v>
      </c>
      <c r="E51" s="9">
        <f t="shared" si="0"/>
        <v>-1.523672658496622E-4</v>
      </c>
      <c r="F51" s="5">
        <f t="shared" si="1"/>
        <v>-0.30473453169932441</v>
      </c>
    </row>
    <row r="52" spans="1:6" x14ac:dyDescent="0.3">
      <c r="A52" s="6">
        <f t="shared" si="4"/>
        <v>2100</v>
      </c>
      <c r="B52" s="6">
        <v>11.94695188548852</v>
      </c>
      <c r="C52" s="6">
        <v>3.04296875</v>
      </c>
      <c r="D52" s="8">
        <v>11.946724297682652</v>
      </c>
      <c r="E52" s="9">
        <f t="shared" si="0"/>
        <v>-2.2758780586862315E-4</v>
      </c>
      <c r="F52" s="5">
        <f t="shared" si="1"/>
        <v>-0.47793439232410861</v>
      </c>
    </row>
    <row r="53" spans="1:6" x14ac:dyDescent="0.3">
      <c r="A53" s="6">
        <f t="shared" si="4"/>
        <v>2200</v>
      </c>
      <c r="B53" s="6">
        <v>11.946966373051616</v>
      </c>
      <c r="C53" s="6">
        <v>3.1875</v>
      </c>
      <c r="D53" s="8">
        <v>11.946724297682652</v>
      </c>
      <c r="E53" s="9">
        <f t="shared" si="0"/>
        <v>-2.4207536896447834E-4</v>
      </c>
      <c r="F53" s="5">
        <f t="shared" si="1"/>
        <v>-0.53256581172185236</v>
      </c>
    </row>
    <row r="54" spans="1:6" x14ac:dyDescent="0.3">
      <c r="A54" s="6">
        <f t="shared" si="4"/>
        <v>2300</v>
      </c>
      <c r="B54" s="6">
        <v>11.946935529639404</v>
      </c>
      <c r="C54" s="6">
        <v>3.34375</v>
      </c>
      <c r="D54" s="8">
        <v>11.946724297682652</v>
      </c>
      <c r="E54" s="9">
        <f t="shared" si="0"/>
        <v>-2.1123195675265549E-4</v>
      </c>
      <c r="F54" s="5">
        <f t="shared" si="1"/>
        <v>-0.48583350053110763</v>
      </c>
    </row>
    <row r="55" spans="1:6" x14ac:dyDescent="0.3">
      <c r="A55" s="6">
        <f t="shared" si="4"/>
        <v>2400</v>
      </c>
      <c r="B55" s="6">
        <v>11.946868110948067</v>
      </c>
      <c r="C55" s="6">
        <v>3.515625</v>
      </c>
      <c r="D55" s="8">
        <v>11.946724297682652</v>
      </c>
      <c r="E55" s="9">
        <f t="shared" si="0"/>
        <v>-1.4381326541546002E-4</v>
      </c>
      <c r="F55" s="5">
        <f t="shared" si="1"/>
        <v>-0.34515183699710406</v>
      </c>
    </row>
    <row r="56" spans="1:6" x14ac:dyDescent="0.3">
      <c r="A56" s="6">
        <f t="shared" si="4"/>
        <v>2500</v>
      </c>
      <c r="B56" s="6">
        <v>11.946770031892383</v>
      </c>
      <c r="C56" s="6">
        <v>3.81640625</v>
      </c>
      <c r="D56" s="8">
        <v>11.946724297682652</v>
      </c>
      <c r="E56" s="9">
        <f t="shared" si="0"/>
        <v>-4.5734209731307374E-5</v>
      </c>
      <c r="F56" s="5">
        <f t="shared" si="1"/>
        <v>-0.11433552432826843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42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37</v>
      </c>
      <c r="B5" s="58"/>
      <c r="C5" s="58"/>
      <c r="D5" s="58"/>
      <c r="E5" s="58"/>
      <c r="F5" s="58"/>
    </row>
    <row r="6" spans="1:8" ht="27.75" customHeight="1" x14ac:dyDescent="0.3">
      <c r="A6" s="19" t="s">
        <v>14</v>
      </c>
      <c r="B6" s="19" t="s">
        <v>30</v>
      </c>
      <c r="C6" s="19" t="s">
        <v>31</v>
      </c>
      <c r="D6" s="19" t="s">
        <v>43</v>
      </c>
      <c r="E6" s="19" t="s">
        <v>44</v>
      </c>
      <c r="F6" s="19" t="s">
        <v>45</v>
      </c>
    </row>
    <row r="7" spans="1:8" x14ac:dyDescent="0.3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3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3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3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3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3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3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3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3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3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3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3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3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3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3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3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3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3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3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3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3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3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3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3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3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3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3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3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3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3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3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34</vt:i4>
      </vt:variant>
    </vt:vector>
  </HeadingPairs>
  <TitlesOfParts>
    <vt:vector size="41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2024-10-15T21:35:03Z</dcterms:modified>
</cp:coreProperties>
</file>